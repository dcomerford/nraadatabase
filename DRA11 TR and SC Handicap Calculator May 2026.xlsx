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f4339e5f6795966/Desktop/a. 2026 Pennant Folder/"/>
    </mc:Choice>
  </mc:AlternateContent>
  <xr:revisionPtr revIDLastSave="43" documentId="8_{E5216B99-7C2E-4CC4-9506-4642D9177FB8}" xr6:coauthVersionLast="47" xr6:coauthVersionMax="47" xr10:uidLastSave="{40754D22-1A13-4878-B41B-9BE52000DFFF}"/>
  <bookViews>
    <workbookView xWindow="-27165" yWindow="900" windowWidth="26835" windowHeight="15585" firstSheet="4" activeTab="5" xr2:uid="{00000000-000D-0000-FFFF-FFFF00000000}"/>
  </bookViews>
  <sheets>
    <sheet name="Old HC Calc" sheetId="1" r:id="rId1"/>
    <sheet name="PCRC25" sheetId="2" r:id="rId2"/>
    <sheet name="GRC25" sheetId="3" r:id="rId3"/>
    <sheet name="BMRC25" sheetId="4" r:id="rId4"/>
    <sheet name="CRC26" sheetId="6" r:id="rId5"/>
    <sheet name="PCRC26" sheetId="9" r:id="rId6"/>
  </sheets>
  <definedNames>
    <definedName name="_xlnm._FilterDatabase" localSheetId="3" hidden="1">BMRC25!$A$2:$Q$103</definedName>
    <definedName name="_xlnm._FilterDatabase" localSheetId="4" hidden="1">'CRC26'!$A$3:$R$104</definedName>
    <definedName name="_xlnm._FilterDatabase" localSheetId="2" hidden="1">'GRC25'!$A$2:$P$100</definedName>
    <definedName name="_xlnm._FilterDatabase" localSheetId="1" hidden="1">PCRC25!$A$2:$O$96</definedName>
    <definedName name="_xlnm._FilterDatabase" localSheetId="5" hidden="1">PCRC26!$A$3:$S$106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9" l="1"/>
  <c r="Q8" i="9"/>
  <c r="P8" i="9" l="1"/>
  <c r="S8" i="9" s="1"/>
  <c r="O89" i="9" l="1"/>
  <c r="Q89" i="9"/>
  <c r="Q16" i="9"/>
  <c r="Q20" i="9"/>
  <c r="Q29" i="9"/>
  <c r="Q33" i="9"/>
  <c r="Q34" i="9"/>
  <c r="Q45" i="9"/>
  <c r="Q51" i="9"/>
  <c r="Q54" i="9"/>
  <c r="Q61" i="9"/>
  <c r="Q62" i="9"/>
  <c r="Q65" i="9"/>
  <c r="Q69" i="9"/>
  <c r="Q73" i="9"/>
  <c r="Q75" i="9"/>
  <c r="Q76" i="9"/>
  <c r="Q94" i="9"/>
  <c r="Q86" i="9"/>
  <c r="Q90" i="9"/>
  <c r="Q27" i="9"/>
  <c r="Q55" i="9"/>
  <c r="Q38" i="9"/>
  <c r="Q42" i="9"/>
  <c r="Q64" i="9"/>
  <c r="Q28" i="9"/>
  <c r="Q58" i="9"/>
  <c r="Q56" i="9"/>
  <c r="Q44" i="9"/>
  <c r="Q35" i="9"/>
  <c r="Q46" i="9"/>
  <c r="Q30" i="9"/>
  <c r="Q39" i="9"/>
  <c r="Q32" i="9"/>
  <c r="Q57" i="9"/>
  <c r="Q43" i="9"/>
  <c r="Q31" i="9"/>
  <c r="Q60" i="9"/>
  <c r="Q24" i="9"/>
  <c r="Q36" i="9"/>
  <c r="Q48" i="9"/>
  <c r="Q67" i="9"/>
  <c r="Q47" i="9"/>
  <c r="Q50" i="9"/>
  <c r="Q41" i="9"/>
  <c r="Q26" i="9"/>
  <c r="Q21" i="9"/>
  <c r="Q66" i="9"/>
  <c r="Q49" i="9"/>
  <c r="Q25" i="9"/>
  <c r="Q53" i="9"/>
  <c r="Q59" i="9"/>
  <c r="Q23" i="9"/>
  <c r="Q22" i="9"/>
  <c r="Q40" i="9"/>
  <c r="Q63" i="9"/>
  <c r="Q6" i="9"/>
  <c r="Q70" i="9"/>
  <c r="Q77" i="9"/>
  <c r="Q82" i="9"/>
  <c r="Q5" i="9"/>
  <c r="Q13" i="9"/>
  <c r="Q17" i="9"/>
  <c r="Q95" i="9"/>
  <c r="Q78" i="9"/>
  <c r="Q11" i="9"/>
  <c r="Q4" i="9"/>
  <c r="Q81" i="9"/>
  <c r="Q80" i="9"/>
  <c r="Q72" i="9"/>
  <c r="Q9" i="9"/>
  <c r="Q79" i="9"/>
  <c r="Q103" i="9"/>
  <c r="Q96" i="9"/>
  <c r="Q87" i="9"/>
  <c r="Q10" i="9"/>
  <c r="Q7" i="9"/>
  <c r="Q37" i="9"/>
  <c r="Q19" i="9"/>
  <c r="Q97" i="9"/>
  <c r="Q74" i="9"/>
  <c r="Q91" i="9"/>
  <c r="Q92" i="9"/>
  <c r="Q93" i="9"/>
  <c r="Q52" i="9"/>
  <c r="Q98" i="9"/>
  <c r="Q104" i="9"/>
  <c r="Q102" i="9"/>
  <c r="Q68" i="9"/>
  <c r="Q15" i="9"/>
  <c r="Q83" i="9"/>
  <c r="Q99" i="9"/>
  <c r="Q100" i="9"/>
  <c r="Q88" i="9"/>
  <c r="Q12" i="9"/>
  <c r="Q84" i="9"/>
  <c r="Q105" i="9"/>
  <c r="Q14" i="9"/>
  <c r="Q106" i="9"/>
  <c r="Q101" i="9"/>
  <c r="Q71" i="9"/>
  <c r="Q85" i="9"/>
  <c r="Q18" i="9"/>
  <c r="S16" i="9"/>
  <c r="S20" i="9"/>
  <c r="S29" i="9"/>
  <c r="S33" i="9"/>
  <c r="S34" i="9"/>
  <c r="S45" i="9"/>
  <c r="S51" i="9"/>
  <c r="S54" i="9"/>
  <c r="S61" i="9"/>
  <c r="S62" i="9"/>
  <c r="S65" i="9"/>
  <c r="S69" i="9"/>
  <c r="S73" i="9"/>
  <c r="S75" i="9"/>
  <c r="S76" i="9"/>
  <c r="S99" i="9"/>
  <c r="S105" i="9"/>
  <c r="S106" i="9"/>
  <c r="S27" i="9"/>
  <c r="S55" i="9"/>
  <c r="S38" i="9"/>
  <c r="S42" i="9"/>
  <c r="S64" i="9"/>
  <c r="S28" i="9"/>
  <c r="S58" i="9"/>
  <c r="S56" i="9"/>
  <c r="S44" i="9"/>
  <c r="S35" i="9"/>
  <c r="S46" i="9"/>
  <c r="S30" i="9"/>
  <c r="S39" i="9"/>
  <c r="S32" i="9"/>
  <c r="S57" i="9"/>
  <c r="S43" i="9"/>
  <c r="S31" i="9"/>
  <c r="S60" i="9"/>
  <c r="S24" i="9"/>
  <c r="S36" i="9"/>
  <c r="S48" i="9"/>
  <c r="S67" i="9"/>
  <c r="S47" i="9"/>
  <c r="S50" i="9"/>
  <c r="S41" i="9"/>
  <c r="S26" i="9"/>
  <c r="S21" i="9"/>
  <c r="S66" i="9"/>
  <c r="S49" i="9"/>
  <c r="S25" i="9"/>
  <c r="S53" i="9"/>
  <c r="S59" i="9"/>
  <c r="S23" i="9"/>
  <c r="S22" i="9"/>
  <c r="S40" i="9"/>
  <c r="S63" i="9"/>
  <c r="S70" i="9"/>
  <c r="S77" i="9"/>
  <c r="S82" i="9"/>
  <c r="S13" i="9"/>
  <c r="S17" i="9"/>
  <c r="S78" i="9"/>
  <c r="S81" i="9"/>
  <c r="S80" i="9"/>
  <c r="S72" i="9"/>
  <c r="S79" i="9"/>
  <c r="S91" i="9"/>
  <c r="S92" i="9"/>
  <c r="S37" i="9"/>
  <c r="S19" i="9"/>
  <c r="S74" i="9"/>
  <c r="S97" i="9"/>
  <c r="S98" i="9"/>
  <c r="S90" i="9"/>
  <c r="S52" i="9"/>
  <c r="S95" i="9"/>
  <c r="S68" i="9"/>
  <c r="S15" i="9"/>
  <c r="S102" i="9"/>
  <c r="S104" i="9"/>
  <c r="S100" i="9"/>
  <c r="S93" i="9"/>
  <c r="S94" i="9"/>
  <c r="S14" i="9"/>
  <c r="S101" i="9"/>
  <c r="S103" i="9"/>
  <c r="S71" i="9"/>
  <c r="S96" i="9"/>
  <c r="S18" i="9"/>
  <c r="O106" i="9"/>
  <c r="P106" i="9" s="1"/>
  <c r="O105" i="9"/>
  <c r="P105" i="9" s="1"/>
  <c r="O99" i="9"/>
  <c r="P99" i="9" s="1"/>
  <c r="O76" i="9"/>
  <c r="P76" i="9" s="1"/>
  <c r="O75" i="9"/>
  <c r="P75" i="9" s="1"/>
  <c r="O73" i="9"/>
  <c r="P73" i="9" s="1"/>
  <c r="O69" i="9"/>
  <c r="P69" i="9" s="1"/>
  <c r="O65" i="9"/>
  <c r="P65" i="9" s="1"/>
  <c r="O62" i="9"/>
  <c r="P62" i="9" s="1"/>
  <c r="O61" i="9"/>
  <c r="P61" i="9" s="1"/>
  <c r="O54" i="9"/>
  <c r="P54" i="9" s="1"/>
  <c r="O51" i="9"/>
  <c r="P51" i="9" s="1"/>
  <c r="O45" i="9"/>
  <c r="P45" i="9" s="1"/>
  <c r="O34" i="9"/>
  <c r="P34" i="9" s="1"/>
  <c r="O33" i="9"/>
  <c r="P33" i="9" s="1"/>
  <c r="O29" i="9"/>
  <c r="P29" i="9" s="1"/>
  <c r="O20" i="9"/>
  <c r="P20" i="9" s="1"/>
  <c r="O16" i="9"/>
  <c r="P16" i="9" s="1"/>
  <c r="O18" i="9"/>
  <c r="P18" i="9" s="1"/>
  <c r="O36" i="9"/>
  <c r="P36" i="9" s="1"/>
  <c r="O56" i="9"/>
  <c r="P56" i="9" s="1"/>
  <c r="O28" i="9"/>
  <c r="P28" i="9" s="1"/>
  <c r="O41" i="9"/>
  <c r="P41" i="9" s="1"/>
  <c r="O26" i="9"/>
  <c r="P26" i="9" s="1"/>
  <c r="O48" i="9"/>
  <c r="P48" i="9" s="1"/>
  <c r="O31" i="9"/>
  <c r="P31" i="9" s="1"/>
  <c r="O49" i="9"/>
  <c r="P49" i="9" s="1"/>
  <c r="O90" i="9"/>
  <c r="P90" i="9" s="1"/>
  <c r="O87" i="9"/>
  <c r="P87" i="9" s="1"/>
  <c r="S87" i="9" s="1"/>
  <c r="O93" i="9"/>
  <c r="P93" i="9" s="1"/>
  <c r="O88" i="9"/>
  <c r="P88" i="9" s="1"/>
  <c r="S88" i="9" s="1"/>
  <c r="O91" i="9"/>
  <c r="P91" i="9" s="1"/>
  <c r="O92" i="9"/>
  <c r="P92" i="9" s="1"/>
  <c r="O7" i="9"/>
  <c r="P7" i="9" s="1"/>
  <c r="S7" i="9" s="1"/>
  <c r="O9" i="9"/>
  <c r="P9" i="9" s="1"/>
  <c r="S9" i="9" s="1"/>
  <c r="O13" i="9"/>
  <c r="P13" i="9" s="1"/>
  <c r="O6" i="9"/>
  <c r="P6" i="9" s="1"/>
  <c r="S6" i="9" s="1"/>
  <c r="O5" i="9"/>
  <c r="P5" i="9" s="1"/>
  <c r="S5" i="9" s="1"/>
  <c r="O12" i="9"/>
  <c r="P12" i="9" s="1"/>
  <c r="S12" i="9" s="1"/>
  <c r="O15" i="9"/>
  <c r="P15" i="9" s="1"/>
  <c r="O14" i="9"/>
  <c r="P14" i="9" s="1"/>
  <c r="O17" i="9"/>
  <c r="P17" i="9" s="1"/>
  <c r="O84" i="9"/>
  <c r="P84" i="9" s="1"/>
  <c r="S84" i="9" s="1"/>
  <c r="O24" i="9"/>
  <c r="P24" i="9" s="1"/>
  <c r="O21" i="9"/>
  <c r="P21" i="9" s="1"/>
  <c r="O22" i="9"/>
  <c r="P22" i="9" s="1"/>
  <c r="O23" i="9"/>
  <c r="P23" i="9" s="1"/>
  <c r="O25" i="9"/>
  <c r="P25" i="9" s="1"/>
  <c r="O27" i="9"/>
  <c r="P27" i="9" s="1"/>
  <c r="O39" i="9"/>
  <c r="P39" i="9" s="1"/>
  <c r="O47" i="9"/>
  <c r="P47" i="9" s="1"/>
  <c r="O52" i="9"/>
  <c r="P52" i="9" s="1"/>
  <c r="O35" i="9"/>
  <c r="P35" i="9" s="1"/>
  <c r="O37" i="9"/>
  <c r="P37" i="9" s="1"/>
  <c r="O38" i="9"/>
  <c r="P38" i="9" s="1"/>
  <c r="O40" i="9"/>
  <c r="P40" i="9" s="1"/>
  <c r="O42" i="9"/>
  <c r="P42" i="9" s="1"/>
  <c r="O43" i="9"/>
  <c r="P43" i="9" s="1"/>
  <c r="O44" i="9"/>
  <c r="P44" i="9" s="1"/>
  <c r="O46" i="9"/>
  <c r="P46" i="9" s="1"/>
  <c r="O50" i="9"/>
  <c r="P50" i="9" s="1"/>
  <c r="O53" i="9"/>
  <c r="P53" i="9" s="1"/>
  <c r="O55" i="9"/>
  <c r="P55" i="9" s="1"/>
  <c r="O59" i="9"/>
  <c r="P59" i="9" s="1"/>
  <c r="O60" i="9"/>
  <c r="P60" i="9" s="1"/>
  <c r="O63" i="9"/>
  <c r="P63" i="9" s="1"/>
  <c r="O64" i="9"/>
  <c r="P64" i="9" s="1"/>
  <c r="O66" i="9"/>
  <c r="P66" i="9" s="1"/>
  <c r="O67" i="9"/>
  <c r="P67" i="9" s="1"/>
  <c r="O19" i="9"/>
  <c r="P19" i="9" s="1"/>
  <c r="O4" i="9"/>
  <c r="P4" i="9" s="1"/>
  <c r="S4" i="9" s="1"/>
  <c r="O82" i="9"/>
  <c r="P82" i="9" s="1"/>
  <c r="O79" i="9"/>
  <c r="P79" i="9" s="1"/>
  <c r="O11" i="9"/>
  <c r="P11" i="9" s="1"/>
  <c r="S11" i="9" s="1"/>
  <c r="O74" i="9"/>
  <c r="P74" i="9" s="1"/>
  <c r="O80" i="9"/>
  <c r="P80" i="9" s="1"/>
  <c r="O71" i="9"/>
  <c r="P71" i="9" s="1"/>
  <c r="O70" i="9"/>
  <c r="P70" i="9" s="1"/>
  <c r="O72" i="9"/>
  <c r="P72" i="9" s="1"/>
  <c r="O10" i="9"/>
  <c r="P10" i="9" s="1"/>
  <c r="S10" i="9" s="1"/>
  <c r="O77" i="9"/>
  <c r="P77" i="9" s="1"/>
  <c r="O78" i="9"/>
  <c r="P78" i="9" s="1"/>
  <c r="O81" i="9"/>
  <c r="P81" i="9" s="1"/>
  <c r="O96" i="9"/>
  <c r="P96" i="9" s="1"/>
  <c r="O101" i="9"/>
  <c r="P101" i="9" s="1"/>
  <c r="O94" i="9"/>
  <c r="P94" i="9" s="1"/>
  <c r="O85" i="9"/>
  <c r="P85" i="9" s="1"/>
  <c r="S85" i="9" s="1"/>
  <c r="O83" i="9"/>
  <c r="P83" i="9" s="1"/>
  <c r="S83" i="9" s="1"/>
  <c r="O86" i="9"/>
  <c r="P86" i="9" s="1"/>
  <c r="S86" i="9" s="1"/>
  <c r="O102" i="9"/>
  <c r="P102" i="9" s="1"/>
  <c r="O103" i="9"/>
  <c r="P103" i="9" s="1"/>
  <c r="O104" i="9"/>
  <c r="P104" i="9" s="1"/>
  <c r="O32" i="9"/>
  <c r="P32" i="9" s="1"/>
  <c r="K100" i="9"/>
  <c r="H100" i="9"/>
  <c r="H97" i="9"/>
  <c r="O97" i="9" s="1"/>
  <c r="K95" i="9"/>
  <c r="O95" i="9" s="1"/>
  <c r="H98" i="9"/>
  <c r="O98" i="9" s="1"/>
  <c r="L68" i="9"/>
  <c r="O68" i="9" s="1"/>
  <c r="K58" i="9"/>
  <c r="O58" i="9" s="1"/>
  <c r="K57" i="9"/>
  <c r="O57" i="9" s="1"/>
  <c r="K30" i="9"/>
  <c r="O30" i="9" s="1"/>
  <c r="P89" i="9" l="1"/>
  <c r="S89" i="9" s="1"/>
  <c r="O100" i="9"/>
  <c r="P100" i="9" s="1"/>
  <c r="P30" i="9"/>
  <c r="P57" i="9"/>
  <c r="P58" i="9"/>
  <c r="P95" i="9"/>
  <c r="P98" i="9"/>
  <c r="P68" i="9"/>
  <c r="P97" i="9"/>
  <c r="N104" i="6" l="1"/>
  <c r="O104" i="6" s="1"/>
  <c r="N103" i="6"/>
  <c r="O103" i="6" s="1"/>
  <c r="N102" i="6"/>
  <c r="O102" i="6" s="1"/>
  <c r="N101" i="6"/>
  <c r="O101" i="6" s="1"/>
  <c r="N100" i="6"/>
  <c r="O100" i="6" s="1"/>
  <c r="N99" i="6"/>
  <c r="O99" i="6" s="1"/>
  <c r="N98" i="6"/>
  <c r="O98" i="6" s="1"/>
  <c r="N96" i="6"/>
  <c r="O96" i="6" s="1"/>
  <c r="N94" i="6"/>
  <c r="O94" i="6" s="1"/>
  <c r="N91" i="6"/>
  <c r="O91" i="6" s="1"/>
  <c r="N90" i="6"/>
  <c r="O90" i="6" s="1"/>
  <c r="N89" i="6"/>
  <c r="O89" i="6" s="1"/>
  <c r="N88" i="6"/>
  <c r="O88" i="6" s="1"/>
  <c r="N25" i="6"/>
  <c r="O25" i="6" s="1"/>
  <c r="R25" i="6" s="1"/>
  <c r="N30" i="6"/>
  <c r="O30" i="6" s="1"/>
  <c r="R30" i="6" s="1"/>
  <c r="N29" i="6"/>
  <c r="O29" i="6" s="1"/>
  <c r="R29" i="6" s="1"/>
  <c r="N24" i="6"/>
  <c r="O24" i="6" s="1"/>
  <c r="R24" i="6" s="1"/>
  <c r="N23" i="6"/>
  <c r="O23" i="6" s="1"/>
  <c r="R23" i="6" s="1"/>
  <c r="N16" i="6"/>
  <c r="O16" i="6" s="1"/>
  <c r="N22" i="6"/>
  <c r="O22" i="6" s="1"/>
  <c r="R22" i="6" s="1"/>
  <c r="N27" i="6"/>
  <c r="O27" i="6" s="1"/>
  <c r="R27" i="6" s="1"/>
  <c r="N15" i="6"/>
  <c r="O15" i="6" s="1"/>
  <c r="R15" i="6" s="1"/>
  <c r="N21" i="6"/>
  <c r="O21" i="6" s="1"/>
  <c r="R21" i="6" s="1"/>
  <c r="N28" i="6"/>
  <c r="O28" i="6" s="1"/>
  <c r="R28" i="6" s="1"/>
  <c r="N14" i="6"/>
  <c r="O14" i="6" s="1"/>
  <c r="R14" i="6" s="1"/>
  <c r="N18" i="6"/>
  <c r="O18" i="6" s="1"/>
  <c r="R18" i="6" s="1"/>
  <c r="R104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N5" i="6"/>
  <c r="O5" i="6" s="1"/>
  <c r="R5" i="6" s="1"/>
  <c r="N4" i="6"/>
  <c r="O4" i="6" s="1"/>
  <c r="R4" i="6" s="1"/>
  <c r="N8" i="6"/>
  <c r="O8" i="6" s="1"/>
  <c r="R8" i="6" s="1"/>
  <c r="N11" i="6"/>
  <c r="O11" i="6" s="1"/>
  <c r="R11" i="6" s="1"/>
  <c r="N9" i="6"/>
  <c r="O9" i="6" s="1"/>
  <c r="R9" i="6" s="1"/>
  <c r="N6" i="6"/>
  <c r="O6" i="6" s="1"/>
  <c r="R6" i="6" s="1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31" i="6"/>
  <c r="P36" i="6"/>
  <c r="P6" i="6"/>
  <c r="P11" i="6"/>
  <c r="P42" i="6"/>
  <c r="P43" i="6"/>
  <c r="P31" i="6"/>
  <c r="P32" i="6"/>
  <c r="P5" i="6"/>
  <c r="P8" i="6"/>
  <c r="P10" i="6"/>
  <c r="P9" i="6"/>
  <c r="P33" i="6"/>
  <c r="P34" i="6"/>
  <c r="P44" i="6"/>
  <c r="P35" i="6"/>
  <c r="P37" i="6"/>
  <c r="P38" i="6"/>
  <c r="P39" i="6"/>
  <c r="P4" i="6"/>
  <c r="P40" i="6"/>
  <c r="P41" i="6"/>
  <c r="P45" i="6"/>
  <c r="P46" i="6"/>
  <c r="P47" i="6"/>
  <c r="P48" i="6"/>
  <c r="P49" i="6"/>
  <c r="P50" i="6"/>
  <c r="P51" i="6"/>
  <c r="P52" i="6"/>
  <c r="P53" i="6"/>
  <c r="P12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21" i="6"/>
  <c r="P13" i="6"/>
  <c r="P75" i="6"/>
  <c r="P15" i="6"/>
  <c r="P18" i="6"/>
  <c r="P17" i="6"/>
  <c r="P22" i="6"/>
  <c r="P76" i="6"/>
  <c r="P70" i="6"/>
  <c r="P28" i="6"/>
  <c r="P14" i="6"/>
  <c r="P27" i="6"/>
  <c r="P71" i="6"/>
  <c r="P77" i="6"/>
  <c r="P19" i="6"/>
  <c r="P72" i="6"/>
  <c r="P73" i="6"/>
  <c r="P74" i="6"/>
  <c r="P78" i="6"/>
  <c r="P79" i="6"/>
  <c r="P80" i="6"/>
  <c r="P81" i="6"/>
  <c r="P82" i="6"/>
  <c r="P83" i="6"/>
  <c r="P84" i="6"/>
  <c r="P85" i="6"/>
  <c r="P86" i="6"/>
  <c r="P26" i="6"/>
  <c r="P87" i="6"/>
  <c r="P20" i="6"/>
  <c r="P25" i="6"/>
  <c r="P92" i="6"/>
  <c r="P29" i="6"/>
  <c r="P30" i="6"/>
  <c r="P88" i="6"/>
  <c r="P16" i="6"/>
  <c r="P23" i="6"/>
  <c r="P89" i="6"/>
  <c r="P90" i="6"/>
  <c r="P91" i="6"/>
  <c r="P93" i="6"/>
  <c r="P94" i="6"/>
  <c r="P95" i="6"/>
  <c r="P96" i="6"/>
  <c r="P97" i="6"/>
  <c r="P98" i="6"/>
  <c r="P24" i="6"/>
  <c r="P99" i="6"/>
  <c r="P100" i="6"/>
  <c r="P101" i="6"/>
  <c r="P102" i="6"/>
  <c r="P103" i="6"/>
  <c r="P104" i="6"/>
  <c r="P7" i="6"/>
  <c r="N13" i="6"/>
  <c r="O13" i="6" s="1"/>
  <c r="R13" i="6" s="1"/>
  <c r="N75" i="6"/>
  <c r="O75" i="6" s="1"/>
  <c r="N17" i="6"/>
  <c r="O17" i="6" s="1"/>
  <c r="R17" i="6" s="1"/>
  <c r="N70" i="6"/>
  <c r="O70" i="6" s="1"/>
  <c r="N71" i="6"/>
  <c r="O71" i="6" s="1"/>
  <c r="N77" i="6"/>
  <c r="O77" i="6" s="1"/>
  <c r="N19" i="6"/>
  <c r="O19" i="6" s="1"/>
  <c r="R19" i="6" s="1"/>
  <c r="N72" i="6"/>
  <c r="O72" i="6" s="1"/>
  <c r="N73" i="6"/>
  <c r="O73" i="6" s="1"/>
  <c r="N74" i="6"/>
  <c r="O74" i="6" s="1"/>
  <c r="N78" i="6"/>
  <c r="O78" i="6" s="1"/>
  <c r="N79" i="6"/>
  <c r="O79" i="6" s="1"/>
  <c r="N80" i="6"/>
  <c r="O80" i="6" s="1"/>
  <c r="N81" i="6"/>
  <c r="O81" i="6" s="1"/>
  <c r="N82" i="6"/>
  <c r="O82" i="6" s="1"/>
  <c r="N83" i="6"/>
  <c r="O83" i="6" s="1"/>
  <c r="N84" i="6"/>
  <c r="O84" i="6" s="1"/>
  <c r="N85" i="6"/>
  <c r="O85" i="6" s="1"/>
  <c r="N86" i="6"/>
  <c r="O86" i="6" s="1"/>
  <c r="N26" i="6"/>
  <c r="O26" i="6" s="1"/>
  <c r="R26" i="6" s="1"/>
  <c r="N87" i="6"/>
  <c r="O87" i="6" s="1"/>
  <c r="N20" i="6"/>
  <c r="O20" i="6" s="1"/>
  <c r="R20" i="6" s="1"/>
  <c r="N42" i="6"/>
  <c r="O42" i="6" s="1"/>
  <c r="N43" i="6"/>
  <c r="O43" i="6" s="1"/>
  <c r="N31" i="6"/>
  <c r="O31" i="6" s="1"/>
  <c r="N32" i="6"/>
  <c r="O32" i="6" s="1"/>
  <c r="N10" i="6"/>
  <c r="O10" i="6" s="1"/>
  <c r="R10" i="6" s="1"/>
  <c r="N33" i="6"/>
  <c r="O33" i="6" s="1"/>
  <c r="N34" i="6"/>
  <c r="O34" i="6" s="1"/>
  <c r="N44" i="6"/>
  <c r="O44" i="6" s="1"/>
  <c r="N35" i="6"/>
  <c r="O35" i="6" s="1"/>
  <c r="N37" i="6"/>
  <c r="O37" i="6" s="1"/>
  <c r="N38" i="6"/>
  <c r="O38" i="6" s="1"/>
  <c r="N39" i="6"/>
  <c r="O39" i="6" s="1"/>
  <c r="N40" i="6"/>
  <c r="O40" i="6" s="1"/>
  <c r="N41" i="6"/>
  <c r="O41" i="6" s="1"/>
  <c r="N45" i="6"/>
  <c r="O45" i="6" s="1"/>
  <c r="N46" i="6"/>
  <c r="O46" i="6" s="1"/>
  <c r="N47" i="6"/>
  <c r="O47" i="6" s="1"/>
  <c r="N48" i="6"/>
  <c r="O48" i="6" s="1"/>
  <c r="N49" i="6"/>
  <c r="O49" i="6" s="1"/>
  <c r="N50" i="6"/>
  <c r="O50" i="6" s="1"/>
  <c r="N51" i="6"/>
  <c r="O51" i="6" s="1"/>
  <c r="N52" i="6"/>
  <c r="O52" i="6" s="1"/>
  <c r="N53" i="6"/>
  <c r="O53" i="6" s="1"/>
  <c r="N12" i="6"/>
  <c r="O12" i="6" s="1"/>
  <c r="R12" i="6" s="1"/>
  <c r="N54" i="6"/>
  <c r="O54" i="6" s="1"/>
  <c r="N55" i="6"/>
  <c r="O55" i="6" s="1"/>
  <c r="N56" i="6"/>
  <c r="O56" i="6" s="1"/>
  <c r="N57" i="6"/>
  <c r="O57" i="6" s="1"/>
  <c r="N58" i="6"/>
  <c r="O58" i="6" s="1"/>
  <c r="N61" i="6"/>
  <c r="O61" i="6" s="1"/>
  <c r="N62" i="6"/>
  <c r="O62" i="6" s="1"/>
  <c r="N63" i="6"/>
  <c r="O63" i="6" s="1"/>
  <c r="N64" i="6"/>
  <c r="O64" i="6" s="1"/>
  <c r="N65" i="6"/>
  <c r="O65" i="6" s="1"/>
  <c r="N66" i="6"/>
  <c r="O66" i="6" s="1"/>
  <c r="N67" i="6"/>
  <c r="O67" i="6" s="1"/>
  <c r="N68" i="6"/>
  <c r="O68" i="6" s="1"/>
  <c r="N69" i="6"/>
  <c r="O69" i="6" s="1"/>
  <c r="N7" i="6"/>
  <c r="O7" i="6" s="1"/>
  <c r="R7" i="6" s="1"/>
  <c r="K97" i="6"/>
  <c r="H97" i="6"/>
  <c r="H95" i="6"/>
  <c r="N95" i="6" s="1"/>
  <c r="K93" i="6"/>
  <c r="N93" i="6" s="1"/>
  <c r="H92" i="6"/>
  <c r="N92" i="6" s="1"/>
  <c r="L76" i="6"/>
  <c r="N76" i="6" s="1"/>
  <c r="K60" i="6"/>
  <c r="N60" i="6" s="1"/>
  <c r="K59" i="6"/>
  <c r="N59" i="6" s="1"/>
  <c r="K36" i="6"/>
  <c r="N36" i="6" s="1"/>
  <c r="N97" i="6" l="1"/>
  <c r="O97" i="6" s="1"/>
  <c r="O76" i="6"/>
  <c r="O60" i="6"/>
  <c r="O92" i="6"/>
  <c r="O93" i="6"/>
  <c r="O95" i="6"/>
  <c r="O59" i="6"/>
  <c r="O36" i="6"/>
  <c r="R16" i="6" l="1"/>
  <c r="K3" i="2" l="1"/>
  <c r="L3" i="2" s="1"/>
  <c r="L49" i="3"/>
  <c r="M49" i="3" s="1"/>
  <c r="P49" i="3" s="1"/>
  <c r="L51" i="3"/>
  <c r="M51" i="3" s="1"/>
  <c r="P51" i="3" s="1"/>
  <c r="L47" i="3"/>
  <c r="M47" i="3" s="1"/>
  <c r="P47" i="3" s="1"/>
  <c r="M62" i="4"/>
  <c r="N62" i="4" s="1"/>
  <c r="Q62" i="4" s="1"/>
  <c r="Q18" i="4"/>
  <c r="Q88" i="4"/>
  <c r="Q89" i="4"/>
  <c r="Q19" i="4"/>
  <c r="Q20" i="4"/>
  <c r="Q21" i="4"/>
  <c r="Q22" i="4"/>
  <c r="Q23" i="4"/>
  <c r="Q24" i="4"/>
  <c r="Q65" i="4"/>
  <c r="Q66" i="4"/>
  <c r="Q67" i="4"/>
  <c r="Q68" i="4"/>
  <c r="Q90" i="4"/>
  <c r="Q25" i="4"/>
  <c r="Q26" i="4"/>
  <c r="Q27" i="4"/>
  <c r="Q28" i="4"/>
  <c r="Q29" i="4"/>
  <c r="Q30" i="4"/>
  <c r="Q31" i="4"/>
  <c r="Q32" i="4"/>
  <c r="Q33" i="4"/>
  <c r="Q34" i="4"/>
  <c r="Q35" i="4"/>
  <c r="Q36" i="4"/>
  <c r="Q69" i="4"/>
  <c r="Q70" i="4"/>
  <c r="Q71" i="4"/>
  <c r="Q72" i="4"/>
  <c r="Q73" i="4"/>
  <c r="Q74" i="4"/>
  <c r="Q75" i="4"/>
  <c r="Q76" i="4"/>
  <c r="Q77" i="4"/>
  <c r="Q78" i="4"/>
  <c r="Q79" i="4"/>
  <c r="Q80" i="4"/>
  <c r="Q91" i="4"/>
  <c r="Q92" i="4"/>
  <c r="Q93" i="4"/>
  <c r="Q94" i="4"/>
  <c r="Q95" i="4"/>
  <c r="Q96" i="4"/>
  <c r="Q37" i="4"/>
  <c r="Q38" i="4"/>
  <c r="Q97" i="4"/>
  <c r="Q98" i="4"/>
  <c r="Q39" i="4"/>
  <c r="Q40" i="4"/>
  <c r="Q41" i="4"/>
  <c r="Q42" i="4"/>
  <c r="Q43" i="4"/>
  <c r="Q44" i="4"/>
  <c r="Q45" i="4"/>
  <c r="Q46" i="4"/>
  <c r="Q47" i="4"/>
  <c r="Q48" i="4"/>
  <c r="Q49" i="4"/>
  <c r="Q50" i="4"/>
  <c r="Q99" i="4"/>
  <c r="Q100" i="4"/>
  <c r="Q101" i="4"/>
  <c r="Q102" i="4"/>
  <c r="Q103" i="4"/>
  <c r="O64" i="4"/>
  <c r="M64" i="4"/>
  <c r="N64" i="4" s="1"/>
  <c r="Q64" i="4" s="1"/>
  <c r="M54" i="4"/>
  <c r="N54" i="4" s="1"/>
  <c r="Q54" i="4" s="1"/>
  <c r="M57" i="4"/>
  <c r="N57" i="4" s="1"/>
  <c r="Q57" i="4" s="1"/>
  <c r="M58" i="4"/>
  <c r="N58" i="4" s="1"/>
  <c r="L58" i="4"/>
  <c r="O58" i="4" s="1"/>
  <c r="M59" i="4"/>
  <c r="N59" i="4" s="1"/>
  <c r="Q59" i="4" s="1"/>
  <c r="O59" i="4"/>
  <c r="M60" i="4"/>
  <c r="M10" i="4"/>
  <c r="N10" i="4" s="1"/>
  <c r="Q10" i="4" s="1"/>
  <c r="M15" i="4"/>
  <c r="N15" i="4" s="1"/>
  <c r="Q15" i="4" s="1"/>
  <c r="M9" i="4"/>
  <c r="N9" i="4" s="1"/>
  <c r="Q9" i="4" s="1"/>
  <c r="M7" i="4"/>
  <c r="N7" i="4" s="1"/>
  <c r="Q7" i="4" s="1"/>
  <c r="M8" i="4"/>
  <c r="N8" i="4" s="1"/>
  <c r="Q8" i="4" s="1"/>
  <c r="M11" i="4"/>
  <c r="N11" i="4" s="1"/>
  <c r="Q11" i="4" s="1"/>
  <c r="M5" i="4"/>
  <c r="N5" i="4" s="1"/>
  <c r="Q5" i="4" s="1"/>
  <c r="M6" i="4"/>
  <c r="N6" i="4" s="1"/>
  <c r="Q6" i="4" s="1"/>
  <c r="K4" i="4"/>
  <c r="M4" i="4" s="1"/>
  <c r="N4" i="4" s="1"/>
  <c r="Q4" i="4" s="1"/>
  <c r="O4" i="4"/>
  <c r="M14" i="4"/>
  <c r="N14" i="4" s="1"/>
  <c r="Q14" i="4" s="1"/>
  <c r="M86" i="4"/>
  <c r="N86" i="4" s="1"/>
  <c r="Q86" i="4" s="1"/>
  <c r="M87" i="4"/>
  <c r="N87" i="4" s="1"/>
  <c r="Q87" i="4" s="1"/>
  <c r="M84" i="4"/>
  <c r="N84" i="4" s="1"/>
  <c r="Q84" i="4" s="1"/>
  <c r="M81" i="4"/>
  <c r="N81" i="4" s="1"/>
  <c r="Q81" i="4" s="1"/>
  <c r="M85" i="4"/>
  <c r="N85" i="4" s="1"/>
  <c r="Q85" i="4" s="1"/>
  <c r="O101" i="4"/>
  <c r="O98" i="4"/>
  <c r="O81" i="4"/>
  <c r="O90" i="4"/>
  <c r="O88" i="4"/>
  <c r="O83" i="4"/>
  <c r="O99" i="4"/>
  <c r="O91" i="4"/>
  <c r="O85" i="4"/>
  <c r="O95" i="4"/>
  <c r="O86" i="4"/>
  <c r="O89" i="4"/>
  <c r="O84" i="4"/>
  <c r="O92" i="4"/>
  <c r="O93" i="4"/>
  <c r="O82" i="4"/>
  <c r="O94" i="4"/>
  <c r="O96" i="4"/>
  <c r="O97" i="4"/>
  <c r="O100" i="4"/>
  <c r="O102" i="4"/>
  <c r="O103" i="4"/>
  <c r="O68" i="4"/>
  <c r="O71" i="4"/>
  <c r="O55" i="4"/>
  <c r="O51" i="4"/>
  <c r="O76" i="4"/>
  <c r="O70" i="4"/>
  <c r="O56" i="4"/>
  <c r="O54" i="4"/>
  <c r="O80" i="4"/>
  <c r="O77" i="4"/>
  <c r="O61" i="4"/>
  <c r="O53" i="4"/>
  <c r="O78" i="4"/>
  <c r="O62" i="4"/>
  <c r="O74" i="4"/>
  <c r="O60" i="4"/>
  <c r="O65" i="4"/>
  <c r="O66" i="4"/>
  <c r="O63" i="4"/>
  <c r="O67" i="4"/>
  <c r="O52" i="4"/>
  <c r="O69" i="4"/>
  <c r="O72" i="4"/>
  <c r="O73" i="4"/>
  <c r="O75" i="4"/>
  <c r="O57" i="4"/>
  <c r="O79" i="4"/>
  <c r="O30" i="4"/>
  <c r="O43" i="4"/>
  <c r="O5" i="4"/>
  <c r="O20" i="4"/>
  <c r="O9" i="4"/>
  <c r="O31" i="4"/>
  <c r="O39" i="4"/>
  <c r="O6" i="4"/>
  <c r="O14" i="4"/>
  <c r="O7" i="4"/>
  <c r="O27" i="4"/>
  <c r="O22" i="4"/>
  <c r="O29" i="4"/>
  <c r="O41" i="4"/>
  <c r="O11" i="4"/>
  <c r="O25" i="4"/>
  <c r="O13" i="4"/>
  <c r="O50" i="4"/>
  <c r="O40" i="4"/>
  <c r="O8" i="4"/>
  <c r="O12" i="4"/>
  <c r="O49" i="4"/>
  <c r="O10" i="4"/>
  <c r="O46" i="4"/>
  <c r="O15" i="4"/>
  <c r="O16" i="4"/>
  <c r="O28" i="4"/>
  <c r="O17" i="4"/>
  <c r="O42" i="4"/>
  <c r="O19" i="4"/>
  <c r="O18" i="4"/>
  <c r="O3" i="4"/>
  <c r="O21" i="4"/>
  <c r="O23" i="4"/>
  <c r="O24" i="4"/>
  <c r="O26" i="4"/>
  <c r="O32" i="4"/>
  <c r="O33" i="4"/>
  <c r="O34" i="4"/>
  <c r="O35" i="4"/>
  <c r="O36" i="4"/>
  <c r="O37" i="4"/>
  <c r="O38" i="4"/>
  <c r="O44" i="4"/>
  <c r="O45" i="4"/>
  <c r="O47" i="4"/>
  <c r="O48" i="4"/>
  <c r="O87" i="4"/>
  <c r="M101" i="4"/>
  <c r="M98" i="4"/>
  <c r="N98" i="4" s="1"/>
  <c r="M90" i="4"/>
  <c r="N90" i="4" s="1"/>
  <c r="M88" i="4"/>
  <c r="N88" i="4" s="1"/>
  <c r="M83" i="4"/>
  <c r="N83" i="4" s="1"/>
  <c r="Q83" i="4" s="1"/>
  <c r="M99" i="4"/>
  <c r="N99" i="4" s="1"/>
  <c r="M89" i="4"/>
  <c r="N89" i="4" s="1"/>
  <c r="M92" i="4"/>
  <c r="N92" i="4" s="1"/>
  <c r="M94" i="4"/>
  <c r="N94" i="4" s="1"/>
  <c r="M96" i="4"/>
  <c r="N96" i="4" s="1"/>
  <c r="M97" i="4"/>
  <c r="N97" i="4" s="1"/>
  <c r="M100" i="4"/>
  <c r="N100" i="4" s="1"/>
  <c r="M102" i="4"/>
  <c r="N102" i="4" s="1"/>
  <c r="M103" i="4"/>
  <c r="N103" i="4" s="1"/>
  <c r="M68" i="4"/>
  <c r="N68" i="4" s="1"/>
  <c r="M71" i="4"/>
  <c r="M55" i="4"/>
  <c r="M51" i="4"/>
  <c r="N51" i="4" s="1"/>
  <c r="Q51" i="4" s="1"/>
  <c r="M76" i="4"/>
  <c r="N76" i="4" s="1"/>
  <c r="M70" i="4"/>
  <c r="N70" i="4" s="1"/>
  <c r="M56" i="4"/>
  <c r="N56" i="4" s="1"/>
  <c r="Q56" i="4" s="1"/>
  <c r="M80" i="4"/>
  <c r="N80" i="4" s="1"/>
  <c r="M77" i="4"/>
  <c r="N77" i="4" s="1"/>
  <c r="M61" i="4"/>
  <c r="N61" i="4" s="1"/>
  <c r="Q61" i="4" s="1"/>
  <c r="M53" i="4"/>
  <c r="N53" i="4" s="1"/>
  <c r="Q53" i="4" s="1"/>
  <c r="M78" i="4"/>
  <c r="N78" i="4" s="1"/>
  <c r="M74" i="4"/>
  <c r="M65" i="4"/>
  <c r="N65" i="4" s="1"/>
  <c r="M66" i="4"/>
  <c r="N66" i="4" s="1"/>
  <c r="M63" i="4"/>
  <c r="N63" i="4" s="1"/>
  <c r="Q63" i="4" s="1"/>
  <c r="M67" i="4"/>
  <c r="N67" i="4" s="1"/>
  <c r="M52" i="4"/>
  <c r="N52" i="4" s="1"/>
  <c r="Q52" i="4" s="1"/>
  <c r="M69" i="4"/>
  <c r="N69" i="4" s="1"/>
  <c r="M72" i="4"/>
  <c r="N72" i="4" s="1"/>
  <c r="M73" i="4"/>
  <c r="N73" i="4" s="1"/>
  <c r="M75" i="4"/>
  <c r="N75" i="4" s="1"/>
  <c r="M79" i="4"/>
  <c r="N79" i="4" s="1"/>
  <c r="M30" i="4"/>
  <c r="N30" i="4" s="1"/>
  <c r="M43" i="4"/>
  <c r="M20" i="4"/>
  <c r="N20" i="4" s="1"/>
  <c r="M31" i="4"/>
  <c r="N31" i="4" s="1"/>
  <c r="M39" i="4"/>
  <c r="N39" i="4" s="1"/>
  <c r="M27" i="4"/>
  <c r="N27" i="4" s="1"/>
  <c r="M22" i="4"/>
  <c r="N22" i="4" s="1"/>
  <c r="M29" i="4"/>
  <c r="N29" i="4" s="1"/>
  <c r="M25" i="4"/>
  <c r="N25" i="4" s="1"/>
  <c r="M13" i="4"/>
  <c r="N13" i="4" s="1"/>
  <c r="Q13" i="4" s="1"/>
  <c r="M50" i="4"/>
  <c r="N50" i="4" s="1"/>
  <c r="M12" i="4"/>
  <c r="M49" i="4"/>
  <c r="M46" i="4"/>
  <c r="N46" i="4" s="1"/>
  <c r="M16" i="4"/>
  <c r="N16" i="4" s="1"/>
  <c r="Q16" i="4" s="1"/>
  <c r="M28" i="4"/>
  <c r="N28" i="4" s="1"/>
  <c r="M17" i="4"/>
  <c r="N17" i="4" s="1"/>
  <c r="Q17" i="4" s="1"/>
  <c r="M42" i="4"/>
  <c r="N42" i="4" s="1"/>
  <c r="M19" i="4"/>
  <c r="N19" i="4" s="1"/>
  <c r="M18" i="4"/>
  <c r="N18" i="4" s="1"/>
  <c r="M3" i="4"/>
  <c r="N3" i="4" s="1"/>
  <c r="Q3" i="4" s="1"/>
  <c r="M21" i="4"/>
  <c r="N21" i="4" s="1"/>
  <c r="M23" i="4"/>
  <c r="N23" i="4" s="1"/>
  <c r="M24" i="4"/>
  <c r="N24" i="4" s="1"/>
  <c r="M26" i="4"/>
  <c r="N26" i="4" s="1"/>
  <c r="M32" i="4"/>
  <c r="N32" i="4" s="1"/>
  <c r="M33" i="4"/>
  <c r="N33" i="4" s="1"/>
  <c r="M34" i="4"/>
  <c r="N34" i="4" s="1"/>
  <c r="M35" i="4"/>
  <c r="N35" i="4" s="1"/>
  <c r="M36" i="4"/>
  <c r="N36" i="4" s="1"/>
  <c r="M37" i="4"/>
  <c r="N37" i="4" s="1"/>
  <c r="M38" i="4"/>
  <c r="N38" i="4" s="1"/>
  <c r="M44" i="4"/>
  <c r="N44" i="4" s="1"/>
  <c r="M45" i="4"/>
  <c r="N45" i="4" s="1"/>
  <c r="M47" i="4"/>
  <c r="N47" i="4" s="1"/>
  <c r="M48" i="4"/>
  <c r="N48" i="4" s="1"/>
  <c r="K40" i="4"/>
  <c r="M40" i="4" s="1"/>
  <c r="N40" i="4" s="1"/>
  <c r="K41" i="4"/>
  <c r="M41" i="4" s="1"/>
  <c r="N41" i="4" s="1"/>
  <c r="H82" i="4"/>
  <c r="M82" i="4" s="1"/>
  <c r="N82" i="4" s="1"/>
  <c r="Q82" i="4" s="1"/>
  <c r="H93" i="4"/>
  <c r="M93" i="4" s="1"/>
  <c r="N93" i="4" s="1"/>
  <c r="K95" i="4"/>
  <c r="H95" i="4"/>
  <c r="K91" i="4"/>
  <c r="M91" i="4" s="1"/>
  <c r="N91" i="4" s="1"/>
  <c r="L45" i="3"/>
  <c r="M45" i="3" s="1"/>
  <c r="P45" i="3" s="1"/>
  <c r="L35" i="3"/>
  <c r="M35" i="3" s="1"/>
  <c r="P35" i="3" s="1"/>
  <c r="L36" i="3"/>
  <c r="M36" i="3" s="1"/>
  <c r="P36" i="3" s="1"/>
  <c r="L41" i="3"/>
  <c r="M41" i="3" s="1"/>
  <c r="P41" i="3" s="1"/>
  <c r="L57" i="3"/>
  <c r="M57" i="3" s="1"/>
  <c r="P57" i="3" s="1"/>
  <c r="L46" i="3"/>
  <c r="M46" i="3" s="1"/>
  <c r="P46" i="3" s="1"/>
  <c r="L34" i="3"/>
  <c r="M34" i="3" s="1"/>
  <c r="P34" i="3" s="1"/>
  <c r="L48" i="3"/>
  <c r="M48" i="3" s="1"/>
  <c r="P48" i="3" s="1"/>
  <c r="L53" i="3"/>
  <c r="M53" i="3" s="1"/>
  <c r="L54" i="3"/>
  <c r="M54" i="3" s="1"/>
  <c r="P54" i="3" s="1"/>
  <c r="L59" i="3"/>
  <c r="M59" i="3" s="1"/>
  <c r="P59" i="3" s="1"/>
  <c r="L90" i="3"/>
  <c r="M90" i="3" s="1"/>
  <c r="L91" i="3"/>
  <c r="M91" i="3" s="1"/>
  <c r="L92" i="3"/>
  <c r="M92" i="3" s="1"/>
  <c r="L95" i="3"/>
  <c r="M95" i="3" s="1"/>
  <c r="L96" i="3"/>
  <c r="M96" i="3" s="1"/>
  <c r="L97" i="3"/>
  <c r="M97" i="3" s="1"/>
  <c r="L98" i="3"/>
  <c r="M98" i="3" s="1"/>
  <c r="L99" i="3"/>
  <c r="M99" i="3" s="1"/>
  <c r="L100" i="3"/>
  <c r="M100" i="3" s="1"/>
  <c r="L37" i="3"/>
  <c r="M37" i="3" s="1"/>
  <c r="P37" i="3" s="1"/>
  <c r="L40" i="3"/>
  <c r="M40" i="3" s="1"/>
  <c r="P40" i="3" s="1"/>
  <c r="L44" i="3"/>
  <c r="M44" i="3" s="1"/>
  <c r="P44" i="3" s="1"/>
  <c r="L50" i="3"/>
  <c r="M50" i="3" s="1"/>
  <c r="P50" i="3" s="1"/>
  <c r="L52" i="3"/>
  <c r="M52" i="3" s="1"/>
  <c r="P52" i="3" s="1"/>
  <c r="L33" i="3"/>
  <c r="M33" i="3" s="1"/>
  <c r="P33" i="3" s="1"/>
  <c r="L38" i="3"/>
  <c r="M38" i="3" s="1"/>
  <c r="P38" i="3" s="1"/>
  <c r="L39" i="3"/>
  <c r="M39" i="3" s="1"/>
  <c r="P39" i="3" s="1"/>
  <c r="L43" i="3"/>
  <c r="M43" i="3" s="1"/>
  <c r="P43" i="3" s="1"/>
  <c r="L56" i="3"/>
  <c r="M56" i="3" s="1"/>
  <c r="P56" i="3" s="1"/>
  <c r="L55" i="3"/>
  <c r="M55" i="3" s="1"/>
  <c r="P55" i="3" s="1"/>
  <c r="L58" i="3"/>
  <c r="M58" i="3" s="1"/>
  <c r="P58" i="3" s="1"/>
  <c r="L60" i="3"/>
  <c r="M60" i="3" s="1"/>
  <c r="P60" i="3" s="1"/>
  <c r="L79" i="3"/>
  <c r="M79" i="3" s="1"/>
  <c r="L80" i="3"/>
  <c r="M80" i="3" s="1"/>
  <c r="L81" i="3"/>
  <c r="M81" i="3" s="1"/>
  <c r="L82" i="3"/>
  <c r="M82" i="3" s="1"/>
  <c r="L83" i="3"/>
  <c r="M83" i="3" s="1"/>
  <c r="L84" i="3"/>
  <c r="M84" i="3" s="1"/>
  <c r="L85" i="3"/>
  <c r="M85" i="3" s="1"/>
  <c r="L86" i="3"/>
  <c r="M86" i="3" s="1"/>
  <c r="L87" i="3"/>
  <c r="M87" i="3" s="1"/>
  <c r="L88" i="3"/>
  <c r="M88" i="3" s="1"/>
  <c r="L89" i="3"/>
  <c r="M89" i="3" s="1"/>
  <c r="L3" i="3"/>
  <c r="M3" i="3" s="1"/>
  <c r="P3" i="3" s="1"/>
  <c r="L5" i="3"/>
  <c r="M5" i="3" s="1"/>
  <c r="P5" i="3" s="1"/>
  <c r="L8" i="3"/>
  <c r="M8" i="3" s="1"/>
  <c r="P8" i="3" s="1"/>
  <c r="L12" i="3"/>
  <c r="M12" i="3" s="1"/>
  <c r="P12" i="3" s="1"/>
  <c r="L6" i="3"/>
  <c r="M6" i="3" s="1"/>
  <c r="P6" i="3" s="1"/>
  <c r="L11" i="3"/>
  <c r="M11" i="3" s="1"/>
  <c r="P11" i="3" s="1"/>
  <c r="L16" i="3"/>
  <c r="M16" i="3" s="1"/>
  <c r="P16" i="3" s="1"/>
  <c r="L4" i="3"/>
  <c r="M4" i="3" s="1"/>
  <c r="P4" i="3" s="1"/>
  <c r="L7" i="3"/>
  <c r="M7" i="3" s="1"/>
  <c r="P7" i="3" s="1"/>
  <c r="L14" i="3"/>
  <c r="M14" i="3" s="1"/>
  <c r="P14" i="3" s="1"/>
  <c r="L19" i="3"/>
  <c r="M19" i="3" s="1"/>
  <c r="P19" i="3" s="1"/>
  <c r="L9" i="3"/>
  <c r="M9" i="3" s="1"/>
  <c r="P9" i="3" s="1"/>
  <c r="L20" i="3"/>
  <c r="M20" i="3" s="1"/>
  <c r="P20" i="3" s="1"/>
  <c r="L13" i="3"/>
  <c r="M13" i="3" s="1"/>
  <c r="P13" i="3" s="1"/>
  <c r="L21" i="3"/>
  <c r="M21" i="3" s="1"/>
  <c r="P21" i="3" s="1"/>
  <c r="L22" i="3"/>
  <c r="M22" i="3" s="1"/>
  <c r="P22" i="3" s="1"/>
  <c r="L17" i="3"/>
  <c r="M17" i="3" s="1"/>
  <c r="P17" i="3" s="1"/>
  <c r="L28" i="3"/>
  <c r="M28" i="3" s="1"/>
  <c r="L15" i="3"/>
  <c r="M15" i="3" s="1"/>
  <c r="P15" i="3" s="1"/>
  <c r="L24" i="3"/>
  <c r="M24" i="3" s="1"/>
  <c r="P24" i="3" s="1"/>
  <c r="L25" i="3"/>
  <c r="M25" i="3" s="1"/>
  <c r="P25" i="3" s="1"/>
  <c r="L29" i="3"/>
  <c r="M29" i="3" s="1"/>
  <c r="P29" i="3" s="1"/>
  <c r="L10" i="3"/>
  <c r="M10" i="3" s="1"/>
  <c r="P10" i="3" s="1"/>
  <c r="L18" i="3"/>
  <c r="M18" i="3" s="1"/>
  <c r="P18" i="3" s="1"/>
  <c r="L30" i="3"/>
  <c r="M30" i="3" s="1"/>
  <c r="P30" i="3" s="1"/>
  <c r="L26" i="3"/>
  <c r="M26" i="3" s="1"/>
  <c r="P26" i="3" s="1"/>
  <c r="L27" i="3"/>
  <c r="M27" i="3" s="1"/>
  <c r="P27" i="3" s="1"/>
  <c r="L31" i="3"/>
  <c r="M31" i="3" s="1"/>
  <c r="P31" i="3" s="1"/>
  <c r="L32" i="3"/>
  <c r="M32" i="3" s="1"/>
  <c r="P32" i="3" s="1"/>
  <c r="L61" i="3"/>
  <c r="M61" i="3" s="1"/>
  <c r="L62" i="3"/>
  <c r="M62" i="3" s="1"/>
  <c r="L63" i="3"/>
  <c r="M63" i="3" s="1"/>
  <c r="L64" i="3"/>
  <c r="M64" i="3" s="1"/>
  <c r="L65" i="3"/>
  <c r="M65" i="3" s="1"/>
  <c r="L66" i="3"/>
  <c r="M66" i="3" s="1"/>
  <c r="L67" i="3"/>
  <c r="M67" i="3" s="1"/>
  <c r="L68" i="3"/>
  <c r="M68" i="3" s="1"/>
  <c r="L69" i="3"/>
  <c r="M69" i="3" s="1"/>
  <c r="L70" i="3"/>
  <c r="M70" i="3" s="1"/>
  <c r="L71" i="3"/>
  <c r="M71" i="3" s="1"/>
  <c r="L72" i="3"/>
  <c r="M72" i="3" s="1"/>
  <c r="L73" i="3"/>
  <c r="M73" i="3" s="1"/>
  <c r="L74" i="3"/>
  <c r="M74" i="3" s="1"/>
  <c r="L75" i="3"/>
  <c r="M75" i="3" s="1"/>
  <c r="L76" i="3"/>
  <c r="M76" i="3" s="1"/>
  <c r="L77" i="3"/>
  <c r="M77" i="3" s="1"/>
  <c r="L78" i="3"/>
  <c r="M78" i="3" s="1"/>
  <c r="P90" i="3"/>
  <c r="P91" i="3"/>
  <c r="P92" i="3"/>
  <c r="P93" i="3"/>
  <c r="P94" i="3"/>
  <c r="P95" i="3"/>
  <c r="P96" i="3"/>
  <c r="P97" i="3"/>
  <c r="P98" i="3"/>
  <c r="P99" i="3"/>
  <c r="P100" i="3"/>
  <c r="P79" i="3"/>
  <c r="P80" i="3"/>
  <c r="P81" i="3"/>
  <c r="P82" i="3"/>
  <c r="P83" i="3"/>
  <c r="P84" i="3"/>
  <c r="P85" i="3"/>
  <c r="P86" i="3"/>
  <c r="P87" i="3"/>
  <c r="P88" i="3"/>
  <c r="P89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N45" i="3"/>
  <c r="N35" i="3"/>
  <c r="N36" i="3"/>
  <c r="N41" i="3"/>
  <c r="N57" i="3"/>
  <c r="N46" i="3"/>
  <c r="N34" i="3"/>
  <c r="N48" i="3"/>
  <c r="N54" i="3"/>
  <c r="N59" i="3"/>
  <c r="N90" i="3"/>
  <c r="N91" i="3"/>
  <c r="N92" i="3"/>
  <c r="N93" i="3"/>
  <c r="N94" i="3"/>
  <c r="N95" i="3"/>
  <c r="N96" i="3"/>
  <c r="N97" i="3"/>
  <c r="N98" i="3"/>
  <c r="N99" i="3"/>
  <c r="N100" i="3"/>
  <c r="N37" i="3"/>
  <c r="N40" i="3"/>
  <c r="N44" i="3"/>
  <c r="N50" i="3"/>
  <c r="N51" i="3"/>
  <c r="N52" i="3"/>
  <c r="N33" i="3"/>
  <c r="N47" i="3"/>
  <c r="N49" i="3"/>
  <c r="N38" i="3"/>
  <c r="N39" i="3"/>
  <c r="N43" i="3"/>
  <c r="N56" i="3"/>
  <c r="N55" i="3"/>
  <c r="N58" i="3"/>
  <c r="N60" i="3"/>
  <c r="N79" i="3"/>
  <c r="N80" i="3"/>
  <c r="N81" i="3"/>
  <c r="N82" i="3"/>
  <c r="N83" i="3"/>
  <c r="N84" i="3"/>
  <c r="N85" i="3"/>
  <c r="N86" i="3"/>
  <c r="N87" i="3"/>
  <c r="N88" i="3"/>
  <c r="N89" i="3"/>
  <c r="N3" i="3"/>
  <c r="N5" i="3"/>
  <c r="N8" i="3"/>
  <c r="N12" i="3"/>
  <c r="N6" i="3"/>
  <c r="N11" i="3"/>
  <c r="N16" i="3"/>
  <c r="N4" i="3"/>
  <c r="N7" i="3"/>
  <c r="N14" i="3"/>
  <c r="N19" i="3"/>
  <c r="N9" i="3"/>
  <c r="N20" i="3"/>
  <c r="N13" i="3"/>
  <c r="N21" i="3"/>
  <c r="N22" i="3"/>
  <c r="N17" i="3"/>
  <c r="N15" i="3"/>
  <c r="N24" i="3"/>
  <c r="N25" i="3"/>
  <c r="N29" i="3"/>
  <c r="N10" i="3"/>
  <c r="N18" i="3"/>
  <c r="N30" i="3"/>
  <c r="N26" i="3"/>
  <c r="N27" i="3"/>
  <c r="N31" i="3"/>
  <c r="N32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K53" i="3"/>
  <c r="N53" i="3" s="1"/>
  <c r="K42" i="3"/>
  <c r="N42" i="3" s="1"/>
  <c r="K23" i="3"/>
  <c r="L23" i="3" s="1"/>
  <c r="K28" i="3"/>
  <c r="N28" i="3" s="1"/>
  <c r="H94" i="3"/>
  <c r="H93" i="3"/>
  <c r="L93" i="3" s="1"/>
  <c r="H42" i="3"/>
  <c r="L42" i="3" s="1"/>
  <c r="M77" i="2"/>
  <c r="O8" i="2"/>
  <c r="M8" i="2"/>
  <c r="K8" i="2"/>
  <c r="L8" i="2" s="1"/>
  <c r="O25" i="2"/>
  <c r="M25" i="2"/>
  <c r="K25" i="2"/>
  <c r="L25" i="2" s="1"/>
  <c r="O24" i="2"/>
  <c r="M24" i="2"/>
  <c r="K24" i="2"/>
  <c r="L24" i="2" s="1"/>
  <c r="O32" i="2"/>
  <c r="M32" i="2"/>
  <c r="H32" i="2"/>
  <c r="K32" i="2" s="1"/>
  <c r="L32" i="2" s="1"/>
  <c r="O38" i="2"/>
  <c r="M38" i="2"/>
  <c r="K38" i="2"/>
  <c r="L38" i="2" s="1"/>
  <c r="O61" i="2"/>
  <c r="M61" i="2"/>
  <c r="K61" i="2"/>
  <c r="L61" i="2" s="1"/>
  <c r="O73" i="2"/>
  <c r="M73" i="2"/>
  <c r="K73" i="2"/>
  <c r="L73" i="2" s="1"/>
  <c r="O75" i="2"/>
  <c r="M75" i="2"/>
  <c r="K75" i="2"/>
  <c r="L75" i="2" s="1"/>
  <c r="O81" i="2"/>
  <c r="M81" i="2"/>
  <c r="K81" i="2"/>
  <c r="L81" i="2" s="1"/>
  <c r="O84" i="2"/>
  <c r="M84" i="2"/>
  <c r="K84" i="2"/>
  <c r="L84" i="2" s="1"/>
  <c r="O48" i="2"/>
  <c r="M48" i="2"/>
  <c r="H48" i="2"/>
  <c r="K48" i="2" s="1"/>
  <c r="L48" i="2" s="1"/>
  <c r="O92" i="2"/>
  <c r="M92" i="2"/>
  <c r="K92" i="2"/>
  <c r="L92" i="2" s="1"/>
  <c r="M17" i="2"/>
  <c r="K17" i="2"/>
  <c r="L17" i="2" s="1"/>
  <c r="M59" i="2"/>
  <c r="K59" i="2"/>
  <c r="L59" i="2" s="1"/>
  <c r="M23" i="2"/>
  <c r="K23" i="2"/>
  <c r="L23" i="2" s="1"/>
  <c r="M82" i="2"/>
  <c r="K82" i="2"/>
  <c r="L82" i="2" s="1"/>
  <c r="M47" i="2"/>
  <c r="K47" i="2"/>
  <c r="L47" i="2" s="1"/>
  <c r="M16" i="2"/>
  <c r="K16" i="2"/>
  <c r="L16" i="2" s="1"/>
  <c r="M7" i="2"/>
  <c r="K7" i="2"/>
  <c r="L7" i="2" s="1"/>
  <c r="M80" i="2"/>
  <c r="H80" i="2"/>
  <c r="K80" i="2" s="1"/>
  <c r="L80" i="2" s="1"/>
  <c r="M60" i="2"/>
  <c r="K60" i="2"/>
  <c r="L60" i="2" s="1"/>
  <c r="M30" i="2"/>
  <c r="K30" i="2"/>
  <c r="L30" i="2" s="1"/>
  <c r="M58" i="2"/>
  <c r="K58" i="2"/>
  <c r="L58" i="2" s="1"/>
  <c r="O44" i="2"/>
  <c r="M44" i="2"/>
  <c r="K44" i="2"/>
  <c r="L44" i="2" s="1"/>
  <c r="O5" i="2"/>
  <c r="M5" i="2"/>
  <c r="K5" i="2"/>
  <c r="L5" i="2" s="1"/>
  <c r="O6" i="2"/>
  <c r="M6" i="2"/>
  <c r="K6" i="2"/>
  <c r="L6" i="2" s="1"/>
  <c r="O10" i="2"/>
  <c r="M10" i="2"/>
  <c r="K10" i="2"/>
  <c r="L10" i="2" s="1"/>
  <c r="O11" i="2"/>
  <c r="M11" i="2"/>
  <c r="K11" i="2"/>
  <c r="L11" i="2" s="1"/>
  <c r="O12" i="2"/>
  <c r="M12" i="2"/>
  <c r="K12" i="2"/>
  <c r="L12" i="2" s="1"/>
  <c r="O15" i="2"/>
  <c r="M15" i="2"/>
  <c r="K15" i="2"/>
  <c r="L15" i="2" s="1"/>
  <c r="O36" i="2"/>
  <c r="M36" i="2"/>
  <c r="K36" i="2"/>
  <c r="L36" i="2" s="1"/>
  <c r="O40" i="2"/>
  <c r="M40" i="2"/>
  <c r="K40" i="2"/>
  <c r="L40" i="2" s="1"/>
  <c r="O52" i="2"/>
  <c r="M52" i="2"/>
  <c r="K52" i="2"/>
  <c r="L52" i="2" s="1"/>
  <c r="O50" i="2"/>
  <c r="M50" i="2"/>
  <c r="K50" i="2"/>
  <c r="L50" i="2" s="1"/>
  <c r="O51" i="2"/>
  <c r="M51" i="2"/>
  <c r="K51" i="2"/>
  <c r="L51" i="2" s="1"/>
  <c r="O66" i="2"/>
  <c r="M66" i="2"/>
  <c r="K66" i="2"/>
  <c r="L66" i="2" s="1"/>
  <c r="O85" i="2"/>
  <c r="M85" i="2"/>
  <c r="K85" i="2"/>
  <c r="L85" i="2" s="1"/>
  <c r="M70" i="2"/>
  <c r="K70" i="2"/>
  <c r="L70" i="2" s="1"/>
  <c r="M49" i="2"/>
  <c r="K49" i="2"/>
  <c r="L49" i="2" s="1"/>
  <c r="M33" i="2"/>
  <c r="K33" i="2"/>
  <c r="L33" i="2" s="1"/>
  <c r="M26" i="2"/>
  <c r="K26" i="2"/>
  <c r="L26" i="2" s="1"/>
  <c r="M4" i="2"/>
  <c r="K4" i="2"/>
  <c r="L4" i="2" s="1"/>
  <c r="M19" i="2"/>
  <c r="K19" i="2"/>
  <c r="L19" i="2" s="1"/>
  <c r="M3" i="2"/>
  <c r="M9" i="2"/>
  <c r="K9" i="2"/>
  <c r="L9" i="2" s="1"/>
  <c r="M39" i="2"/>
  <c r="K39" i="2"/>
  <c r="L39" i="2" s="1"/>
  <c r="M18" i="2"/>
  <c r="K18" i="2"/>
  <c r="L18" i="2" s="1"/>
  <c r="O13" i="2"/>
  <c r="M13" i="2"/>
  <c r="K13" i="2"/>
  <c r="L13" i="2" s="1"/>
  <c r="O14" i="2"/>
  <c r="M14" i="2"/>
  <c r="K14" i="2"/>
  <c r="L14" i="2" s="1"/>
  <c r="O20" i="2"/>
  <c r="M20" i="2"/>
  <c r="K20" i="2"/>
  <c r="L20" i="2" s="1"/>
  <c r="O28" i="2"/>
  <c r="M28" i="2"/>
  <c r="K28" i="2"/>
  <c r="L28" i="2" s="1"/>
  <c r="O27" i="2"/>
  <c r="M27" i="2"/>
  <c r="K27" i="2"/>
  <c r="L27" i="2" s="1"/>
  <c r="O31" i="2"/>
  <c r="M31" i="2"/>
  <c r="K31" i="2"/>
  <c r="L31" i="2" s="1"/>
  <c r="O34" i="2"/>
  <c r="M34" i="2"/>
  <c r="K34" i="2"/>
  <c r="L34" i="2" s="1"/>
  <c r="O35" i="2"/>
  <c r="M35" i="2"/>
  <c r="K35" i="2"/>
  <c r="L35" i="2" s="1"/>
  <c r="O45" i="2"/>
  <c r="M45" i="2"/>
  <c r="K45" i="2"/>
  <c r="L45" i="2" s="1"/>
  <c r="O42" i="2"/>
  <c r="M42" i="2"/>
  <c r="K42" i="2"/>
  <c r="L42" i="2" s="1"/>
  <c r="O43" i="2"/>
  <c r="M43" i="2"/>
  <c r="K43" i="2"/>
  <c r="L43" i="2" s="1"/>
  <c r="O41" i="2"/>
  <c r="M41" i="2"/>
  <c r="K41" i="2"/>
  <c r="L41" i="2" s="1"/>
  <c r="O46" i="2"/>
  <c r="M46" i="2"/>
  <c r="K46" i="2"/>
  <c r="L46" i="2" s="1"/>
  <c r="O55" i="2"/>
  <c r="M55" i="2"/>
  <c r="K55" i="2"/>
  <c r="L55" i="2" s="1"/>
  <c r="O57" i="2"/>
  <c r="M57" i="2"/>
  <c r="K57" i="2"/>
  <c r="L57" i="2" s="1"/>
  <c r="O65" i="2"/>
  <c r="M65" i="2"/>
  <c r="K65" i="2"/>
  <c r="L65" i="2" s="1"/>
  <c r="O64" i="2"/>
  <c r="M64" i="2"/>
  <c r="K64" i="2"/>
  <c r="L64" i="2" s="1"/>
  <c r="O69" i="2"/>
  <c r="M69" i="2"/>
  <c r="K69" i="2"/>
  <c r="L69" i="2" s="1"/>
  <c r="O68" i="2"/>
  <c r="M68" i="2"/>
  <c r="K68" i="2"/>
  <c r="L68" i="2" s="1"/>
  <c r="O72" i="2"/>
  <c r="M72" i="2"/>
  <c r="K72" i="2"/>
  <c r="L72" i="2" s="1"/>
  <c r="O74" i="2"/>
  <c r="M74" i="2"/>
  <c r="K74" i="2"/>
  <c r="L74" i="2" s="1"/>
  <c r="O76" i="2"/>
  <c r="M76" i="2"/>
  <c r="K76" i="2"/>
  <c r="L76" i="2" s="1"/>
  <c r="O79" i="2"/>
  <c r="M79" i="2"/>
  <c r="K79" i="2"/>
  <c r="L79" i="2" s="1"/>
  <c r="O78" i="2"/>
  <c r="M78" i="2"/>
  <c r="K78" i="2"/>
  <c r="L78" i="2" s="1"/>
  <c r="O89" i="2"/>
  <c r="M89" i="2"/>
  <c r="K89" i="2"/>
  <c r="L89" i="2" s="1"/>
  <c r="O88" i="2"/>
  <c r="M88" i="2"/>
  <c r="K88" i="2"/>
  <c r="L88" i="2" s="1"/>
  <c r="O87" i="2"/>
  <c r="M87" i="2"/>
  <c r="K87" i="2"/>
  <c r="L87" i="2" s="1"/>
  <c r="O90" i="2"/>
  <c r="M90" i="2"/>
  <c r="K90" i="2"/>
  <c r="L90" i="2" s="1"/>
  <c r="O91" i="2"/>
  <c r="M91" i="2"/>
  <c r="K91" i="2"/>
  <c r="L91" i="2" s="1"/>
  <c r="O93" i="2"/>
  <c r="M93" i="2"/>
  <c r="K93" i="2"/>
  <c r="L93" i="2" s="1"/>
  <c r="O94" i="2"/>
  <c r="M94" i="2"/>
  <c r="K94" i="2"/>
  <c r="L94" i="2" s="1"/>
  <c r="O21" i="2"/>
  <c r="M21" i="2"/>
  <c r="K21" i="2"/>
  <c r="L21" i="2" s="1"/>
  <c r="O95" i="2"/>
  <c r="M95" i="2"/>
  <c r="K95" i="2"/>
  <c r="L95" i="2" s="1"/>
  <c r="O53" i="2"/>
  <c r="M53" i="2"/>
  <c r="K53" i="2"/>
  <c r="L53" i="2" s="1"/>
  <c r="O96" i="2"/>
  <c r="M96" i="2"/>
  <c r="K96" i="2"/>
  <c r="L96" i="2" s="1"/>
  <c r="M63" i="2"/>
  <c r="K63" i="2"/>
  <c r="L63" i="2" s="1"/>
  <c r="M62" i="2"/>
  <c r="K62" i="2"/>
  <c r="L62" i="2" s="1"/>
  <c r="M56" i="2"/>
  <c r="K56" i="2"/>
  <c r="L56" i="2" s="1"/>
  <c r="M22" i="2"/>
  <c r="K22" i="2"/>
  <c r="L22" i="2" s="1"/>
  <c r="M83" i="2"/>
  <c r="K83" i="2"/>
  <c r="L83" i="2" s="1"/>
  <c r="M29" i="2"/>
  <c r="K29" i="2"/>
  <c r="L29" i="2" s="1"/>
  <c r="M86" i="2"/>
  <c r="K86" i="2"/>
  <c r="L86" i="2" s="1"/>
  <c r="M67" i="2"/>
  <c r="K67" i="2"/>
  <c r="L67" i="2" s="1"/>
  <c r="M54" i="2"/>
  <c r="K54" i="2"/>
  <c r="L54" i="2" s="1"/>
  <c r="M71" i="2"/>
  <c r="K71" i="2"/>
  <c r="L71" i="2" s="1"/>
  <c r="M37" i="2"/>
  <c r="K37" i="2"/>
  <c r="L37" i="2" s="1"/>
  <c r="K77" i="2"/>
  <c r="L77" i="2" s="1"/>
  <c r="T208" i="1"/>
  <c r="U208" i="1" s="1"/>
  <c r="T206" i="1"/>
  <c r="U206" i="1" s="1"/>
  <c r="T204" i="1"/>
  <c r="U204" i="1" s="1"/>
  <c r="T202" i="1"/>
  <c r="U202" i="1" s="1"/>
  <c r="T200" i="1"/>
  <c r="U200" i="1" s="1"/>
  <c r="T198" i="1"/>
  <c r="U198" i="1" s="1"/>
  <c r="T196" i="1"/>
  <c r="U196" i="1" s="1"/>
  <c r="T194" i="1"/>
  <c r="U194" i="1" s="1"/>
  <c r="T192" i="1"/>
  <c r="U192" i="1" s="1"/>
  <c r="T190" i="1"/>
  <c r="U190" i="1" s="1"/>
  <c r="T188" i="1"/>
  <c r="U188" i="1" s="1"/>
  <c r="T186" i="1"/>
  <c r="U186" i="1" s="1"/>
  <c r="T184" i="1"/>
  <c r="U184" i="1" s="1"/>
  <c r="T182" i="1"/>
  <c r="U182" i="1" s="1"/>
  <c r="T180" i="1"/>
  <c r="U180" i="1" s="1"/>
  <c r="T178" i="1"/>
  <c r="U178" i="1" s="1"/>
  <c r="T176" i="1"/>
  <c r="U176" i="1" s="1"/>
  <c r="T174" i="1"/>
  <c r="U174" i="1" s="1"/>
  <c r="T172" i="1"/>
  <c r="U172" i="1" s="1"/>
  <c r="T170" i="1"/>
  <c r="U170" i="1" s="1"/>
  <c r="T168" i="1"/>
  <c r="U168" i="1" s="1"/>
  <c r="T166" i="1"/>
  <c r="U166" i="1" s="1"/>
  <c r="T164" i="1"/>
  <c r="U164" i="1" s="1"/>
  <c r="T162" i="1"/>
  <c r="U162" i="1" s="1"/>
  <c r="T160" i="1"/>
  <c r="U160" i="1" s="1"/>
  <c r="T158" i="1"/>
  <c r="U158" i="1" s="1"/>
  <c r="T156" i="1"/>
  <c r="U156" i="1" s="1"/>
  <c r="T154" i="1"/>
  <c r="U154" i="1" s="1"/>
  <c r="T152" i="1"/>
  <c r="U152" i="1" s="1"/>
  <c r="T150" i="1"/>
  <c r="U150" i="1" s="1"/>
  <c r="T148" i="1"/>
  <c r="U148" i="1" s="1"/>
  <c r="T146" i="1"/>
  <c r="U146" i="1" s="1"/>
  <c r="T144" i="1"/>
  <c r="U144" i="1" s="1"/>
  <c r="T142" i="1"/>
  <c r="U142" i="1" s="1"/>
  <c r="T140" i="1"/>
  <c r="U140" i="1" s="1"/>
  <c r="T138" i="1"/>
  <c r="U138" i="1" s="1"/>
  <c r="T136" i="1"/>
  <c r="U136" i="1" s="1"/>
  <c r="T134" i="1"/>
  <c r="U134" i="1" s="1"/>
  <c r="T132" i="1"/>
  <c r="U132" i="1" s="1"/>
  <c r="T130" i="1"/>
  <c r="U130" i="1" s="1"/>
  <c r="T128" i="1"/>
  <c r="U128" i="1" s="1"/>
  <c r="T126" i="1"/>
  <c r="U126" i="1" s="1"/>
  <c r="T124" i="1"/>
  <c r="U124" i="1" s="1"/>
  <c r="T122" i="1"/>
  <c r="U122" i="1" s="1"/>
  <c r="T120" i="1"/>
  <c r="U120" i="1" s="1"/>
  <c r="T118" i="1"/>
  <c r="U118" i="1" s="1"/>
  <c r="T116" i="1"/>
  <c r="U116" i="1" s="1"/>
  <c r="T114" i="1"/>
  <c r="U114" i="1" s="1"/>
  <c r="T112" i="1"/>
  <c r="U112" i="1" s="1"/>
  <c r="T110" i="1"/>
  <c r="U110" i="1" s="1"/>
  <c r="T108" i="1"/>
  <c r="U108" i="1" s="1"/>
  <c r="T106" i="1"/>
  <c r="U106" i="1" s="1"/>
  <c r="T104" i="1"/>
  <c r="U104" i="1" s="1"/>
  <c r="T102" i="1"/>
  <c r="U102" i="1" s="1"/>
  <c r="T100" i="1"/>
  <c r="U100" i="1" s="1"/>
  <c r="T98" i="1"/>
  <c r="U98" i="1" s="1"/>
  <c r="T96" i="1"/>
  <c r="U96" i="1" s="1"/>
  <c r="T94" i="1"/>
  <c r="U94" i="1" s="1"/>
  <c r="T92" i="1"/>
  <c r="U92" i="1" s="1"/>
  <c r="T90" i="1"/>
  <c r="U90" i="1" s="1"/>
  <c r="T88" i="1"/>
  <c r="U88" i="1" s="1"/>
  <c r="T86" i="1"/>
  <c r="U86" i="1" s="1"/>
  <c r="T84" i="1"/>
  <c r="U84" i="1" s="1"/>
  <c r="T82" i="1"/>
  <c r="U82" i="1" s="1"/>
  <c r="T80" i="1"/>
  <c r="U80" i="1" s="1"/>
  <c r="T78" i="1"/>
  <c r="U78" i="1" s="1"/>
  <c r="T76" i="1"/>
  <c r="U76" i="1" s="1"/>
  <c r="O74" i="1"/>
  <c r="T74" i="1" s="1"/>
  <c r="U74" i="1" s="1"/>
  <c r="T72" i="1"/>
  <c r="U72" i="1" s="1"/>
  <c r="T70" i="1"/>
  <c r="U70" i="1" s="1"/>
  <c r="T68" i="1"/>
  <c r="U68" i="1" s="1"/>
  <c r="T66" i="1"/>
  <c r="U66" i="1" s="1"/>
  <c r="T64" i="1"/>
  <c r="U64" i="1" s="1"/>
  <c r="T62" i="1"/>
  <c r="U62" i="1" s="1"/>
  <c r="T60" i="1"/>
  <c r="U60" i="1" s="1"/>
  <c r="T58" i="1"/>
  <c r="U58" i="1" s="1"/>
  <c r="T56" i="1"/>
  <c r="U56" i="1" s="1"/>
  <c r="T54" i="1"/>
  <c r="U54" i="1" s="1"/>
  <c r="T52" i="1"/>
  <c r="U52" i="1" s="1"/>
  <c r="T50" i="1"/>
  <c r="U50" i="1" s="1"/>
  <c r="T48" i="1"/>
  <c r="U48" i="1" s="1"/>
  <c r="O46" i="1"/>
  <c r="T46" i="1" s="1"/>
  <c r="U46" i="1" s="1"/>
  <c r="T44" i="1"/>
  <c r="U44" i="1" s="1"/>
  <c r="T42" i="1"/>
  <c r="U42" i="1" s="1"/>
  <c r="T40" i="1"/>
  <c r="U40" i="1" s="1"/>
  <c r="T38" i="1"/>
  <c r="U38" i="1" s="1"/>
  <c r="T36" i="1"/>
  <c r="U36" i="1" s="1"/>
  <c r="T34" i="1"/>
  <c r="U34" i="1" s="1"/>
  <c r="T32" i="1"/>
  <c r="U32" i="1" s="1"/>
  <c r="T30" i="1"/>
  <c r="U30" i="1" s="1"/>
  <c r="T28" i="1"/>
  <c r="U28" i="1" s="1"/>
  <c r="T26" i="1"/>
  <c r="U26" i="1" s="1"/>
  <c r="T24" i="1"/>
  <c r="U24" i="1" s="1"/>
  <c r="T22" i="1"/>
  <c r="U22" i="1" s="1"/>
  <c r="T20" i="1"/>
  <c r="U20" i="1" s="1"/>
  <c r="O18" i="1"/>
  <c r="T18" i="1" s="1"/>
  <c r="U18" i="1" s="1"/>
  <c r="O16" i="1"/>
  <c r="T16" i="1" s="1"/>
  <c r="U16" i="1" s="1"/>
  <c r="T14" i="1"/>
  <c r="U14" i="1" s="1"/>
  <c r="T12" i="1"/>
  <c r="U12" i="1" s="1"/>
  <c r="T10" i="1"/>
  <c r="U10" i="1" s="1"/>
  <c r="T8" i="1"/>
  <c r="U8" i="1" s="1"/>
  <c r="T6" i="1"/>
  <c r="U6" i="1" s="1"/>
  <c r="T4" i="1"/>
  <c r="U4" i="1" s="1"/>
  <c r="Q58" i="4" l="1"/>
  <c r="P28" i="3"/>
  <c r="N23" i="3"/>
  <c r="P53" i="3"/>
  <c r="M95" i="4"/>
  <c r="N95" i="4" s="1"/>
  <c r="N49" i="4"/>
  <c r="N60" i="4"/>
  <c r="Q60" i="4" s="1"/>
  <c r="N12" i="4"/>
  <c r="Q12" i="4" s="1"/>
  <c r="N71" i="4"/>
  <c r="N101" i="4"/>
  <c r="N55" i="4"/>
  <c r="Q55" i="4" s="1"/>
  <c r="N74" i="4"/>
  <c r="N43" i="4"/>
  <c r="L94" i="3"/>
  <c r="M94" i="3" s="1"/>
  <c r="M93" i="3"/>
  <c r="M23" i="3"/>
  <c r="P23" i="3" s="1"/>
  <c r="M42" i="3"/>
  <c r="P42" i="3" s="1"/>
  <c r="O83" i="2"/>
  <c r="O39" i="2"/>
  <c r="O54" i="2"/>
  <c r="O62" i="2"/>
  <c r="O49" i="2"/>
  <c r="O7" i="2"/>
  <c r="O17" i="2"/>
  <c r="O59" i="2"/>
  <c r="O82" i="2"/>
  <c r="O70" i="2"/>
  <c r="O56" i="2"/>
  <c r="O23" i="2"/>
  <c r="O4" i="2"/>
  <c r="O22" i="2"/>
  <c r="O80" i="2"/>
  <c r="O67" i="2"/>
  <c r="O26" i="2"/>
  <c r="O77" i="2"/>
  <c r="O16" i="2"/>
  <c r="O37" i="2"/>
  <c r="O30" i="2"/>
  <c r="O3" i="2"/>
  <c r="O29" i="2"/>
  <c r="O33" i="2"/>
  <c r="O9" i="2"/>
  <c r="O19" i="2"/>
  <c r="O18" i="2"/>
  <c r="O58" i="2"/>
  <c r="O60" i="2"/>
  <c r="O47" i="2"/>
  <c r="O86" i="2"/>
  <c r="O63" i="2"/>
  <c r="O7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operations</author>
  </authors>
  <commentList>
    <comment ref="L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AV:
HC Calculation for F class
=MAX(0, 120 - Avg of previous 5 scores) * 0.66
HC Calculation for TR &amp; Hunter
=MAX(0, 100 - Avg of previous 5 scores) * 0.66
With this system Scores are not capped at 100 or 120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 Viccars</author>
  </authors>
  <commentList>
    <comment ref="P2" authorId="0" shapeId="0" xr:uid="{52B5582A-D719-4CB1-A6B1-C2D3405B3219}">
      <text>
        <r>
          <rPr>
            <b/>
            <sz val="9"/>
            <color indexed="81"/>
            <rFont val="Tahoma"/>
            <family val="2"/>
          </rPr>
          <t>Adrian Viccars:</t>
        </r>
        <r>
          <rPr>
            <sz val="9"/>
            <color indexed="81"/>
            <rFont val="Tahoma"/>
            <family val="2"/>
          </rPr>
          <t xml:space="preserve">
Handicap score 
Agg score plus HC score. Not capped at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 Viccars</author>
  </authors>
  <commentList>
    <comment ref="Q2" authorId="0" shapeId="0" xr:uid="{6C087651-5861-477F-BE69-FE1B6D7148BE}">
      <text>
        <r>
          <rPr>
            <b/>
            <sz val="9"/>
            <color indexed="81"/>
            <rFont val="Tahoma"/>
            <family val="2"/>
          </rPr>
          <t>Adrian Viccars:</t>
        </r>
        <r>
          <rPr>
            <sz val="9"/>
            <color indexed="81"/>
            <rFont val="Tahoma"/>
            <family val="2"/>
          </rPr>
          <t xml:space="preserve">
Handicap score 
Agg score plus HC score. Not capped at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 Viccars</author>
  </authors>
  <commentList>
    <comment ref="R3" authorId="0" shapeId="0" xr:uid="{CD49BAD2-1A44-44E8-B78E-82447DE5DCC2}">
      <text>
        <r>
          <rPr>
            <b/>
            <sz val="9"/>
            <color indexed="81"/>
            <rFont val="Tahoma"/>
            <family val="2"/>
          </rPr>
          <t>Adrian Viccars:</t>
        </r>
        <r>
          <rPr>
            <sz val="9"/>
            <color indexed="81"/>
            <rFont val="Tahoma"/>
            <family val="2"/>
          </rPr>
          <t xml:space="preserve">
Handicap score 
Agg score plus HC score. Not capped at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 Viccars</author>
  </authors>
  <commentList>
    <comment ref="S3" authorId="0" shapeId="0" xr:uid="{1FAC7435-667A-4E52-AC17-426F09AA0ED3}">
      <text>
        <r>
          <rPr>
            <b/>
            <sz val="9"/>
            <color indexed="81"/>
            <rFont val="Tahoma"/>
            <family val="2"/>
          </rPr>
          <t>Adrian Viccars:</t>
        </r>
        <r>
          <rPr>
            <sz val="9"/>
            <color indexed="81"/>
            <rFont val="Tahoma"/>
            <family val="2"/>
          </rPr>
          <t xml:space="preserve">
Handicap score 
Agg score plus HC score. Not capped at </t>
        </r>
      </text>
    </comment>
  </commentList>
</comments>
</file>

<file path=xl/sharedStrings.xml><?xml version="1.0" encoding="utf-8"?>
<sst xmlns="http://schemas.openxmlformats.org/spreadsheetml/2006/main" count="1919" uniqueCount="171">
  <si>
    <t>Original HC Calulations</t>
  </si>
  <si>
    <t>Colac 23</t>
  </si>
  <si>
    <t>PCRC 23</t>
  </si>
  <si>
    <t>GRC 23</t>
  </si>
  <si>
    <t>WRC 2023</t>
  </si>
  <si>
    <t>BMRC 2023</t>
  </si>
  <si>
    <t>Colac 2024</t>
  </si>
  <si>
    <t>VRA OPM</t>
  </si>
  <si>
    <t>PCRC 2024</t>
  </si>
  <si>
    <t>GRC 2024</t>
  </si>
  <si>
    <t>WRC 2024</t>
  </si>
  <si>
    <t>BMRC 2024</t>
  </si>
  <si>
    <t>Name</t>
  </si>
  <si>
    <t>Class</t>
  </si>
  <si>
    <t>Club</t>
  </si>
  <si>
    <t>Pre Colac HC</t>
  </si>
  <si>
    <t>No of Strings</t>
  </si>
  <si>
    <t>Total Combined Scores</t>
  </si>
  <si>
    <t>New HC per Range</t>
  </si>
  <si>
    <t>Adrian Viccars</t>
  </si>
  <si>
    <t>FO</t>
  </si>
  <si>
    <t>Geelong</t>
  </si>
  <si>
    <t>HC</t>
  </si>
  <si>
    <t>David Dredge</t>
  </si>
  <si>
    <t>Robert Bant</t>
  </si>
  <si>
    <t>Ryan Allen</t>
  </si>
  <si>
    <t>Carol Hulett</t>
  </si>
  <si>
    <t>Peter Hulett</t>
  </si>
  <si>
    <t>TR</t>
  </si>
  <si>
    <t>Keith Toh</t>
  </si>
  <si>
    <t>Brodie Dare</t>
  </si>
  <si>
    <t>Neil Mann</t>
  </si>
  <si>
    <t>Kieran O'Regan</t>
  </si>
  <si>
    <t>Jason Webb</t>
  </si>
  <si>
    <t>Jacko Bending</t>
  </si>
  <si>
    <t>Paul Szalmon</t>
  </si>
  <si>
    <t>Ian Parks</t>
  </si>
  <si>
    <t>Peter Thompson</t>
  </si>
  <si>
    <t>Adrian Blood</t>
  </si>
  <si>
    <t>Tony Chay</t>
  </si>
  <si>
    <t>John Hanna</t>
  </si>
  <si>
    <t>Stephen Gwyn</t>
  </si>
  <si>
    <t>`</t>
  </si>
  <si>
    <t>Steven Wills</t>
  </si>
  <si>
    <t>Johhno</t>
  </si>
  <si>
    <t>Stewart Leach</t>
  </si>
  <si>
    <t>Gerald Gierer</t>
  </si>
  <si>
    <t>Nick Patogiannis</t>
  </si>
  <si>
    <t>Rob Staley</t>
  </si>
  <si>
    <t>Jason Spratling</t>
  </si>
  <si>
    <t>Brian Kilpatrick</t>
  </si>
  <si>
    <t>Chris Beretta</t>
  </si>
  <si>
    <t>Ollie Beretta</t>
  </si>
  <si>
    <t>Daryl Chapple</t>
  </si>
  <si>
    <t>Warwick Heath</t>
  </si>
  <si>
    <t>David Heath</t>
  </si>
  <si>
    <t>Bill Poynton</t>
  </si>
  <si>
    <t>Oliver Bailey</t>
  </si>
  <si>
    <t>FC</t>
  </si>
  <si>
    <t>CRC</t>
  </si>
  <si>
    <t>Lisa Donnelly</t>
  </si>
  <si>
    <t>Mike Evans</t>
  </si>
  <si>
    <t>Liam Hall</t>
  </si>
  <si>
    <t>Michael Hall</t>
  </si>
  <si>
    <t>James Hay</t>
  </si>
  <si>
    <t>Andrew Hassett</t>
  </si>
  <si>
    <t>Brad Pickering</t>
  </si>
  <si>
    <t>Selene Pickering</t>
  </si>
  <si>
    <t>Philip Sternhoght</t>
  </si>
  <si>
    <t>Wordon Clinton</t>
  </si>
  <si>
    <t>Brendan Wilson</t>
  </si>
  <si>
    <t>Jason Becroft</t>
  </si>
  <si>
    <t>Julian Saunders</t>
  </si>
  <si>
    <t>Adrian Rousler</t>
  </si>
  <si>
    <t>John Halifax</t>
  </si>
  <si>
    <t>Nichole Lister</t>
  </si>
  <si>
    <t>Andrew Cook</t>
  </si>
  <si>
    <t>Joanne Becroft</t>
  </si>
  <si>
    <t>Murray Howard Brooks</t>
  </si>
  <si>
    <t>Terry Hickey</t>
  </si>
  <si>
    <t>John Mammo</t>
  </si>
  <si>
    <t>Thijs Brouns</t>
  </si>
  <si>
    <t>Ashlee Hawes</t>
  </si>
  <si>
    <t>BMRC</t>
  </si>
  <si>
    <t>Shane Malcolm</t>
  </si>
  <si>
    <t>Steve Aitkenson</t>
  </si>
  <si>
    <t>Beau McMaster</t>
  </si>
  <si>
    <t>Bernie Hawes</t>
  </si>
  <si>
    <t>Frank Horgan</t>
  </si>
  <si>
    <t>James Grayson</t>
  </si>
  <si>
    <t>Geoff Grayson</t>
  </si>
  <si>
    <t>Charles Greer</t>
  </si>
  <si>
    <t>Bela Ori</t>
  </si>
  <si>
    <t>Maya Ori</t>
  </si>
  <si>
    <t>Amanda Jewell</t>
  </si>
  <si>
    <t>PCRC</t>
  </si>
  <si>
    <t>Mark Jewell</t>
  </si>
  <si>
    <t>Wes Eldridge</t>
  </si>
  <si>
    <t>Paul Jeffrey</t>
  </si>
  <si>
    <t>Alan Blain</t>
  </si>
  <si>
    <t>Nathan Bromley</t>
  </si>
  <si>
    <t>Garry Rose</t>
  </si>
  <si>
    <t>South Bendigo</t>
  </si>
  <si>
    <t>Andrew Deans</t>
  </si>
  <si>
    <t>Werribee</t>
  </si>
  <si>
    <t>Bob Chiswell</t>
  </si>
  <si>
    <t>Neville Gutterson</t>
  </si>
  <si>
    <t>Mark Gutterson</t>
  </si>
  <si>
    <t>Tony Ivankovic</t>
  </si>
  <si>
    <t>Terry Kavanagh</t>
  </si>
  <si>
    <t>Ron Hass</t>
  </si>
  <si>
    <t>Bruce Sergeant</t>
  </si>
  <si>
    <t>Adrian Greed</t>
  </si>
  <si>
    <t>Henri Morassaiyan</t>
  </si>
  <si>
    <t>Steven Porter</t>
  </si>
  <si>
    <t>Jett Barton</t>
  </si>
  <si>
    <t>Brett Gabriel</t>
  </si>
  <si>
    <t>Lee Barton</t>
  </si>
  <si>
    <t>David Shepard</t>
  </si>
  <si>
    <t>Michael Hanania</t>
  </si>
  <si>
    <t>Joe Aquillina</t>
  </si>
  <si>
    <t>Stephen Morovitch</t>
  </si>
  <si>
    <t>Bill Austin</t>
  </si>
  <si>
    <t>Jim Zarakis</t>
  </si>
  <si>
    <t>Martin Periera</t>
  </si>
  <si>
    <t>No.11 District Rifle Association</t>
  </si>
  <si>
    <t>Port Campbell Results 2025</t>
  </si>
  <si>
    <t>CRC 2024</t>
  </si>
  <si>
    <t>CRC 2025 Cancelled</t>
  </si>
  <si>
    <t>PCRC 2025</t>
  </si>
  <si>
    <t>Average Score</t>
  </si>
  <si>
    <t>PCRC 2025 Scratch</t>
  </si>
  <si>
    <t>Centres</t>
  </si>
  <si>
    <t>PCRC 2025 HC</t>
  </si>
  <si>
    <t>GRC</t>
  </si>
  <si>
    <t>Richard Glen</t>
  </si>
  <si>
    <t>WRC</t>
  </si>
  <si>
    <t>Phil Sternhogh</t>
  </si>
  <si>
    <t>Rudi Hemkes</t>
  </si>
  <si>
    <t>GRC 2025</t>
  </si>
  <si>
    <t>GRC 2025 HC</t>
  </si>
  <si>
    <t>Geelong Results 2025</t>
  </si>
  <si>
    <t>GRC 2025 Scratch</t>
  </si>
  <si>
    <t>2x Range HC</t>
  </si>
  <si>
    <t>SBRC</t>
  </si>
  <si>
    <t>Rod Mahon</t>
  </si>
  <si>
    <t>Clive Bodle</t>
  </si>
  <si>
    <t>Dan Comerford</t>
  </si>
  <si>
    <t>Pete Smolderen</t>
  </si>
  <si>
    <t>Helen Cubbidge</t>
  </si>
  <si>
    <t>Richard Smaldino</t>
  </si>
  <si>
    <t>BMRC 2025</t>
  </si>
  <si>
    <t>BMRC Results 2025</t>
  </si>
  <si>
    <t>John M</t>
  </si>
  <si>
    <t>Rudy Hemkes</t>
  </si>
  <si>
    <t>Daniel Green</t>
  </si>
  <si>
    <t>BMRC 2025 Scratch</t>
  </si>
  <si>
    <t>BMRC 2025 HC</t>
  </si>
  <si>
    <t>CRC 2026</t>
  </si>
  <si>
    <t>CRC Results 2026</t>
  </si>
  <si>
    <t>CRC 2026 Scratch</t>
  </si>
  <si>
    <t>CRC 2026 HC</t>
  </si>
  <si>
    <t>SC</t>
  </si>
  <si>
    <t>Handicap</t>
  </si>
  <si>
    <t>Target Rifle Handicap</t>
  </si>
  <si>
    <t>PCRC 2026</t>
  </si>
  <si>
    <t>PCRC Results 2026</t>
  </si>
  <si>
    <t>Hamish Aitkenson</t>
  </si>
  <si>
    <t>PCRC 2026 Scratch</t>
  </si>
  <si>
    <t>Handicap Adj Score</t>
  </si>
  <si>
    <t>TR Scratch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</si>
</sst>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"/>
  </numFmts>
  <fonts count="3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B0F0"/>
      <name val="Calibri"/>
      <family val="2"/>
    </font>
    <font>
      <sz val="11"/>
      <color theme="0"/>
      <name val="Calibri"/>
      <family val="2"/>
    </font>
    <font>
      <sz val="10"/>
      <color rgb="FF00B0F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0070C0"/>
      <name val="Calibri"/>
      <family val="2"/>
    </font>
    <font>
      <b/>
      <sz val="11"/>
      <color rgb="FF0070C0"/>
      <name val="Calibri"/>
      <family val="2"/>
    </font>
    <font>
      <b/>
      <sz val="10"/>
      <color rgb="FFFF0000"/>
      <name val="Calibri"/>
      <family val="2"/>
    </font>
    <font>
      <b/>
      <sz val="8"/>
      <color rgb="FFFF0000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rgb="FF00B0F0"/>
      <name val="Calibri"/>
      <family val="2"/>
    </font>
    <font>
      <b/>
      <sz val="16"/>
      <color rgb="FF0070C0"/>
      <name val="Calibri"/>
      <family val="2"/>
    </font>
    <font>
      <b/>
      <sz val="11"/>
      <color rgb="FFFF0000"/>
      <name val="Calibri"/>
      <family val="2"/>
    </font>
    <font>
      <b/>
      <sz val="9"/>
      <color theme="1"/>
      <name val="Calibri"/>
      <family val="2"/>
    </font>
    <font>
      <b/>
      <sz val="16"/>
      <name val="Calibri"/>
      <family val="2"/>
    </font>
    <font>
      <sz val="11"/>
      <color theme="2" tint="-0.499984740745262"/>
      <name val="Calibri"/>
      <family val="2"/>
    </font>
    <font>
      <b/>
      <sz val="9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1"/>
  </cellStyleXfs>
  <cellXfs count="129">
    <xf numFmtId="0" fontId="0" fillId="0" borderId="0" xfId="0" applyBorder="1"/>
    <xf numFmtId="0" fontId="2" fillId="2" borderId="1" xfId="0" applyFont="1" applyFill="1" applyAlignment="1">
      <alignment horizontal="center"/>
    </xf>
    <xf numFmtId="0" fontId="2" fillId="2" borderId="1" xfId="0" applyFont="1" applyFill="1"/>
    <xf numFmtId="0" fontId="3" fillId="2" borderId="1" xfId="0" applyFont="1" applyFill="1" applyAlignment="1">
      <alignment horizontal="left" vertical="center" textRotation="45"/>
    </xf>
    <xf numFmtId="0" fontId="3" fillId="2" borderId="1" xfId="0" applyFont="1" applyFill="1" applyAlignment="1">
      <alignment horizontal="left" vertical="center" textRotation="45" wrapText="1"/>
    </xf>
    <xf numFmtId="0" fontId="2" fillId="2" borderId="1" xfId="0" applyFont="1" applyFill="1" applyAlignment="1">
      <alignment horizontal="left" vertical="center" textRotation="45"/>
    </xf>
    <xf numFmtId="0" fontId="2" fillId="2" borderId="1" xfId="0" applyFont="1" applyFill="1" applyAlignment="1">
      <alignment horizontal="left" vertical="center" textRotation="45" wrapText="1"/>
    </xf>
    <xf numFmtId="0" fontId="4" fillId="2" borderId="1" xfId="0" applyFont="1" applyFill="1" applyAlignment="1">
      <alignment horizontal="left" vertical="center" textRotation="45" wrapText="1"/>
    </xf>
    <xf numFmtId="0" fontId="2" fillId="2" borderId="1" xfId="0" applyFont="1" applyFill="1" applyAlignment="1">
      <alignment textRotation="45"/>
    </xf>
    <xf numFmtId="1" fontId="5" fillId="2" borderId="1" xfId="0" applyNumberFormat="1" applyFont="1" applyFill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 wrapText="1"/>
    </xf>
    <xf numFmtId="1" fontId="7" fillId="3" borderId="2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 wrapText="1"/>
    </xf>
    <xf numFmtId="1" fontId="7" fillId="0" borderId="8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8" fillId="4" borderId="9" xfId="0" applyFont="1" applyFill="1" applyBorder="1" applyAlignment="1">
      <alignment horizontal="left"/>
    </xf>
    <xf numFmtId="0" fontId="8" fillId="4" borderId="10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 vertical="center"/>
    </xf>
    <xf numFmtId="165" fontId="7" fillId="4" borderId="11" xfId="0" applyNumberFormat="1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0" fillId="0" borderId="7" xfId="0" applyFont="1" applyBorder="1" applyAlignment="1">
      <alignment vertical="center"/>
    </xf>
    <xf numFmtId="165" fontId="7" fillId="0" borderId="8" xfId="0" applyNumberFormat="1" applyFont="1" applyBorder="1" applyAlignment="1">
      <alignment horizontal="center"/>
    </xf>
    <xf numFmtId="0" fontId="8" fillId="0" borderId="6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7" xfId="0" applyFont="1" applyBorder="1"/>
    <xf numFmtId="0" fontId="8" fillId="4" borderId="1" xfId="0" applyFont="1" applyFill="1" applyAlignment="1">
      <alignment horizontal="center"/>
    </xf>
    <xf numFmtId="165" fontId="7" fillId="0" borderId="12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textRotation="45"/>
    </xf>
    <xf numFmtId="0" fontId="4" fillId="0" borderId="0" xfId="0" applyFont="1" applyBorder="1" applyAlignment="1">
      <alignment horizontal="center" vertical="center" textRotation="45" wrapText="1"/>
    </xf>
    <xf numFmtId="0" fontId="2" fillId="0" borderId="0" xfId="0" applyFont="1" applyBorder="1" applyAlignment="1">
      <alignment horizontal="center" textRotation="45"/>
    </xf>
    <xf numFmtId="0" fontId="11" fillId="0" borderId="0" xfId="0" applyFont="1" applyBorder="1" applyAlignment="1">
      <alignment horizontal="center" vertical="center" textRotation="45" wrapText="1"/>
    </xf>
    <xf numFmtId="0" fontId="12" fillId="0" borderId="0" xfId="0" applyFont="1" applyBorder="1" applyAlignment="1">
      <alignment horizontal="center" vertical="top" textRotation="45" wrapText="1"/>
    </xf>
    <xf numFmtId="0" fontId="6" fillId="5" borderId="1" xfId="0" applyFont="1" applyFill="1" applyAlignment="1">
      <alignment horizontal="center" vertical="center"/>
    </xf>
    <xf numFmtId="0" fontId="6" fillId="5" borderId="1" xfId="0" applyFont="1" applyFill="1" applyAlignment="1">
      <alignment horizontal="center" vertical="center" wrapText="1"/>
    </xf>
    <xf numFmtId="1" fontId="7" fillId="5" borderId="1" xfId="0" applyNumberFormat="1" applyFont="1" applyFill="1" applyAlignment="1">
      <alignment horizontal="center" vertical="center" wrapText="1"/>
    </xf>
    <xf numFmtId="2" fontId="8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 vertical="top"/>
    </xf>
    <xf numFmtId="14" fontId="18" fillId="0" borderId="0" xfId="0" applyNumberFormat="1" applyFont="1" applyBorder="1" applyAlignment="1">
      <alignment horizontal="left" vertical="center"/>
    </xf>
    <xf numFmtId="0" fontId="19" fillId="6" borderId="0" xfId="0" applyFont="1" applyFill="1" applyBorder="1" applyAlignment="1">
      <alignment horizontal="center" vertical="center" wrapText="1"/>
    </xf>
    <xf numFmtId="2" fontId="19" fillId="6" borderId="0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/>
    </xf>
    <xf numFmtId="0" fontId="8" fillId="0" borderId="13" xfId="0" applyFont="1" applyBorder="1" applyAlignment="1">
      <alignment horizontal="center"/>
    </xf>
    <xf numFmtId="0" fontId="8" fillId="8" borderId="13" xfId="0" applyFont="1" applyFill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6" fillId="9" borderId="13" xfId="0" applyFont="1" applyFill="1" applyBorder="1" applyAlignment="1">
      <alignment horizontal="center" vertical="center"/>
    </xf>
    <xf numFmtId="2" fontId="6" fillId="10" borderId="13" xfId="0" applyNumberFormat="1" applyFont="1" applyFill="1" applyBorder="1" applyAlignment="1">
      <alignment horizontal="center" vertical="center"/>
    </xf>
    <xf numFmtId="0" fontId="20" fillId="9" borderId="13" xfId="0" applyFont="1" applyFill="1" applyBorder="1" applyAlignment="1">
      <alignment horizontal="center" vertical="top"/>
    </xf>
    <xf numFmtId="14" fontId="17" fillId="2" borderId="1" xfId="0" applyNumberFormat="1" applyFont="1" applyFill="1" applyAlignment="1">
      <alignment horizontal="left" vertical="center"/>
    </xf>
    <xf numFmtId="0" fontId="0" fillId="0" borderId="0" xfId="0" applyBorder="1" applyAlignment="1">
      <alignment horizontal="center"/>
    </xf>
    <xf numFmtId="0" fontId="15" fillId="7" borderId="1" xfId="0" applyFont="1" applyFill="1" applyAlignment="1">
      <alignment horizontal="center" vertical="top" textRotation="90"/>
    </xf>
    <xf numFmtId="0" fontId="14" fillId="9" borderId="13" xfId="0" applyFont="1" applyFill="1" applyBorder="1" applyAlignment="1">
      <alignment horizontal="center" vertical="top"/>
    </xf>
    <xf numFmtId="0" fontId="21" fillId="0" borderId="0" xfId="0" applyFont="1" applyBorder="1" applyAlignment="1">
      <alignment horizontal="right" vertical="center"/>
    </xf>
    <xf numFmtId="2" fontId="7" fillId="6" borderId="0" xfId="0" applyNumberFormat="1" applyFont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center" vertical="center" wrapText="1"/>
    </xf>
    <xf numFmtId="0" fontId="0" fillId="0" borderId="1" xfId="0"/>
    <xf numFmtId="2" fontId="22" fillId="0" borderId="13" xfId="0" applyNumberFormat="1" applyFont="1" applyBorder="1" applyAlignment="1">
      <alignment horizontal="center"/>
    </xf>
    <xf numFmtId="0" fontId="8" fillId="11" borderId="13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2" fontId="5" fillId="0" borderId="13" xfId="0" applyNumberFormat="1" applyFont="1" applyBorder="1" applyAlignment="1">
      <alignment horizontal="center"/>
    </xf>
    <xf numFmtId="0" fontId="7" fillId="9" borderId="13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top"/>
    </xf>
    <xf numFmtId="2" fontId="7" fillId="10" borderId="13" xfId="0" applyNumberFormat="1" applyFont="1" applyFill="1" applyBorder="1" applyAlignment="1">
      <alignment horizontal="center" vertical="center"/>
    </xf>
    <xf numFmtId="0" fontId="23" fillId="9" borderId="13" xfId="0" applyFont="1" applyFill="1" applyBorder="1" applyAlignment="1">
      <alignment horizontal="center" vertical="top"/>
    </xf>
    <xf numFmtId="0" fontId="5" fillId="0" borderId="13" xfId="0" applyFont="1" applyBorder="1" applyAlignment="1">
      <alignment horizontal="left"/>
    </xf>
    <xf numFmtId="0" fontId="7" fillId="5" borderId="1" xfId="0" applyFont="1" applyFill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2" fontId="0" fillId="0" borderId="0" xfId="0" applyNumberFormat="1" applyBorder="1"/>
    <xf numFmtId="0" fontId="2" fillId="0" borderId="1" xfId="0" applyFont="1" applyAlignment="1">
      <alignment horizontal="center" textRotation="45"/>
    </xf>
    <xf numFmtId="0" fontId="8" fillId="0" borderId="1" xfId="0" applyFont="1" applyAlignment="1">
      <alignment horizontal="center"/>
    </xf>
    <xf numFmtId="0" fontId="26" fillId="9" borderId="13" xfId="0" applyFont="1" applyFill="1" applyBorder="1" applyAlignment="1">
      <alignment horizontal="center" vertical="top"/>
    </xf>
    <xf numFmtId="0" fontId="11" fillId="9" borderId="13" xfId="0" applyFont="1" applyFill="1" applyBorder="1" applyAlignment="1">
      <alignment horizontal="center" vertical="top"/>
    </xf>
    <xf numFmtId="0" fontId="27" fillId="0" borderId="13" xfId="0" applyFont="1" applyBorder="1" applyAlignment="1">
      <alignment horizontal="left"/>
    </xf>
    <xf numFmtId="0" fontId="27" fillId="0" borderId="13" xfId="0" applyFont="1" applyBorder="1" applyAlignment="1">
      <alignment horizontal="center"/>
    </xf>
    <xf numFmtId="0" fontId="27" fillId="11" borderId="13" xfId="0" applyFont="1" applyFill="1" applyBorder="1" applyAlignment="1">
      <alignment horizontal="center"/>
    </xf>
    <xf numFmtId="0" fontId="28" fillId="0" borderId="13" xfId="0" applyFont="1" applyBorder="1" applyAlignment="1">
      <alignment horizontal="center"/>
    </xf>
    <xf numFmtId="2" fontId="27" fillId="0" borderId="13" xfId="0" applyNumberFormat="1" applyFont="1" applyBorder="1" applyAlignment="1">
      <alignment horizontal="center"/>
    </xf>
    <xf numFmtId="0" fontId="6" fillId="12" borderId="13" xfId="0" applyFont="1" applyFill="1" applyBorder="1" applyAlignment="1">
      <alignment horizontal="center"/>
    </xf>
    <xf numFmtId="0" fontId="6" fillId="13" borderId="13" xfId="0" applyFont="1" applyFill="1" applyBorder="1" applyAlignment="1">
      <alignment horizontal="center"/>
    </xf>
    <xf numFmtId="0" fontId="6" fillId="14" borderId="13" xfId="0" applyFont="1" applyFill="1" applyBorder="1" applyAlignment="1">
      <alignment horizontal="center"/>
    </xf>
    <xf numFmtId="0" fontId="8" fillId="0" borderId="14" xfId="0" applyFont="1" applyBorder="1" applyAlignment="1">
      <alignment horizontal="left"/>
    </xf>
    <xf numFmtId="0" fontId="8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9" borderId="14" xfId="0" applyFont="1" applyFill="1" applyBorder="1" applyAlignment="1">
      <alignment horizontal="center" vertical="center"/>
    </xf>
    <xf numFmtId="0" fontId="26" fillId="9" borderId="14" xfId="0" applyFont="1" applyFill="1" applyBorder="1" applyAlignment="1">
      <alignment horizontal="center" vertical="top"/>
    </xf>
    <xf numFmtId="0" fontId="6" fillId="5" borderId="15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8" fillId="11" borderId="14" xfId="0" applyFont="1" applyFill="1" applyBorder="1" applyAlignment="1">
      <alignment horizontal="center"/>
    </xf>
    <xf numFmtId="2" fontId="22" fillId="0" borderId="14" xfId="0" applyNumberFormat="1" applyFont="1" applyBorder="1" applyAlignment="1">
      <alignment horizontal="center"/>
    </xf>
    <xf numFmtId="2" fontId="6" fillId="10" borderId="14" xfId="0" applyNumberFormat="1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1" fontId="7" fillId="5" borderId="16" xfId="0" applyNumberFormat="1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15" fillId="7" borderId="16" xfId="0" applyFont="1" applyFill="1" applyBorder="1" applyAlignment="1">
      <alignment horizontal="center" vertical="top" textRotation="90"/>
    </xf>
    <xf numFmtId="2" fontId="7" fillId="6" borderId="17" xfId="0" applyNumberFormat="1" applyFont="1" applyFill="1" applyBorder="1" applyAlignment="1">
      <alignment horizontal="center" vertical="center" wrapText="1"/>
    </xf>
    <xf numFmtId="0" fontId="2" fillId="0" borderId="1" xfId="0" applyFont="1" applyAlignment="1">
      <alignment horizontal="center"/>
    </xf>
    <xf numFmtId="0" fontId="2" fillId="0" borderId="1" xfId="0" applyFont="1" applyAlignment="1">
      <alignment horizontal="center" vertical="center" textRotation="45"/>
    </xf>
    <xf numFmtId="0" fontId="4" fillId="0" borderId="1" xfId="0" applyFont="1" applyAlignment="1">
      <alignment horizontal="center" vertical="center" textRotation="45" wrapText="1"/>
    </xf>
    <xf numFmtId="1" fontId="5" fillId="0" borderId="1" xfId="0" applyNumberFormat="1" applyFont="1" applyAlignment="1">
      <alignment horizontal="center"/>
    </xf>
    <xf numFmtId="0" fontId="11" fillId="0" borderId="1" xfId="0" applyFont="1" applyAlignment="1">
      <alignment horizontal="center" vertical="center" textRotation="45" wrapText="1"/>
    </xf>
    <xf numFmtId="0" fontId="12" fillId="0" borderId="1" xfId="0" applyFont="1" applyAlignment="1">
      <alignment horizontal="center" vertical="top" textRotation="45" wrapText="1"/>
    </xf>
    <xf numFmtId="0" fontId="21" fillId="0" borderId="1" xfId="0" applyFont="1" applyAlignment="1">
      <alignment horizontal="right" vertical="center"/>
    </xf>
    <xf numFmtId="14" fontId="29" fillId="0" borderId="1" xfId="0" applyNumberFormat="1" applyFont="1" applyAlignment="1">
      <alignment horizontal="left" vertical="center"/>
    </xf>
    <xf numFmtId="0" fontId="3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30" fillId="0" borderId="0" xfId="0" applyFont="1" applyBorder="1" applyAlignment="1">
      <alignment vertical="center" wrapText="1"/>
    </xf>
    <xf numFmtId="0" fontId="1" fillId="0" borderId="0" xfId="0" applyFont="1" applyBorder="1"/>
    <xf numFmtId="0" fontId="31" fillId="0" borderId="0" xfId="0" applyFont="1" applyBorder="1" applyAlignment="1">
      <alignment vertical="center"/>
    </xf>
    <xf numFmtId="0" fontId="30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center" vertical="center" wrapText="1"/>
    </xf>
    <xf numFmtId="14" fontId="29" fillId="0" borderId="18" xfId="0" applyNumberFormat="1" applyFont="1" applyBorder="1" applyAlignment="1">
      <alignment horizontal="left" vertical="center"/>
    </xf>
    <xf numFmtId="0" fontId="27" fillId="0" borderId="1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pane ySplit="1" topLeftCell="A2" activePane="bottomLeft" state="frozen"/>
      <selection pane="bottomLeft" activeCell="E128" sqref="E128"/>
    </sheetView>
  </sheetViews>
  <sheetFormatPr defaultColWidth="14.453125" defaultRowHeight="15" customHeight="1" x14ac:dyDescent="0.35"/>
  <cols>
    <col min="1" max="1" width="22" customWidth="1"/>
    <col min="2" max="2" width="5.26953125" customWidth="1"/>
    <col min="3" max="3" width="13.54296875" customWidth="1"/>
    <col min="4" max="4" width="8.1796875" customWidth="1"/>
    <col min="5" max="5" width="8.26953125" customWidth="1"/>
    <col min="6" max="6" width="8" customWidth="1"/>
    <col min="7" max="14" width="9.1796875" customWidth="1"/>
    <col min="15" max="15" width="9.7265625" customWidth="1"/>
    <col min="16" max="19" width="9.1796875" customWidth="1"/>
    <col min="20" max="20" width="10.54296875" customWidth="1"/>
    <col min="21" max="21" width="9.54296875" customWidth="1"/>
    <col min="22" max="26" width="8.7265625" customWidth="1"/>
  </cols>
  <sheetData>
    <row r="1" spans="1:26" ht="44.25" customHeight="1" x14ac:dyDescent="0.35">
      <c r="A1" s="61" t="s">
        <v>0</v>
      </c>
      <c r="B1" s="1"/>
      <c r="C1" s="1"/>
      <c r="D1" s="2"/>
      <c r="E1" s="3" t="s">
        <v>1</v>
      </c>
      <c r="F1" s="4" t="s">
        <v>2</v>
      </c>
      <c r="G1" s="3" t="s">
        <v>3</v>
      </c>
      <c r="H1" s="3" t="s">
        <v>4</v>
      </c>
      <c r="I1" s="3" t="s">
        <v>5</v>
      </c>
      <c r="J1" s="5" t="s">
        <v>6</v>
      </c>
      <c r="K1" s="6" t="s">
        <v>7</v>
      </c>
      <c r="L1" s="7" t="s">
        <v>8</v>
      </c>
      <c r="M1" s="5" t="s">
        <v>9</v>
      </c>
      <c r="N1" s="8" t="s">
        <v>10</v>
      </c>
      <c r="O1" s="8" t="s">
        <v>11</v>
      </c>
      <c r="P1" s="8"/>
      <c r="Q1" s="8"/>
      <c r="R1" s="8"/>
      <c r="S1" s="8"/>
      <c r="T1" s="2"/>
      <c r="U1" s="9"/>
    </row>
    <row r="2" spans="1:26" ht="42" customHeight="1" x14ac:dyDescent="0.35">
      <c r="A2" s="10" t="s">
        <v>12</v>
      </c>
      <c r="B2" s="10" t="s">
        <v>13</v>
      </c>
      <c r="C2" s="10" t="s">
        <v>14</v>
      </c>
      <c r="D2" s="11" t="s">
        <v>15</v>
      </c>
      <c r="E2" s="12"/>
      <c r="F2" s="13"/>
      <c r="G2" s="13"/>
      <c r="H2" s="13"/>
      <c r="I2" s="13"/>
      <c r="J2" s="13"/>
      <c r="K2" s="13"/>
      <c r="L2" s="14" t="s">
        <v>16</v>
      </c>
      <c r="M2" s="13"/>
      <c r="N2" s="13"/>
      <c r="O2" s="13"/>
      <c r="P2" s="13"/>
      <c r="Q2" s="13"/>
      <c r="R2" s="13"/>
      <c r="S2" s="15"/>
      <c r="T2" s="11" t="s">
        <v>17</v>
      </c>
      <c r="U2" s="16" t="s">
        <v>18</v>
      </c>
    </row>
    <row r="3" spans="1:26" ht="15" customHeight="1" x14ac:dyDescent="0.35">
      <c r="A3" s="17"/>
      <c r="B3" s="18"/>
      <c r="C3" s="18"/>
      <c r="D3" s="19"/>
      <c r="E3" s="20">
        <v>1</v>
      </c>
      <c r="F3" s="20">
        <v>2</v>
      </c>
      <c r="G3" s="20">
        <v>2</v>
      </c>
      <c r="H3" s="20"/>
      <c r="I3" s="20"/>
      <c r="J3" s="20"/>
      <c r="K3" s="20"/>
      <c r="L3" s="20">
        <v>2</v>
      </c>
      <c r="M3" s="20"/>
      <c r="N3" s="20"/>
      <c r="O3" s="20"/>
      <c r="P3" s="20"/>
      <c r="Q3" s="20"/>
      <c r="R3" s="20"/>
      <c r="S3" s="20"/>
      <c r="T3" s="21"/>
      <c r="U3" s="22"/>
      <c r="V3" s="23"/>
      <c r="W3" s="24"/>
      <c r="X3" s="24"/>
      <c r="Y3" s="24"/>
      <c r="Z3" s="24"/>
    </row>
    <row r="4" spans="1:26" ht="14.5" x14ac:dyDescent="0.35">
      <c r="A4" s="25" t="s">
        <v>19</v>
      </c>
      <c r="B4" s="26" t="s">
        <v>20</v>
      </c>
      <c r="C4" s="26" t="s">
        <v>21</v>
      </c>
      <c r="D4" s="27">
        <v>3</v>
      </c>
      <c r="E4" s="28">
        <v>57</v>
      </c>
      <c r="F4" s="26">
        <v>106</v>
      </c>
      <c r="G4" s="26">
        <v>112</v>
      </c>
      <c r="H4" s="26"/>
      <c r="I4" s="26"/>
      <c r="J4" s="26"/>
      <c r="K4" s="26"/>
      <c r="L4" s="26">
        <v>114</v>
      </c>
      <c r="M4" s="26"/>
      <c r="N4" s="26"/>
      <c r="O4" s="26"/>
      <c r="P4" s="26"/>
      <c r="Q4" s="26"/>
      <c r="R4" s="26"/>
      <c r="S4" s="26"/>
      <c r="T4" s="26">
        <f>SUM(E4:R4)</f>
        <v>389</v>
      </c>
      <c r="U4" s="29">
        <f>60-(((60-D4)+T4)/(1+E3+F3+G3+H3+I3+J3+K3+L3+M3+N3+O3+P3+Q3+R3+S3))</f>
        <v>4.25</v>
      </c>
      <c r="V4" s="30"/>
    </row>
    <row r="5" spans="1:26" ht="15" customHeight="1" x14ac:dyDescent="0.35">
      <c r="A5" s="17"/>
      <c r="B5" s="18"/>
      <c r="C5" s="18"/>
      <c r="D5" s="31"/>
      <c r="E5" s="20"/>
      <c r="F5" s="20"/>
      <c r="G5" s="20"/>
      <c r="H5" s="20">
        <v>2</v>
      </c>
      <c r="I5" s="20"/>
      <c r="J5" s="20">
        <v>2</v>
      </c>
      <c r="K5" s="20">
        <v>3</v>
      </c>
      <c r="L5" s="20"/>
      <c r="M5" s="20">
        <v>2</v>
      </c>
      <c r="N5" s="20">
        <v>2</v>
      </c>
      <c r="O5" s="20">
        <v>2</v>
      </c>
      <c r="P5" s="20"/>
      <c r="Q5" s="20"/>
      <c r="R5" s="20"/>
      <c r="S5" s="20"/>
      <c r="T5" s="21"/>
      <c r="U5" s="32"/>
      <c r="V5" s="23"/>
      <c r="W5" s="24"/>
      <c r="X5" s="24"/>
      <c r="Y5" s="24"/>
      <c r="Z5" s="24"/>
    </row>
    <row r="6" spans="1:26" ht="14.5" x14ac:dyDescent="0.35">
      <c r="A6" s="25" t="s">
        <v>19</v>
      </c>
      <c r="B6" s="26" t="s">
        <v>22</v>
      </c>
      <c r="C6" s="26" t="s">
        <v>21</v>
      </c>
      <c r="D6" s="27">
        <v>5</v>
      </c>
      <c r="E6" s="28"/>
      <c r="F6" s="26"/>
      <c r="G6" s="26"/>
      <c r="H6" s="26">
        <v>95</v>
      </c>
      <c r="I6" s="26"/>
      <c r="J6" s="26">
        <v>95</v>
      </c>
      <c r="K6" s="26">
        <v>133</v>
      </c>
      <c r="L6" s="26"/>
      <c r="M6" s="26">
        <v>86</v>
      </c>
      <c r="N6" s="26">
        <v>95</v>
      </c>
      <c r="O6" s="26">
        <v>86</v>
      </c>
      <c r="P6" s="26"/>
      <c r="Q6" s="26"/>
      <c r="R6" s="26"/>
      <c r="S6" s="26"/>
      <c r="T6" s="26">
        <f>SUM(E6:R6)</f>
        <v>590</v>
      </c>
      <c r="U6" s="29">
        <f>50-(((50-D6)+T6)/(1+E5+F5+G5+H5+I5+J5+K5+L5+M5+N5+O5+P5+Q5+R5+S5))</f>
        <v>4.6428571428571459</v>
      </c>
      <c r="V6" s="30"/>
    </row>
    <row r="7" spans="1:26" ht="14.5" x14ac:dyDescent="0.35">
      <c r="A7" s="33"/>
      <c r="B7" s="34"/>
      <c r="C7" s="34"/>
      <c r="D7" s="35"/>
      <c r="E7" s="20"/>
      <c r="F7" s="34"/>
      <c r="G7" s="34"/>
      <c r="H7" s="34"/>
      <c r="I7" s="34"/>
      <c r="J7" s="34"/>
      <c r="K7" s="34"/>
      <c r="L7" s="34"/>
      <c r="M7" s="34">
        <v>2</v>
      </c>
      <c r="N7" s="34">
        <v>2</v>
      </c>
      <c r="O7" s="34"/>
      <c r="P7" s="34"/>
      <c r="Q7" s="34"/>
      <c r="R7" s="34"/>
      <c r="S7" s="34"/>
      <c r="T7" s="34"/>
      <c r="U7" s="32"/>
      <c r="V7" s="30"/>
    </row>
    <row r="8" spans="1:26" ht="14.5" x14ac:dyDescent="0.35">
      <c r="A8" s="25" t="s">
        <v>23</v>
      </c>
      <c r="B8" s="26" t="s">
        <v>20</v>
      </c>
      <c r="C8" s="26" t="s">
        <v>21</v>
      </c>
      <c r="D8" s="27">
        <v>10</v>
      </c>
      <c r="E8" s="28"/>
      <c r="F8" s="26"/>
      <c r="G8" s="26"/>
      <c r="H8" s="26"/>
      <c r="I8" s="26"/>
      <c r="J8" s="26"/>
      <c r="K8" s="26"/>
      <c r="L8" s="26"/>
      <c r="M8" s="26">
        <v>105</v>
      </c>
      <c r="N8" s="26">
        <v>99</v>
      </c>
      <c r="O8" s="26"/>
      <c r="P8" s="26"/>
      <c r="Q8" s="26"/>
      <c r="R8" s="26"/>
      <c r="S8" s="26"/>
      <c r="T8" s="26">
        <f>SUM(E8:R8)</f>
        <v>204</v>
      </c>
      <c r="U8" s="29">
        <f>60-(((60-D8)+T8)/(1+E7+F7+G7+H7+I7+J7+K7+L7+M7+N7+O7+P7+Q7+R7+S7))</f>
        <v>9.2000000000000028</v>
      </c>
      <c r="V8" s="30"/>
    </row>
    <row r="9" spans="1:26" ht="14.5" x14ac:dyDescent="0.35">
      <c r="A9" s="33"/>
      <c r="B9" s="34"/>
      <c r="C9" s="34"/>
      <c r="D9" s="35"/>
      <c r="E9" s="20"/>
      <c r="F9" s="34"/>
      <c r="G9" s="34"/>
      <c r="H9" s="34"/>
      <c r="I9" s="34"/>
      <c r="J9" s="34"/>
      <c r="K9" s="34">
        <v>3</v>
      </c>
      <c r="L9" s="34"/>
      <c r="M9" s="34"/>
      <c r="N9" s="34"/>
      <c r="O9" s="34">
        <v>2</v>
      </c>
      <c r="P9" s="34"/>
      <c r="Q9" s="34"/>
      <c r="R9" s="34"/>
      <c r="S9" s="34"/>
      <c r="T9" s="34"/>
      <c r="U9" s="32"/>
      <c r="V9" s="30"/>
    </row>
    <row r="10" spans="1:26" ht="14.5" x14ac:dyDescent="0.35">
      <c r="A10" s="25" t="s">
        <v>24</v>
      </c>
      <c r="B10" s="26" t="s">
        <v>20</v>
      </c>
      <c r="C10" s="26" t="s">
        <v>21</v>
      </c>
      <c r="D10" s="27">
        <v>10</v>
      </c>
      <c r="E10" s="28"/>
      <c r="F10" s="26"/>
      <c r="G10" s="26"/>
      <c r="H10" s="26"/>
      <c r="I10" s="26"/>
      <c r="J10" s="26"/>
      <c r="K10" s="26">
        <v>161</v>
      </c>
      <c r="L10" s="26"/>
      <c r="M10" s="26"/>
      <c r="N10" s="26"/>
      <c r="O10" s="26">
        <v>109</v>
      </c>
      <c r="P10" s="26"/>
      <c r="Q10" s="26"/>
      <c r="R10" s="26"/>
      <c r="S10" s="26"/>
      <c r="T10" s="26">
        <f>SUM(E10:R10)</f>
        <v>270</v>
      </c>
      <c r="U10" s="29">
        <f>60-(((60-D10)+T10)/(1+E9+F9+G9+H9+I9+J9+K9+L9+M9+N9+O9+P9+Q9+R9+S9))</f>
        <v>6.6666666666666643</v>
      </c>
      <c r="V10" s="30"/>
    </row>
    <row r="11" spans="1:26" ht="14.5" x14ac:dyDescent="0.35">
      <c r="A11" s="33"/>
      <c r="B11" s="34"/>
      <c r="C11" s="34"/>
      <c r="D11" s="35"/>
      <c r="E11" s="20"/>
      <c r="F11" s="34"/>
      <c r="G11" s="34"/>
      <c r="H11" s="34"/>
      <c r="I11" s="34"/>
      <c r="J11" s="34"/>
      <c r="K11" s="34"/>
      <c r="L11" s="34"/>
      <c r="M11" s="34">
        <v>2</v>
      </c>
      <c r="N11" s="34"/>
      <c r="O11" s="34"/>
      <c r="P11" s="34"/>
      <c r="Q11" s="34"/>
      <c r="R11" s="34"/>
      <c r="S11" s="34"/>
      <c r="T11" s="34"/>
      <c r="U11" s="32"/>
      <c r="V11" s="30"/>
    </row>
    <row r="12" spans="1:26" ht="14.5" x14ac:dyDescent="0.35">
      <c r="A12" s="25" t="s">
        <v>25</v>
      </c>
      <c r="B12" s="26" t="s">
        <v>20</v>
      </c>
      <c r="C12" s="26" t="s">
        <v>21</v>
      </c>
      <c r="D12" s="27">
        <v>10</v>
      </c>
      <c r="E12" s="28"/>
      <c r="F12" s="26"/>
      <c r="G12" s="26"/>
      <c r="H12" s="26"/>
      <c r="I12" s="26"/>
      <c r="J12" s="26"/>
      <c r="K12" s="26"/>
      <c r="L12" s="26"/>
      <c r="M12" s="26">
        <v>114</v>
      </c>
      <c r="N12" s="26"/>
      <c r="O12" s="26"/>
      <c r="P12" s="26"/>
      <c r="Q12" s="26"/>
      <c r="R12" s="26"/>
      <c r="S12" s="26"/>
      <c r="T12" s="26">
        <f>SUM(E12:R12)</f>
        <v>114</v>
      </c>
      <c r="U12" s="29">
        <f>60-(((60-D12)+T12)/(1+E11+F11+G11+H11+I11+J11+K11+L11+M11+N11+O11+P11+Q11+R11+S11))</f>
        <v>5.3333333333333357</v>
      </c>
      <c r="V12" s="30"/>
    </row>
    <row r="13" spans="1:26" ht="14.5" x14ac:dyDescent="0.35">
      <c r="A13" s="33"/>
      <c r="B13" s="34"/>
      <c r="C13" s="34"/>
      <c r="D13" s="35"/>
      <c r="E13" s="20"/>
      <c r="F13" s="34"/>
      <c r="G13" s="34"/>
      <c r="H13" s="34"/>
      <c r="I13" s="34"/>
      <c r="J13" s="34">
        <v>2</v>
      </c>
      <c r="K13" s="34">
        <v>3</v>
      </c>
      <c r="L13" s="34"/>
      <c r="M13" s="34"/>
      <c r="N13" s="34"/>
      <c r="O13" s="34">
        <v>2</v>
      </c>
      <c r="P13" s="34"/>
      <c r="Q13" s="34"/>
      <c r="R13" s="34"/>
      <c r="S13" s="34"/>
      <c r="T13" s="34"/>
      <c r="U13" s="32"/>
      <c r="V13" s="30"/>
    </row>
    <row r="14" spans="1:26" ht="14.5" x14ac:dyDescent="0.35">
      <c r="A14" s="25" t="s">
        <v>26</v>
      </c>
      <c r="B14" s="26" t="s">
        <v>20</v>
      </c>
      <c r="C14" s="26" t="s">
        <v>21</v>
      </c>
      <c r="D14" s="27">
        <v>5</v>
      </c>
      <c r="E14" s="28"/>
      <c r="F14" s="26"/>
      <c r="G14" s="26"/>
      <c r="H14" s="26"/>
      <c r="I14" s="26"/>
      <c r="J14" s="26">
        <v>114</v>
      </c>
      <c r="K14" s="26">
        <v>168</v>
      </c>
      <c r="L14" s="26"/>
      <c r="M14" s="26"/>
      <c r="N14" s="26"/>
      <c r="O14" s="26">
        <v>94</v>
      </c>
      <c r="P14" s="26"/>
      <c r="Q14" s="26"/>
      <c r="R14" s="26"/>
      <c r="S14" s="26"/>
      <c r="T14" s="26">
        <f>SUM(E14:R14)</f>
        <v>376</v>
      </c>
      <c r="U14" s="29">
        <f>60-(((60-D14)+T14)/(1+E13+F13+G13+H13+I13+J13+K13+L13+M13+N13+O13+P13+Q13+R13+S13))</f>
        <v>6.125</v>
      </c>
      <c r="V14" s="30"/>
    </row>
    <row r="15" spans="1:26" ht="14.5" x14ac:dyDescent="0.35">
      <c r="A15" s="33"/>
      <c r="B15" s="34"/>
      <c r="C15" s="34"/>
      <c r="D15" s="35"/>
      <c r="E15" s="20"/>
      <c r="F15" s="34"/>
      <c r="G15" s="34"/>
      <c r="H15" s="34"/>
      <c r="I15" s="34"/>
      <c r="J15" s="34">
        <v>2</v>
      </c>
      <c r="K15" s="34">
        <v>3</v>
      </c>
      <c r="L15" s="34"/>
      <c r="M15" s="34"/>
      <c r="N15" s="34"/>
      <c r="O15" s="34">
        <v>1</v>
      </c>
      <c r="P15" s="34"/>
      <c r="Q15" s="34"/>
      <c r="R15" s="34"/>
      <c r="S15" s="34"/>
      <c r="T15" s="34"/>
      <c r="U15" s="32"/>
      <c r="V15" s="30"/>
    </row>
    <row r="16" spans="1:26" ht="14.5" x14ac:dyDescent="0.35">
      <c r="A16" s="25" t="s">
        <v>27</v>
      </c>
      <c r="B16" s="26" t="s">
        <v>28</v>
      </c>
      <c r="C16" s="26" t="s">
        <v>21</v>
      </c>
      <c r="D16" s="27">
        <v>5</v>
      </c>
      <c r="E16" s="28"/>
      <c r="F16" s="26"/>
      <c r="G16" s="26"/>
      <c r="H16" s="26"/>
      <c r="I16" s="26"/>
      <c r="J16" s="26">
        <v>96</v>
      </c>
      <c r="K16" s="26">
        <v>140</v>
      </c>
      <c r="L16" s="26"/>
      <c r="M16" s="26"/>
      <c r="N16" s="26"/>
      <c r="O16" s="26">
        <f>3+4+3+5+4+5+5+4+4+5</f>
        <v>42</v>
      </c>
      <c r="P16" s="26"/>
      <c r="Q16" s="26"/>
      <c r="R16" s="26"/>
      <c r="S16" s="26"/>
      <c r="T16" s="26">
        <f>SUM(E16:R16)</f>
        <v>278</v>
      </c>
      <c r="U16" s="29">
        <f>50-(((50-D16)+T16)/(1+E15+F15+G15+H15+I15+J15+K15+L15+M15+N15+O15+P15+Q15+R15+S15))</f>
        <v>3.8571428571428541</v>
      </c>
      <c r="V16" s="30"/>
    </row>
    <row r="17" spans="1:22" ht="14.5" x14ac:dyDescent="0.35">
      <c r="A17" s="33"/>
      <c r="B17" s="34"/>
      <c r="C17" s="34"/>
      <c r="D17" s="36"/>
      <c r="E17" s="34"/>
      <c r="F17" s="34"/>
      <c r="G17" s="34">
        <v>2</v>
      </c>
      <c r="H17" s="34"/>
      <c r="I17" s="34"/>
      <c r="J17" s="34"/>
      <c r="K17" s="34">
        <v>3</v>
      </c>
      <c r="L17" s="34"/>
      <c r="M17" s="34">
        <v>2</v>
      </c>
      <c r="N17" s="34">
        <v>2</v>
      </c>
      <c r="O17" s="34">
        <v>2</v>
      </c>
      <c r="P17" s="34"/>
      <c r="Q17" s="34"/>
      <c r="R17" s="34"/>
      <c r="S17" s="34"/>
      <c r="T17" s="34"/>
      <c r="U17" s="32"/>
    </row>
    <row r="18" spans="1:22" ht="14.5" x14ac:dyDescent="0.35">
      <c r="A18" s="25" t="s">
        <v>29</v>
      </c>
      <c r="B18" s="26" t="s">
        <v>28</v>
      </c>
      <c r="C18" s="26" t="s">
        <v>21</v>
      </c>
      <c r="D18" s="27">
        <v>2</v>
      </c>
      <c r="E18" s="26"/>
      <c r="F18" s="26"/>
      <c r="G18" s="26">
        <v>100</v>
      </c>
      <c r="H18" s="26"/>
      <c r="I18" s="26"/>
      <c r="J18" s="26"/>
      <c r="K18" s="26">
        <v>139</v>
      </c>
      <c r="L18" s="26"/>
      <c r="M18" s="26">
        <v>99</v>
      </c>
      <c r="N18" s="26">
        <v>99</v>
      </c>
      <c r="O18" s="26">
        <f>39+48</f>
        <v>87</v>
      </c>
      <c r="P18" s="26"/>
      <c r="Q18" s="26"/>
      <c r="R18" s="26"/>
      <c r="S18" s="26"/>
      <c r="T18" s="26">
        <f>SUM(E18:R18)</f>
        <v>524</v>
      </c>
      <c r="U18" s="29">
        <f>50-(((50-D18)+T18)/(1+E17+F17+G17+H17+I17+J17+K17+L17+M17+N17+O17+P17+Q17+R17+S17))</f>
        <v>2.3333333333333357</v>
      </c>
    </row>
    <row r="19" spans="1:22" ht="14.5" x14ac:dyDescent="0.35">
      <c r="A19" s="33"/>
      <c r="B19" s="34"/>
      <c r="C19" s="34"/>
      <c r="D19" s="36"/>
      <c r="E19" s="34">
        <v>1</v>
      </c>
      <c r="F19" s="34"/>
      <c r="G19" s="34"/>
      <c r="H19" s="34"/>
      <c r="I19" s="34"/>
      <c r="J19" s="34">
        <v>2</v>
      </c>
      <c r="K19" s="34"/>
      <c r="L19" s="34"/>
      <c r="M19" s="34">
        <v>2</v>
      </c>
      <c r="N19" s="34">
        <v>2</v>
      </c>
      <c r="O19" s="34"/>
      <c r="P19" s="34"/>
      <c r="Q19" s="34"/>
      <c r="R19" s="34"/>
      <c r="S19" s="34"/>
      <c r="T19" s="34"/>
      <c r="U19" s="32"/>
    </row>
    <row r="20" spans="1:22" ht="14.5" x14ac:dyDescent="0.35">
      <c r="A20" s="25" t="s">
        <v>30</v>
      </c>
      <c r="B20" s="26" t="s">
        <v>28</v>
      </c>
      <c r="C20" s="26" t="s">
        <v>21</v>
      </c>
      <c r="D20" s="27">
        <v>10</v>
      </c>
      <c r="E20" s="26">
        <v>49</v>
      </c>
      <c r="F20" s="26"/>
      <c r="G20" s="26"/>
      <c r="H20" s="26"/>
      <c r="I20" s="26"/>
      <c r="J20" s="26">
        <v>93</v>
      </c>
      <c r="K20" s="26"/>
      <c r="L20" s="26"/>
      <c r="M20" s="26">
        <v>96</v>
      </c>
      <c r="N20" s="26">
        <v>77</v>
      </c>
      <c r="O20" s="26"/>
      <c r="P20" s="26"/>
      <c r="Q20" s="26"/>
      <c r="R20" s="26"/>
      <c r="S20" s="26"/>
      <c r="T20" s="26">
        <f>SUM(E20:R20)</f>
        <v>315</v>
      </c>
      <c r="U20" s="29">
        <f>50-(((50-D20)+T20)/(1+E19+F19+G19+H19+I19+J19+K19+L19+M19+N19+O19+P19+Q19+R19+S19))</f>
        <v>5.625</v>
      </c>
    </row>
    <row r="21" spans="1:22" ht="15.75" customHeight="1" x14ac:dyDescent="0.35">
      <c r="A21" s="33"/>
      <c r="B21" s="34"/>
      <c r="C21" s="34"/>
      <c r="D21" s="35"/>
      <c r="E21" s="20"/>
      <c r="F21" s="34"/>
      <c r="G21" s="34"/>
      <c r="H21" s="34"/>
      <c r="I21" s="34"/>
      <c r="J21" s="34">
        <v>2</v>
      </c>
      <c r="K21" s="34">
        <v>3</v>
      </c>
      <c r="L21" s="34"/>
      <c r="M21" s="34"/>
      <c r="N21" s="34"/>
      <c r="O21" s="34"/>
      <c r="P21" s="34"/>
      <c r="Q21" s="34"/>
      <c r="R21" s="34"/>
      <c r="S21" s="34"/>
      <c r="T21" s="34"/>
      <c r="U21" s="32"/>
      <c r="V21" s="30"/>
    </row>
    <row r="22" spans="1:22" ht="15.75" customHeight="1" x14ac:dyDescent="0.35">
      <c r="A22" s="25" t="s">
        <v>31</v>
      </c>
      <c r="B22" s="26" t="s">
        <v>22</v>
      </c>
      <c r="C22" s="26" t="s">
        <v>21</v>
      </c>
      <c r="D22" s="27">
        <v>10</v>
      </c>
      <c r="E22" s="28"/>
      <c r="F22" s="26"/>
      <c r="G22" s="26"/>
      <c r="H22" s="26"/>
      <c r="I22" s="26"/>
      <c r="J22" s="26">
        <v>114</v>
      </c>
      <c r="K22" s="26">
        <v>126</v>
      </c>
      <c r="L22" s="26"/>
      <c r="M22" s="26"/>
      <c r="N22" s="26"/>
      <c r="O22" s="26"/>
      <c r="P22" s="26"/>
      <c r="Q22" s="26"/>
      <c r="R22" s="26"/>
      <c r="S22" s="26"/>
      <c r="T22" s="26">
        <f>SUM(E22:R22)</f>
        <v>240</v>
      </c>
      <c r="U22" s="29">
        <f>50-(((50-D22)+T22)/(1+E21+F21+G21+H21+I21+J21+K21+L21+M21+N21+O21+P21+Q21+R21+S21))</f>
        <v>3.3333333333333357</v>
      </c>
      <c r="V22" s="30"/>
    </row>
    <row r="23" spans="1:22" ht="15.75" customHeight="1" x14ac:dyDescent="0.35">
      <c r="A23" s="33"/>
      <c r="B23" s="34"/>
      <c r="C23" s="34"/>
      <c r="D23" s="35"/>
      <c r="E23" s="20">
        <v>1</v>
      </c>
      <c r="F23" s="34"/>
      <c r="G23" s="34">
        <v>2</v>
      </c>
      <c r="H23" s="34"/>
      <c r="I23" s="34">
        <v>2</v>
      </c>
      <c r="J23" s="34"/>
      <c r="K23" s="34"/>
      <c r="L23" s="34">
        <v>2</v>
      </c>
      <c r="M23" s="34"/>
      <c r="N23" s="34">
        <v>2</v>
      </c>
      <c r="O23" s="34"/>
      <c r="P23" s="34"/>
      <c r="Q23" s="34"/>
      <c r="R23" s="34"/>
      <c r="S23" s="34"/>
      <c r="T23" s="34"/>
      <c r="U23" s="32"/>
      <c r="V23" s="30"/>
    </row>
    <row r="24" spans="1:22" ht="15.75" customHeight="1" x14ac:dyDescent="0.35">
      <c r="A24" s="25" t="s">
        <v>31</v>
      </c>
      <c r="B24" s="26" t="s">
        <v>20</v>
      </c>
      <c r="C24" s="26" t="s">
        <v>21</v>
      </c>
      <c r="D24" s="27">
        <v>5</v>
      </c>
      <c r="E24" s="28">
        <v>57</v>
      </c>
      <c r="F24" s="26"/>
      <c r="G24" s="26">
        <v>110</v>
      </c>
      <c r="H24" s="26"/>
      <c r="I24" s="26">
        <v>102</v>
      </c>
      <c r="J24" s="26"/>
      <c r="K24" s="26"/>
      <c r="L24" s="26">
        <v>116</v>
      </c>
      <c r="M24" s="26"/>
      <c r="N24" s="26">
        <v>112</v>
      </c>
      <c r="O24" s="26"/>
      <c r="P24" s="26"/>
      <c r="Q24" s="26"/>
      <c r="R24" s="26"/>
      <c r="S24" s="26"/>
      <c r="T24" s="26">
        <f>SUM(E24:R24)</f>
        <v>497</v>
      </c>
      <c r="U24" s="29">
        <f>60-(((60-D24)+T24)/(1+E23+F23+G23+H23+I23+J23+K23+L23+M23+N23+O23+P23+Q23+R23+S23))</f>
        <v>4.7999999999999972</v>
      </c>
      <c r="V24" s="30"/>
    </row>
    <row r="25" spans="1:22" ht="15.75" customHeight="1" x14ac:dyDescent="0.35">
      <c r="A25" s="33"/>
      <c r="B25" s="34"/>
      <c r="C25" s="34"/>
      <c r="D25" s="35"/>
      <c r="E25" s="20"/>
      <c r="F25" s="34"/>
      <c r="G25" s="34"/>
      <c r="H25" s="34"/>
      <c r="I25" s="34"/>
      <c r="J25" s="34"/>
      <c r="K25" s="34"/>
      <c r="L25" s="34"/>
      <c r="M25" s="34">
        <v>2</v>
      </c>
      <c r="N25" s="34"/>
      <c r="O25" s="34"/>
      <c r="P25" s="34"/>
      <c r="Q25" s="34"/>
      <c r="R25" s="34"/>
      <c r="S25" s="34"/>
      <c r="T25" s="34"/>
      <c r="U25" s="32"/>
      <c r="V25" s="30"/>
    </row>
    <row r="26" spans="1:22" ht="15.75" customHeight="1" x14ac:dyDescent="0.35">
      <c r="A26" s="25" t="s">
        <v>32</v>
      </c>
      <c r="B26" s="26" t="s">
        <v>22</v>
      </c>
      <c r="C26" s="26" t="s">
        <v>21</v>
      </c>
      <c r="D26" s="27">
        <v>10</v>
      </c>
      <c r="E26" s="28"/>
      <c r="F26" s="26"/>
      <c r="G26" s="26"/>
      <c r="H26" s="26"/>
      <c r="I26" s="26"/>
      <c r="J26" s="26"/>
      <c r="K26" s="26"/>
      <c r="L26" s="26"/>
      <c r="M26" s="26">
        <v>98</v>
      </c>
      <c r="N26" s="26"/>
      <c r="O26" s="26"/>
      <c r="P26" s="26"/>
      <c r="Q26" s="26"/>
      <c r="R26" s="26"/>
      <c r="S26" s="26"/>
      <c r="T26" s="26">
        <f>SUM(E26:R26)</f>
        <v>98</v>
      </c>
      <c r="U26" s="29">
        <f>50-(((50-D26)+T26)/(1+E25+F25+G25+H25+I25+J25+K25+L25+M25+N25+O25+P25+Q25+R25+S25))</f>
        <v>4</v>
      </c>
      <c r="V26" s="30"/>
    </row>
    <row r="27" spans="1:22" ht="15.75" customHeight="1" x14ac:dyDescent="0.35">
      <c r="A27" s="33"/>
      <c r="B27" s="34"/>
      <c r="C27" s="34"/>
      <c r="D27" s="35"/>
      <c r="E27" s="20"/>
      <c r="F27" s="34"/>
      <c r="G27" s="34"/>
      <c r="H27" s="34"/>
      <c r="I27" s="34"/>
      <c r="J27" s="34">
        <v>2</v>
      </c>
      <c r="K27" s="34"/>
      <c r="L27" s="34"/>
      <c r="M27" s="34">
        <v>2</v>
      </c>
      <c r="N27" s="34"/>
      <c r="O27" s="34"/>
      <c r="P27" s="34"/>
      <c r="Q27" s="34"/>
      <c r="R27" s="34"/>
      <c r="S27" s="34"/>
      <c r="T27" s="34"/>
      <c r="U27" s="32"/>
      <c r="V27" s="30"/>
    </row>
    <row r="28" spans="1:22" ht="15.75" customHeight="1" x14ac:dyDescent="0.35">
      <c r="A28" s="25" t="s">
        <v>33</v>
      </c>
      <c r="B28" s="26" t="s">
        <v>20</v>
      </c>
      <c r="C28" s="26" t="s">
        <v>21</v>
      </c>
      <c r="D28" s="27">
        <v>5</v>
      </c>
      <c r="E28" s="28"/>
      <c r="F28" s="26"/>
      <c r="G28" s="26"/>
      <c r="H28" s="26"/>
      <c r="I28" s="26"/>
      <c r="J28" s="26">
        <v>115</v>
      </c>
      <c r="K28" s="26"/>
      <c r="L28" s="26"/>
      <c r="M28" s="26">
        <v>115</v>
      </c>
      <c r="N28" s="26"/>
      <c r="O28" s="26"/>
      <c r="P28" s="26"/>
      <c r="Q28" s="26"/>
      <c r="R28" s="26"/>
      <c r="S28" s="26"/>
      <c r="T28" s="26">
        <f>SUM(E28:R28)</f>
        <v>230</v>
      </c>
      <c r="U28" s="29">
        <f>60-(((60-D28)+T28)/(1+E27+F27+G27+H27+I27+J27+K27+L27+M27+N27+O27+P27+Q27+R27+S27))</f>
        <v>3</v>
      </c>
      <c r="V28" s="30"/>
    </row>
    <row r="29" spans="1:22" ht="15.75" customHeight="1" x14ac:dyDescent="0.35">
      <c r="A29" s="33"/>
      <c r="B29" s="34"/>
      <c r="C29" s="34"/>
      <c r="D29" s="35"/>
      <c r="E29" s="20">
        <v>1</v>
      </c>
      <c r="F29" s="34"/>
      <c r="G29" s="34">
        <v>2</v>
      </c>
      <c r="H29" s="34"/>
      <c r="I29" s="34"/>
      <c r="J29" s="34">
        <v>2</v>
      </c>
      <c r="K29" s="34">
        <v>3</v>
      </c>
      <c r="L29" s="34"/>
      <c r="M29" s="34"/>
      <c r="N29" s="34">
        <v>2</v>
      </c>
      <c r="O29" s="34">
        <v>2</v>
      </c>
      <c r="P29" s="34"/>
      <c r="Q29" s="34"/>
      <c r="R29" s="34"/>
      <c r="S29" s="34"/>
      <c r="T29" s="34"/>
      <c r="U29" s="32"/>
      <c r="V29" s="30"/>
    </row>
    <row r="30" spans="1:22" ht="15.75" customHeight="1" x14ac:dyDescent="0.35">
      <c r="A30" s="25" t="s">
        <v>34</v>
      </c>
      <c r="B30" s="26" t="s">
        <v>20</v>
      </c>
      <c r="C30" s="26" t="s">
        <v>21</v>
      </c>
      <c r="D30" s="27">
        <v>5</v>
      </c>
      <c r="E30" s="26">
        <v>56</v>
      </c>
      <c r="F30" s="26"/>
      <c r="G30" s="26">
        <v>112</v>
      </c>
      <c r="H30" s="26"/>
      <c r="I30" s="26"/>
      <c r="J30" s="26">
        <v>119</v>
      </c>
      <c r="K30" s="26">
        <v>169</v>
      </c>
      <c r="L30" s="26"/>
      <c r="M30" s="26"/>
      <c r="N30" s="26">
        <v>112</v>
      </c>
      <c r="O30" s="26">
        <v>115</v>
      </c>
      <c r="P30" s="26"/>
      <c r="Q30" s="26"/>
      <c r="R30" s="26"/>
      <c r="S30" s="26"/>
      <c r="T30" s="26">
        <f>SUM(E30:R30)</f>
        <v>683</v>
      </c>
      <c r="U30" s="29">
        <f>60-(((60-D30)+T30)/(1+E29+F29+G29+H29+I29+J29+K29+L29+M29+N29+O29+P29+Q29+R29+S29))</f>
        <v>3.2307692307692335</v>
      </c>
      <c r="V30" s="30"/>
    </row>
    <row r="31" spans="1:22" ht="15.75" customHeight="1" x14ac:dyDescent="0.35">
      <c r="A31" s="33"/>
      <c r="B31" s="34"/>
      <c r="C31" s="34"/>
      <c r="D31" s="35"/>
      <c r="E31" s="34">
        <v>1</v>
      </c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2"/>
      <c r="V31" s="30"/>
    </row>
    <row r="32" spans="1:22" ht="15.75" customHeight="1" x14ac:dyDescent="0.35">
      <c r="A32" s="25" t="s">
        <v>35</v>
      </c>
      <c r="B32" s="26" t="s">
        <v>20</v>
      </c>
      <c r="C32" s="26" t="s">
        <v>21</v>
      </c>
      <c r="D32" s="27">
        <v>5</v>
      </c>
      <c r="E32" s="26">
        <v>59</v>
      </c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>
        <f>SUM(E32:R32)</f>
        <v>59</v>
      </c>
      <c r="U32" s="29">
        <f>60-(((60-D32)+T32)/(1+E31+F31+G31+H31+I31+J31+K31+L31+M31+N31+O31+P31+Q31+R31+S31))</f>
        <v>3</v>
      </c>
      <c r="V32" s="30"/>
    </row>
    <row r="33" spans="1:22" ht="15.75" customHeight="1" x14ac:dyDescent="0.35">
      <c r="A33" s="33"/>
      <c r="B33" s="34"/>
      <c r="C33" s="34"/>
      <c r="D33" s="36"/>
      <c r="E33" s="34">
        <v>0</v>
      </c>
      <c r="F33" s="34">
        <v>2</v>
      </c>
      <c r="G33" s="34"/>
      <c r="H33" s="34"/>
      <c r="I33" s="34"/>
      <c r="J33" s="34"/>
      <c r="K33" s="34">
        <v>3</v>
      </c>
      <c r="L33" s="34">
        <v>2</v>
      </c>
      <c r="M33" s="34">
        <v>2</v>
      </c>
      <c r="N33" s="34"/>
      <c r="O33" s="34">
        <v>2</v>
      </c>
      <c r="P33" s="34"/>
      <c r="Q33" s="34"/>
      <c r="R33" s="34"/>
      <c r="S33" s="34"/>
      <c r="T33" s="34"/>
      <c r="U33" s="32"/>
      <c r="V33" s="30"/>
    </row>
    <row r="34" spans="1:22" ht="15.75" customHeight="1" x14ac:dyDescent="0.35">
      <c r="A34" s="25" t="s">
        <v>36</v>
      </c>
      <c r="B34" s="26" t="s">
        <v>20</v>
      </c>
      <c r="C34" s="26" t="s">
        <v>21</v>
      </c>
      <c r="D34" s="27">
        <v>3.5</v>
      </c>
      <c r="E34" s="26">
        <v>0</v>
      </c>
      <c r="F34" s="26">
        <v>115</v>
      </c>
      <c r="G34" s="26"/>
      <c r="H34" s="26"/>
      <c r="I34" s="26"/>
      <c r="J34" s="26"/>
      <c r="K34" s="26">
        <v>161</v>
      </c>
      <c r="L34" s="26">
        <v>116</v>
      </c>
      <c r="M34" s="26">
        <v>116</v>
      </c>
      <c r="N34" s="26"/>
      <c r="O34" s="26">
        <v>106</v>
      </c>
      <c r="P34" s="26"/>
      <c r="Q34" s="26"/>
      <c r="R34" s="26"/>
      <c r="S34" s="26"/>
      <c r="T34" s="26">
        <f>SUM(E34:R34)</f>
        <v>614</v>
      </c>
      <c r="U34" s="29">
        <f>60-(((60-D34)+T34)/(1+E33+F33+G33+H33+I33+J33+K33+L33+M33+N33+O33+P33+Q33+R33+S33))</f>
        <v>4.125</v>
      </c>
      <c r="V34" s="30"/>
    </row>
    <row r="35" spans="1:22" ht="15.75" customHeight="1" x14ac:dyDescent="0.35">
      <c r="A35" s="33"/>
      <c r="B35" s="34"/>
      <c r="C35" s="34"/>
      <c r="D35" s="36"/>
      <c r="E35" s="34"/>
      <c r="F35" s="34"/>
      <c r="G35" s="34"/>
      <c r="H35" s="34"/>
      <c r="I35" s="34"/>
      <c r="J35" s="34"/>
      <c r="K35" s="34"/>
      <c r="L35" s="34"/>
      <c r="M35" s="34">
        <v>2</v>
      </c>
      <c r="N35" s="34"/>
      <c r="O35" s="34"/>
      <c r="P35" s="34"/>
      <c r="Q35" s="34"/>
      <c r="R35" s="34"/>
      <c r="S35" s="34"/>
      <c r="T35" s="34"/>
      <c r="U35" s="32"/>
      <c r="V35" s="30"/>
    </row>
    <row r="36" spans="1:22" ht="15.75" customHeight="1" x14ac:dyDescent="0.35">
      <c r="A36" s="25" t="s">
        <v>37</v>
      </c>
      <c r="B36" s="26" t="s">
        <v>22</v>
      </c>
      <c r="C36" s="26" t="s">
        <v>21</v>
      </c>
      <c r="D36" s="27">
        <v>10</v>
      </c>
      <c r="E36" s="26"/>
      <c r="F36" s="26"/>
      <c r="G36" s="26"/>
      <c r="H36" s="26"/>
      <c r="I36" s="26"/>
      <c r="J36" s="26"/>
      <c r="K36" s="26"/>
      <c r="L36" s="26"/>
      <c r="M36" s="26">
        <v>94</v>
      </c>
      <c r="N36" s="26"/>
      <c r="O36" s="26"/>
      <c r="P36" s="26"/>
      <c r="Q36" s="26"/>
      <c r="R36" s="26"/>
      <c r="S36" s="26"/>
      <c r="T36" s="26">
        <f>SUM(E36:R36)</f>
        <v>94</v>
      </c>
      <c r="U36" s="29">
        <f>50-(((50-D36)+T36)/(1+E35+F35+G35+H35+I35+J35+K35+L35+M35+N35+O35+P35+Q35+R35+S35))</f>
        <v>5.3333333333333357</v>
      </c>
      <c r="V36" s="30"/>
    </row>
    <row r="37" spans="1:22" ht="15.75" customHeight="1" x14ac:dyDescent="0.35">
      <c r="A37" s="33"/>
      <c r="B37" s="34"/>
      <c r="C37" s="34"/>
      <c r="D37" s="36"/>
      <c r="E37" s="34"/>
      <c r="F37" s="34"/>
      <c r="G37" s="34">
        <v>2</v>
      </c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2"/>
    </row>
    <row r="38" spans="1:22" ht="15.75" customHeight="1" x14ac:dyDescent="0.35">
      <c r="A38" s="25" t="s">
        <v>38</v>
      </c>
      <c r="B38" s="26" t="s">
        <v>20</v>
      </c>
      <c r="C38" s="26" t="s">
        <v>21</v>
      </c>
      <c r="D38" s="27">
        <v>10</v>
      </c>
      <c r="E38" s="26"/>
      <c r="F38" s="26"/>
      <c r="G38" s="26">
        <v>103</v>
      </c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>
        <f>SUM(E38:R38)</f>
        <v>103</v>
      </c>
      <c r="U38" s="29">
        <f>60-(((60-D38)+T38)/(1+E37+F37+G37+H37+I37+J37+K37+L37+M37+N37+O37+P37+Q37+R37+S37))</f>
        <v>9</v>
      </c>
    </row>
    <row r="39" spans="1:22" ht="15.75" customHeight="1" x14ac:dyDescent="0.35">
      <c r="A39" s="33"/>
      <c r="B39" s="34"/>
      <c r="C39" s="34"/>
      <c r="D39" s="36"/>
      <c r="E39" s="34"/>
      <c r="F39" s="34"/>
      <c r="G39" s="34"/>
      <c r="H39" s="34"/>
      <c r="I39" s="34"/>
      <c r="J39" s="34">
        <v>2</v>
      </c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2"/>
    </row>
    <row r="40" spans="1:22" ht="15.75" customHeight="1" x14ac:dyDescent="0.35">
      <c r="A40" s="25" t="s">
        <v>39</v>
      </c>
      <c r="B40" s="26" t="s">
        <v>20</v>
      </c>
      <c r="C40" s="26" t="s">
        <v>21</v>
      </c>
      <c r="D40" s="27">
        <v>10</v>
      </c>
      <c r="E40" s="26"/>
      <c r="F40" s="26"/>
      <c r="G40" s="26"/>
      <c r="H40" s="26"/>
      <c r="I40" s="26"/>
      <c r="J40" s="26">
        <v>104</v>
      </c>
      <c r="K40" s="26"/>
      <c r="L40" s="26"/>
      <c r="M40" s="26"/>
      <c r="N40" s="26"/>
      <c r="O40" s="26"/>
      <c r="P40" s="26"/>
      <c r="Q40" s="26"/>
      <c r="R40" s="26"/>
      <c r="S40" s="26"/>
      <c r="T40" s="26">
        <f>SUM(E40:R40)</f>
        <v>104</v>
      </c>
      <c r="U40" s="29">
        <f>60-(((60-D40)+T40)/(1+E39+F39+G39+H39+I39+J39+K39+L39+M39+N39+O39+P39+Q39+R39+S39))</f>
        <v>8.6666666666666643</v>
      </c>
    </row>
    <row r="41" spans="1:22" ht="15.75" customHeight="1" x14ac:dyDescent="0.35">
      <c r="A41" s="33"/>
      <c r="B41" s="34"/>
      <c r="C41" s="34"/>
      <c r="D41" s="36"/>
      <c r="E41" s="34"/>
      <c r="F41" s="34"/>
      <c r="G41" s="34">
        <v>2</v>
      </c>
      <c r="H41" s="34">
        <v>2</v>
      </c>
      <c r="I41" s="34"/>
      <c r="J41" s="34"/>
      <c r="K41" s="34">
        <v>3</v>
      </c>
      <c r="L41" s="34">
        <v>2</v>
      </c>
      <c r="M41" s="34"/>
      <c r="N41" s="34"/>
      <c r="O41" s="34"/>
      <c r="P41" s="34"/>
      <c r="Q41" s="34"/>
      <c r="R41" s="34"/>
      <c r="S41" s="34"/>
      <c r="T41" s="34"/>
      <c r="U41" s="32"/>
    </row>
    <row r="42" spans="1:22" ht="15.75" customHeight="1" x14ac:dyDescent="0.35">
      <c r="A42" s="25" t="s">
        <v>39</v>
      </c>
      <c r="B42" s="26" t="s">
        <v>22</v>
      </c>
      <c r="C42" s="26" t="s">
        <v>21</v>
      </c>
      <c r="D42" s="27">
        <v>10</v>
      </c>
      <c r="E42" s="26"/>
      <c r="F42" s="26"/>
      <c r="G42" s="26">
        <v>91</v>
      </c>
      <c r="H42" s="26">
        <v>96</v>
      </c>
      <c r="I42" s="26"/>
      <c r="J42" s="26"/>
      <c r="K42" s="26">
        <v>137</v>
      </c>
      <c r="L42" s="26">
        <v>98</v>
      </c>
      <c r="M42" s="26"/>
      <c r="N42" s="26"/>
      <c r="O42" s="26"/>
      <c r="P42" s="26"/>
      <c r="Q42" s="26"/>
      <c r="R42" s="26"/>
      <c r="S42" s="26"/>
      <c r="T42" s="26">
        <f>SUM(E42:R42)</f>
        <v>422</v>
      </c>
      <c r="U42" s="29">
        <f>50-(((50-D42)+T42)/(1+E41+F41+G41+H41+I41+J41+K41+L41+M41+N41+O41+P41+Q41+R41+S41))</f>
        <v>3.7999999999999972</v>
      </c>
    </row>
    <row r="43" spans="1:22" ht="15.75" customHeight="1" x14ac:dyDescent="0.35">
      <c r="A43" s="33"/>
      <c r="B43" s="34"/>
      <c r="C43" s="34"/>
      <c r="D43" s="36"/>
      <c r="E43" s="34"/>
      <c r="F43" s="34"/>
      <c r="G43" s="34"/>
      <c r="H43" s="34"/>
      <c r="I43" s="34"/>
      <c r="J43" s="34">
        <v>2</v>
      </c>
      <c r="K43" s="34">
        <v>3</v>
      </c>
      <c r="L43" s="34">
        <v>2</v>
      </c>
      <c r="M43" s="34">
        <v>2</v>
      </c>
      <c r="N43" s="34">
        <v>2</v>
      </c>
      <c r="O43" s="34"/>
      <c r="P43" s="34"/>
      <c r="Q43" s="34"/>
      <c r="R43" s="34"/>
      <c r="S43" s="34"/>
      <c r="T43" s="34"/>
      <c r="U43" s="32"/>
    </row>
    <row r="44" spans="1:22" ht="15.75" customHeight="1" x14ac:dyDescent="0.35">
      <c r="A44" s="25" t="s">
        <v>40</v>
      </c>
      <c r="B44" s="26" t="s">
        <v>22</v>
      </c>
      <c r="C44" s="26" t="s">
        <v>21</v>
      </c>
      <c r="D44" s="27">
        <v>10</v>
      </c>
      <c r="E44" s="26"/>
      <c r="F44" s="26"/>
      <c r="G44" s="26"/>
      <c r="H44" s="26"/>
      <c r="I44" s="26"/>
      <c r="J44" s="26">
        <v>91</v>
      </c>
      <c r="K44" s="26">
        <v>137</v>
      </c>
      <c r="L44" s="26">
        <v>93</v>
      </c>
      <c r="M44" s="26">
        <v>97</v>
      </c>
      <c r="N44" s="26">
        <v>95</v>
      </c>
      <c r="O44" s="26"/>
      <c r="P44" s="26"/>
      <c r="Q44" s="26"/>
      <c r="R44" s="26"/>
      <c r="S44" s="26"/>
      <c r="T44" s="26">
        <f>SUM(E44:R44)</f>
        <v>513</v>
      </c>
      <c r="U44" s="29">
        <f>50-(((50-D44)+T44)/(1+E43+F43+G43+H43+I43+J43+K43+L43+M43+N43+O43+P43+Q43+R43+S43))</f>
        <v>3.9166666666666643</v>
      </c>
    </row>
    <row r="45" spans="1:22" ht="15.75" customHeight="1" x14ac:dyDescent="0.35">
      <c r="A45" s="33"/>
      <c r="B45" s="34"/>
      <c r="C45" s="34"/>
      <c r="D45" s="35"/>
      <c r="E45" s="34"/>
      <c r="F45" s="34"/>
      <c r="G45" s="34">
        <v>2</v>
      </c>
      <c r="H45" s="34"/>
      <c r="I45" s="34"/>
      <c r="J45" s="34">
        <v>2</v>
      </c>
      <c r="K45" s="34">
        <v>3</v>
      </c>
      <c r="L45" s="34"/>
      <c r="M45" s="34">
        <v>2</v>
      </c>
      <c r="N45" s="34">
        <v>2</v>
      </c>
      <c r="O45" s="34">
        <v>2</v>
      </c>
      <c r="P45" s="34"/>
      <c r="Q45" s="34"/>
      <c r="R45" s="34"/>
      <c r="S45" s="34"/>
      <c r="T45" s="34"/>
      <c r="U45" s="32"/>
      <c r="V45" s="30"/>
    </row>
    <row r="46" spans="1:22" ht="15.75" customHeight="1" x14ac:dyDescent="0.35">
      <c r="A46" s="25" t="s">
        <v>41</v>
      </c>
      <c r="B46" s="26" t="s">
        <v>28</v>
      </c>
      <c r="C46" s="26" t="s">
        <v>21</v>
      </c>
      <c r="D46" s="27">
        <v>10</v>
      </c>
      <c r="E46" s="26" t="s">
        <v>42</v>
      </c>
      <c r="F46" s="26"/>
      <c r="G46" s="26">
        <v>75</v>
      </c>
      <c r="H46" s="26"/>
      <c r="I46" s="26"/>
      <c r="J46" s="26">
        <v>87</v>
      </c>
      <c r="K46" s="26">
        <v>128</v>
      </c>
      <c r="L46" s="26"/>
      <c r="M46" s="26">
        <v>93</v>
      </c>
      <c r="N46" s="26">
        <v>85</v>
      </c>
      <c r="O46" s="26">
        <f>39+47</f>
        <v>86</v>
      </c>
      <c r="P46" s="26"/>
      <c r="Q46" s="26"/>
      <c r="R46" s="26"/>
      <c r="S46" s="26"/>
      <c r="T46" s="26">
        <f>SUM(E46:R46)</f>
        <v>554</v>
      </c>
      <c r="U46" s="29">
        <f>50-(((50-D46)+T46)/(1+E45+F45+G45+H45+I45+J45+K45+L45+M45+N45+O45+P45+Q45+R45+S45))</f>
        <v>7.5714285714285694</v>
      </c>
      <c r="V46" s="30"/>
    </row>
    <row r="47" spans="1:22" ht="15.75" customHeight="1" x14ac:dyDescent="0.35">
      <c r="A47" s="33"/>
      <c r="B47" s="34"/>
      <c r="C47" s="34"/>
      <c r="D47" s="35"/>
      <c r="E47" s="34"/>
      <c r="F47" s="34"/>
      <c r="G47" s="34">
        <v>2</v>
      </c>
      <c r="H47" s="34"/>
      <c r="I47" s="34"/>
      <c r="J47" s="34"/>
      <c r="K47" s="34">
        <v>3</v>
      </c>
      <c r="L47" s="34"/>
      <c r="M47" s="34"/>
      <c r="N47" s="34"/>
      <c r="O47" s="34"/>
      <c r="P47" s="34"/>
      <c r="Q47" s="34"/>
      <c r="R47" s="34"/>
      <c r="S47" s="34"/>
      <c r="T47" s="34"/>
      <c r="U47" s="32"/>
      <c r="V47" s="30"/>
    </row>
    <row r="48" spans="1:22" ht="15.75" customHeight="1" x14ac:dyDescent="0.35">
      <c r="A48" s="25" t="s">
        <v>43</v>
      </c>
      <c r="B48" s="26" t="s">
        <v>28</v>
      </c>
      <c r="C48" s="26" t="s">
        <v>21</v>
      </c>
      <c r="D48" s="27">
        <v>10</v>
      </c>
      <c r="E48" s="26" t="s">
        <v>42</v>
      </c>
      <c r="F48" s="26"/>
      <c r="G48" s="26">
        <v>75</v>
      </c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>
        <f>SUM(E48:R48)</f>
        <v>75</v>
      </c>
      <c r="U48" s="29">
        <f>50-(((50-D48)+T48)/(1+E47+F47+G47+H47+I47+J47+K47+L47+M47+N47+O47+P47+Q47+R47+S47))</f>
        <v>30.833333333333332</v>
      </c>
      <c r="V48" s="30"/>
    </row>
    <row r="49" spans="1:22" ht="15.75" customHeight="1" x14ac:dyDescent="0.35">
      <c r="A49" s="33"/>
      <c r="B49" s="34"/>
      <c r="C49" s="34"/>
      <c r="D49" s="36"/>
      <c r="E49" s="34"/>
      <c r="F49" s="34"/>
      <c r="G49" s="34"/>
      <c r="H49" s="34"/>
      <c r="I49" s="34">
        <v>2</v>
      </c>
      <c r="J49" s="34"/>
      <c r="K49" s="34"/>
      <c r="L49" s="34"/>
      <c r="M49" s="34"/>
      <c r="N49" s="34">
        <v>2</v>
      </c>
      <c r="O49" s="34"/>
      <c r="P49" s="34"/>
      <c r="Q49" s="34"/>
      <c r="R49" s="34"/>
      <c r="S49" s="34"/>
      <c r="T49" s="34"/>
      <c r="U49" s="32"/>
    </row>
    <row r="50" spans="1:22" ht="15.75" customHeight="1" x14ac:dyDescent="0.35">
      <c r="A50" s="25" t="s">
        <v>44</v>
      </c>
      <c r="B50" s="26" t="s">
        <v>20</v>
      </c>
      <c r="C50" s="26" t="s">
        <v>21</v>
      </c>
      <c r="D50" s="27">
        <v>5</v>
      </c>
      <c r="E50" s="26"/>
      <c r="F50" s="26"/>
      <c r="G50" s="26"/>
      <c r="H50" s="26"/>
      <c r="I50" s="26">
        <v>82</v>
      </c>
      <c r="J50" s="26"/>
      <c r="K50" s="26"/>
      <c r="L50" s="26"/>
      <c r="M50" s="26"/>
      <c r="N50" s="26">
        <v>115</v>
      </c>
      <c r="O50" s="26"/>
      <c r="P50" s="26"/>
      <c r="Q50" s="26"/>
      <c r="R50" s="26"/>
      <c r="S50" s="26"/>
      <c r="T50" s="26">
        <f>SUM(E50:R50)</f>
        <v>197</v>
      </c>
      <c r="U50" s="29">
        <f>60-(((60-D50)+T50)/(1+E49+F49+G49+H49+I49+J49+K49+L49+M49+N49+O49+P49+Q49+R49+S49))</f>
        <v>9.6000000000000014</v>
      </c>
    </row>
    <row r="51" spans="1:22" ht="15.75" customHeight="1" x14ac:dyDescent="0.35">
      <c r="A51" s="33"/>
      <c r="B51" s="34"/>
      <c r="C51" s="34"/>
      <c r="D51" s="36"/>
      <c r="E51" s="34"/>
      <c r="F51" s="34"/>
      <c r="G51" s="34"/>
      <c r="H51" s="34"/>
      <c r="I51" s="34"/>
      <c r="J51" s="34"/>
      <c r="K51" s="34">
        <v>3</v>
      </c>
      <c r="L51" s="34"/>
      <c r="M51" s="34"/>
      <c r="N51" s="34"/>
      <c r="O51" s="34"/>
      <c r="P51" s="34"/>
      <c r="Q51" s="34"/>
      <c r="R51" s="34"/>
      <c r="S51" s="34"/>
      <c r="T51" s="34"/>
      <c r="U51" s="32"/>
      <c r="V51" s="30"/>
    </row>
    <row r="52" spans="1:22" ht="15.75" customHeight="1" x14ac:dyDescent="0.35">
      <c r="A52" s="25" t="s">
        <v>45</v>
      </c>
      <c r="B52" s="26" t="s">
        <v>22</v>
      </c>
      <c r="C52" s="26" t="s">
        <v>21</v>
      </c>
      <c r="D52" s="27">
        <v>10</v>
      </c>
      <c r="E52" s="26"/>
      <c r="F52" s="26"/>
      <c r="G52" s="26"/>
      <c r="H52" s="26"/>
      <c r="I52" s="26"/>
      <c r="J52" s="26"/>
      <c r="K52" s="26">
        <v>166</v>
      </c>
      <c r="L52" s="26"/>
      <c r="M52" s="26"/>
      <c r="N52" s="26"/>
      <c r="O52" s="26"/>
      <c r="P52" s="26"/>
      <c r="Q52" s="26"/>
      <c r="R52" s="26"/>
      <c r="S52" s="26"/>
      <c r="T52" s="26">
        <f>SUM(E52:R52)</f>
        <v>166</v>
      </c>
      <c r="U52" s="29">
        <f>60-(((60-D52)+T52)/(1+E51+F51+G51+H51+I51+J51+K51+L51+M51+N51+O51+P51+Q51+R51+S51))</f>
        <v>6</v>
      </c>
      <c r="V52" s="30"/>
    </row>
    <row r="53" spans="1:22" ht="15.75" customHeight="1" x14ac:dyDescent="0.35">
      <c r="A53" s="33"/>
      <c r="B53" s="34"/>
      <c r="C53" s="34"/>
      <c r="D53" s="36"/>
      <c r="E53" s="34"/>
      <c r="F53" s="34"/>
      <c r="G53" s="34">
        <v>2</v>
      </c>
      <c r="H53" s="34"/>
      <c r="I53" s="34">
        <v>2</v>
      </c>
      <c r="J53" s="34">
        <v>2</v>
      </c>
      <c r="K53" s="34">
        <v>3</v>
      </c>
      <c r="L53" s="34">
        <v>2</v>
      </c>
      <c r="M53" s="34">
        <v>2</v>
      </c>
      <c r="N53" s="34">
        <v>2</v>
      </c>
      <c r="O53" s="34">
        <v>2</v>
      </c>
      <c r="P53" s="34"/>
      <c r="Q53" s="34"/>
      <c r="R53" s="34"/>
      <c r="S53" s="34"/>
      <c r="T53" s="34"/>
      <c r="U53" s="32"/>
      <c r="V53" s="30"/>
    </row>
    <row r="54" spans="1:22" ht="15.75" customHeight="1" x14ac:dyDescent="0.35">
      <c r="A54" s="25" t="s">
        <v>46</v>
      </c>
      <c r="B54" s="26" t="s">
        <v>22</v>
      </c>
      <c r="C54" s="26" t="s">
        <v>21</v>
      </c>
      <c r="D54" s="27">
        <v>10</v>
      </c>
      <c r="E54" s="26"/>
      <c r="F54" s="26"/>
      <c r="G54" s="26">
        <v>96</v>
      </c>
      <c r="H54" s="26"/>
      <c r="I54" s="26">
        <v>87</v>
      </c>
      <c r="J54" s="26">
        <v>100</v>
      </c>
      <c r="K54" s="26">
        <v>142</v>
      </c>
      <c r="L54" s="26">
        <v>99</v>
      </c>
      <c r="M54" s="26">
        <v>100</v>
      </c>
      <c r="N54" s="26">
        <v>93</v>
      </c>
      <c r="O54" s="26">
        <v>95</v>
      </c>
      <c r="P54" s="26"/>
      <c r="Q54" s="26"/>
      <c r="R54" s="26"/>
      <c r="S54" s="26"/>
      <c r="T54" s="26">
        <f>SUM(E54:R54)</f>
        <v>812</v>
      </c>
      <c r="U54" s="29">
        <f>50-(((50-D54)+T54)/(1+E53+F53+G53+H53+I53+J53+K53+L53+M53+N53+O53+P53+Q53+R53+S53))</f>
        <v>2.6666666666666643</v>
      </c>
      <c r="V54" s="30"/>
    </row>
    <row r="55" spans="1:22" ht="15.75" customHeight="1" x14ac:dyDescent="0.35">
      <c r="A55" s="33"/>
      <c r="B55" s="34"/>
      <c r="C55" s="34"/>
      <c r="D55" s="36"/>
      <c r="E55" s="34"/>
      <c r="F55" s="34"/>
      <c r="G55" s="34"/>
      <c r="H55" s="34"/>
      <c r="I55" s="34"/>
      <c r="J55" s="34"/>
      <c r="K55" s="34">
        <v>3</v>
      </c>
      <c r="L55" s="34">
        <v>2</v>
      </c>
      <c r="M55" s="34"/>
      <c r="N55" s="34">
        <v>2</v>
      </c>
      <c r="O55" s="34">
        <v>2</v>
      </c>
      <c r="P55" s="34"/>
      <c r="Q55" s="34"/>
      <c r="R55" s="34"/>
      <c r="S55" s="34"/>
      <c r="T55" s="34"/>
      <c r="U55" s="32"/>
    </row>
    <row r="56" spans="1:22" ht="15.75" customHeight="1" x14ac:dyDescent="0.35">
      <c r="A56" s="25" t="s">
        <v>47</v>
      </c>
      <c r="B56" s="26" t="s">
        <v>20</v>
      </c>
      <c r="C56" s="26" t="s">
        <v>21</v>
      </c>
      <c r="D56" s="27">
        <v>10</v>
      </c>
      <c r="E56" s="26"/>
      <c r="F56" s="26"/>
      <c r="G56" s="26"/>
      <c r="H56" s="26"/>
      <c r="I56" s="26"/>
      <c r="J56" s="26"/>
      <c r="K56" s="26">
        <v>146</v>
      </c>
      <c r="L56" s="26">
        <v>99</v>
      </c>
      <c r="M56" s="26"/>
      <c r="N56" s="26">
        <v>96</v>
      </c>
      <c r="O56" s="26">
        <v>107</v>
      </c>
      <c r="P56" s="26"/>
      <c r="Q56" s="26"/>
      <c r="R56" s="26"/>
      <c r="S56" s="26"/>
      <c r="T56" s="26">
        <f>SUM(E56:R56)</f>
        <v>448</v>
      </c>
      <c r="U56" s="29">
        <f>50-(((50-D56)+T56)/(1+E55+F55+G55+H55+I55+J55+K55+L55+M55+N55+O55+P55+Q55+R55+S55))</f>
        <v>1.2000000000000028</v>
      </c>
    </row>
    <row r="57" spans="1:22" ht="15.75" customHeight="1" x14ac:dyDescent="0.35">
      <c r="A57" s="33"/>
      <c r="B57" s="34"/>
      <c r="C57" s="34"/>
      <c r="D57" s="36"/>
      <c r="E57" s="34"/>
      <c r="F57" s="34"/>
      <c r="G57" s="34"/>
      <c r="H57" s="34"/>
      <c r="I57" s="34"/>
      <c r="J57" s="34">
        <v>2</v>
      </c>
      <c r="K57" s="34">
        <v>3</v>
      </c>
      <c r="L57" s="34">
        <v>2</v>
      </c>
      <c r="M57" s="34">
        <v>2</v>
      </c>
      <c r="N57" s="34">
        <v>2</v>
      </c>
      <c r="O57" s="34">
        <v>2</v>
      </c>
      <c r="P57" s="34"/>
      <c r="Q57" s="34"/>
      <c r="R57" s="34"/>
      <c r="S57" s="34"/>
      <c r="T57" s="34"/>
      <c r="U57" s="32"/>
    </row>
    <row r="58" spans="1:22" ht="15.75" customHeight="1" x14ac:dyDescent="0.35">
      <c r="A58" s="25" t="s">
        <v>48</v>
      </c>
      <c r="B58" s="26" t="s">
        <v>20</v>
      </c>
      <c r="C58" s="26" t="s">
        <v>21</v>
      </c>
      <c r="D58" s="27">
        <v>10</v>
      </c>
      <c r="E58" s="26"/>
      <c r="F58" s="26"/>
      <c r="G58" s="26"/>
      <c r="H58" s="26"/>
      <c r="I58" s="26"/>
      <c r="J58" s="26">
        <v>98</v>
      </c>
      <c r="K58" s="26">
        <v>146</v>
      </c>
      <c r="L58" s="26">
        <v>99</v>
      </c>
      <c r="M58" s="26">
        <v>99</v>
      </c>
      <c r="N58" s="26">
        <v>92</v>
      </c>
      <c r="O58" s="26">
        <v>96</v>
      </c>
      <c r="P58" s="26"/>
      <c r="Q58" s="26"/>
      <c r="R58" s="26"/>
      <c r="S58" s="26"/>
      <c r="T58" s="26">
        <f>SUM(E58:R58)</f>
        <v>630</v>
      </c>
      <c r="U58" s="29">
        <f>50-(((50-D58)+T58)/(1+E57+F57+G57+H57+I57+J57+K57+L57+M57+N57+O57+P57+Q57+R57+S57))</f>
        <v>2.1428571428571459</v>
      </c>
    </row>
    <row r="59" spans="1:22" ht="15.75" customHeight="1" x14ac:dyDescent="0.35">
      <c r="A59" s="33"/>
      <c r="B59" s="34"/>
      <c r="C59" s="34"/>
      <c r="D59" s="36"/>
      <c r="E59" s="34"/>
      <c r="F59" s="34"/>
      <c r="G59" s="34"/>
      <c r="H59" s="34"/>
      <c r="I59" s="34"/>
      <c r="J59" s="34"/>
      <c r="K59" s="34"/>
      <c r="L59" s="34"/>
      <c r="M59" s="34">
        <v>2</v>
      </c>
      <c r="N59" s="34"/>
      <c r="O59" s="34"/>
      <c r="P59" s="34"/>
      <c r="Q59" s="34"/>
      <c r="R59" s="34"/>
      <c r="S59" s="34"/>
      <c r="T59" s="34"/>
      <c r="U59" s="32"/>
    </row>
    <row r="60" spans="1:22" ht="15.75" customHeight="1" x14ac:dyDescent="0.35">
      <c r="A60" s="25" t="s">
        <v>49</v>
      </c>
      <c r="B60" s="26" t="s">
        <v>20</v>
      </c>
      <c r="C60" s="26" t="s">
        <v>21</v>
      </c>
      <c r="D60" s="27">
        <v>10</v>
      </c>
      <c r="E60" s="26"/>
      <c r="F60" s="26"/>
      <c r="G60" s="26"/>
      <c r="H60" s="26"/>
      <c r="I60" s="26"/>
      <c r="J60" s="26"/>
      <c r="K60" s="26"/>
      <c r="L60" s="26"/>
      <c r="M60" s="26">
        <v>93</v>
      </c>
      <c r="N60" s="26"/>
      <c r="O60" s="26"/>
      <c r="P60" s="26"/>
      <c r="Q60" s="26"/>
      <c r="R60" s="26"/>
      <c r="S60" s="26"/>
      <c r="T60" s="26">
        <f>SUM(E60:R60)</f>
        <v>93</v>
      </c>
      <c r="U60" s="29">
        <f>50-(((50-D60)+T60)/(1+E59+F59+G59+H59+I59+J59+K59+L59+M59+N59+O59+P59+Q59+R59+S59))</f>
        <v>5.6666666666666643</v>
      </c>
    </row>
    <row r="61" spans="1:22" ht="15.75" customHeight="1" x14ac:dyDescent="0.35">
      <c r="A61" s="33"/>
      <c r="B61" s="34"/>
      <c r="C61" s="34"/>
      <c r="D61" s="36"/>
      <c r="E61" s="34"/>
      <c r="F61" s="34"/>
      <c r="G61" s="34">
        <v>2</v>
      </c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2"/>
    </row>
    <row r="62" spans="1:22" ht="15.75" customHeight="1" x14ac:dyDescent="0.35">
      <c r="A62" s="25" t="s">
        <v>50</v>
      </c>
      <c r="B62" s="26" t="s">
        <v>20</v>
      </c>
      <c r="C62" s="26" t="s">
        <v>21</v>
      </c>
      <c r="D62" s="27">
        <v>10</v>
      </c>
      <c r="E62" s="26"/>
      <c r="F62" s="26"/>
      <c r="G62" s="26">
        <v>108</v>
      </c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>
        <f>SUM(E62:R62)</f>
        <v>108</v>
      </c>
      <c r="U62" s="29">
        <f>60-(((60-D62)+T62)/(1+E61+F61+G61+H61+I61+J61+K61+L61+M61+N61+O61+P61+Q61+R61+S61))</f>
        <v>7.3333333333333357</v>
      </c>
    </row>
    <row r="63" spans="1:22" ht="15.75" customHeight="1" x14ac:dyDescent="0.35">
      <c r="A63" s="33"/>
      <c r="B63" s="34"/>
      <c r="C63" s="34"/>
      <c r="D63" s="36"/>
      <c r="E63" s="34"/>
      <c r="F63" s="34"/>
      <c r="G63" s="34"/>
      <c r="H63" s="34">
        <v>2</v>
      </c>
      <c r="I63" s="34">
        <v>2</v>
      </c>
      <c r="J63" s="34">
        <v>2</v>
      </c>
      <c r="K63" s="34">
        <v>3</v>
      </c>
      <c r="L63" s="34">
        <v>2</v>
      </c>
      <c r="M63" s="34">
        <v>2</v>
      </c>
      <c r="N63" s="34">
        <v>2</v>
      </c>
      <c r="O63" s="34">
        <v>2</v>
      </c>
      <c r="P63" s="34"/>
      <c r="Q63" s="34"/>
      <c r="R63" s="34"/>
      <c r="S63" s="34"/>
      <c r="T63" s="34"/>
      <c r="U63" s="32"/>
    </row>
    <row r="64" spans="1:22" ht="15.75" customHeight="1" x14ac:dyDescent="0.35">
      <c r="A64" s="25" t="s">
        <v>50</v>
      </c>
      <c r="B64" s="26" t="s">
        <v>22</v>
      </c>
      <c r="C64" s="26" t="s">
        <v>21</v>
      </c>
      <c r="D64" s="27">
        <v>10</v>
      </c>
      <c r="E64" s="26"/>
      <c r="F64" s="26"/>
      <c r="G64" s="26"/>
      <c r="H64" s="26">
        <v>98</v>
      </c>
      <c r="I64" s="26">
        <v>79</v>
      </c>
      <c r="J64" s="26">
        <v>99</v>
      </c>
      <c r="K64" s="26">
        <v>145</v>
      </c>
      <c r="L64" s="26">
        <v>98</v>
      </c>
      <c r="M64" s="26">
        <v>97</v>
      </c>
      <c r="N64" s="26">
        <v>97</v>
      </c>
      <c r="O64" s="26">
        <v>94</v>
      </c>
      <c r="P64" s="26"/>
      <c r="Q64" s="26"/>
      <c r="R64" s="26"/>
      <c r="S64" s="26"/>
      <c r="T64" s="26">
        <f>SUM(E64:R64)</f>
        <v>807</v>
      </c>
      <c r="U64" s="29">
        <f>50-(((50-D64)+T64)/(1+E63+F63+G63+H63+I63+J63+K63+L63+M63+N63+O63+P63+Q63+R63+S63))</f>
        <v>2.9444444444444429</v>
      </c>
    </row>
    <row r="65" spans="1:22" ht="15.75" customHeight="1" x14ac:dyDescent="0.35">
      <c r="A65" s="33"/>
      <c r="B65" s="34"/>
      <c r="C65" s="34"/>
      <c r="D65" s="36"/>
      <c r="E65" s="34">
        <v>1</v>
      </c>
      <c r="F65" s="34">
        <v>2</v>
      </c>
      <c r="G65" s="34">
        <v>2</v>
      </c>
      <c r="H65" s="34">
        <v>2</v>
      </c>
      <c r="I65" s="34">
        <v>2</v>
      </c>
      <c r="J65" s="34">
        <v>2</v>
      </c>
      <c r="K65" s="34">
        <v>3</v>
      </c>
      <c r="L65" s="34"/>
      <c r="M65" s="34"/>
      <c r="N65" s="34"/>
      <c r="O65" s="34"/>
      <c r="P65" s="34"/>
      <c r="Q65" s="34"/>
      <c r="R65" s="34"/>
      <c r="S65" s="34"/>
      <c r="T65" s="34"/>
      <c r="U65" s="32"/>
    </row>
    <row r="66" spans="1:22" ht="15.75" customHeight="1" x14ac:dyDescent="0.35">
      <c r="A66" s="25" t="s">
        <v>51</v>
      </c>
      <c r="B66" s="26" t="s">
        <v>22</v>
      </c>
      <c r="C66" s="26" t="s">
        <v>21</v>
      </c>
      <c r="D66" s="27">
        <v>10</v>
      </c>
      <c r="E66" s="26">
        <v>50</v>
      </c>
      <c r="F66" s="26">
        <v>99</v>
      </c>
      <c r="G66" s="26">
        <v>94</v>
      </c>
      <c r="H66" s="26">
        <v>98</v>
      </c>
      <c r="I66" s="26">
        <v>85</v>
      </c>
      <c r="J66" s="26">
        <v>99</v>
      </c>
      <c r="K66" s="26">
        <v>145</v>
      </c>
      <c r="L66" s="26"/>
      <c r="M66" s="26"/>
      <c r="N66" s="26"/>
      <c r="O66" s="26"/>
      <c r="P66" s="26"/>
      <c r="Q66" s="26"/>
      <c r="R66" s="26"/>
      <c r="S66" s="26"/>
      <c r="T66" s="26">
        <f>SUM(E66:R66)</f>
        <v>670</v>
      </c>
      <c r="U66" s="29">
        <f>50-(((50-D66)+T66)/(1+E65+F65+G65+H65+I65+J65+K65+L65+M65+N65+O65+P65+Q65+R65+S65))</f>
        <v>2.6666666666666643</v>
      </c>
    </row>
    <row r="67" spans="1:22" ht="15.75" customHeight="1" x14ac:dyDescent="0.35">
      <c r="A67" s="33"/>
      <c r="B67" s="34"/>
      <c r="C67" s="34"/>
      <c r="D67" s="36"/>
      <c r="E67" s="34">
        <v>1</v>
      </c>
      <c r="F67" s="34"/>
      <c r="G67" s="34">
        <v>2</v>
      </c>
      <c r="H67" s="34"/>
      <c r="I67" s="34"/>
      <c r="J67" s="34">
        <v>2</v>
      </c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2"/>
    </row>
    <row r="68" spans="1:22" ht="15.75" customHeight="1" x14ac:dyDescent="0.35">
      <c r="A68" s="25" t="s">
        <v>52</v>
      </c>
      <c r="B68" s="26" t="s">
        <v>22</v>
      </c>
      <c r="C68" s="26" t="s">
        <v>21</v>
      </c>
      <c r="D68" s="27">
        <v>10</v>
      </c>
      <c r="E68" s="26">
        <v>50</v>
      </c>
      <c r="F68" s="26"/>
      <c r="G68" s="26">
        <v>93</v>
      </c>
      <c r="H68" s="26"/>
      <c r="I68" s="26"/>
      <c r="J68" s="26">
        <v>98</v>
      </c>
      <c r="K68" s="26"/>
      <c r="L68" s="26"/>
      <c r="M68" s="26"/>
      <c r="N68" s="26"/>
      <c r="O68" s="26"/>
      <c r="P68" s="26"/>
      <c r="Q68" s="26"/>
      <c r="R68" s="26"/>
      <c r="S68" s="26"/>
      <c r="T68" s="26">
        <f>SUM(E68:R68)</f>
        <v>241</v>
      </c>
      <c r="U68" s="29">
        <f>50-(((50-D68)+T68)/(1+E67+F67+G67+H67+I67+J67+K67+L67+M67+N67+O67+P67+Q67+R67+S67))</f>
        <v>3.1666666666666643</v>
      </c>
    </row>
    <row r="69" spans="1:22" ht="15.75" customHeight="1" x14ac:dyDescent="0.35">
      <c r="A69" s="33"/>
      <c r="B69" s="34"/>
      <c r="C69" s="34"/>
      <c r="D69" s="36"/>
      <c r="E69" s="34"/>
      <c r="F69" s="34"/>
      <c r="G69" s="34"/>
      <c r="H69" s="34"/>
      <c r="I69" s="34"/>
      <c r="J69" s="34"/>
      <c r="K69" s="34"/>
      <c r="L69" s="34"/>
      <c r="M69" s="34">
        <v>2</v>
      </c>
      <c r="N69" s="34">
        <v>2</v>
      </c>
      <c r="O69" s="34"/>
      <c r="P69" s="34"/>
      <c r="Q69" s="34"/>
      <c r="R69" s="34"/>
      <c r="S69" s="34"/>
      <c r="T69" s="34"/>
      <c r="U69" s="32"/>
    </row>
    <row r="70" spans="1:22" ht="15.75" customHeight="1" x14ac:dyDescent="0.35">
      <c r="A70" s="25" t="s">
        <v>53</v>
      </c>
      <c r="B70" s="26" t="s">
        <v>20</v>
      </c>
      <c r="C70" s="26" t="s">
        <v>21</v>
      </c>
      <c r="D70" s="27">
        <v>10</v>
      </c>
      <c r="E70" s="26"/>
      <c r="F70" s="26"/>
      <c r="G70" s="26"/>
      <c r="H70" s="26"/>
      <c r="I70" s="26"/>
      <c r="J70" s="26"/>
      <c r="K70" s="26"/>
      <c r="L70" s="26"/>
      <c r="M70" s="26">
        <v>119</v>
      </c>
      <c r="N70" s="26">
        <v>110</v>
      </c>
      <c r="O70" s="26"/>
      <c r="P70" s="26"/>
      <c r="Q70" s="26"/>
      <c r="R70" s="26"/>
      <c r="S70" s="26"/>
      <c r="T70" s="26">
        <f>SUM(E70:R70)</f>
        <v>229</v>
      </c>
      <c r="U70" s="29">
        <f>60-(((60-D70)+T70)/(1+E69+F69+G69+H69+I69+J69+K69+L69+M69+N69+O69+P69+Q69+R69+S69))</f>
        <v>4.2000000000000028</v>
      </c>
    </row>
    <row r="71" spans="1:22" ht="15.75" customHeight="1" x14ac:dyDescent="0.35">
      <c r="A71" s="33"/>
      <c r="B71" s="34"/>
      <c r="C71" s="34"/>
      <c r="D71" s="36"/>
      <c r="E71" s="34">
        <v>1</v>
      </c>
      <c r="F71" s="34"/>
      <c r="G71" s="34">
        <v>2</v>
      </c>
      <c r="H71" s="34"/>
      <c r="I71" s="34"/>
      <c r="J71" s="34"/>
      <c r="K71" s="34"/>
      <c r="L71" s="34"/>
      <c r="M71" s="34"/>
      <c r="N71" s="34">
        <v>2</v>
      </c>
      <c r="O71" s="34"/>
      <c r="P71" s="34"/>
      <c r="Q71" s="34"/>
      <c r="R71" s="34"/>
      <c r="S71" s="34"/>
      <c r="T71" s="34"/>
      <c r="U71" s="32"/>
    </row>
    <row r="72" spans="1:22" ht="15.75" customHeight="1" x14ac:dyDescent="0.35">
      <c r="A72" s="25" t="s">
        <v>54</v>
      </c>
      <c r="B72" s="26" t="s">
        <v>28</v>
      </c>
      <c r="C72" s="26" t="s">
        <v>21</v>
      </c>
      <c r="D72" s="27">
        <v>3</v>
      </c>
      <c r="E72" s="26">
        <v>44</v>
      </c>
      <c r="F72" s="26"/>
      <c r="G72" s="26">
        <v>86</v>
      </c>
      <c r="H72" s="26"/>
      <c r="I72" s="26"/>
      <c r="J72" s="26"/>
      <c r="K72" s="26"/>
      <c r="L72" s="26"/>
      <c r="M72" s="26"/>
      <c r="N72" s="26">
        <v>85</v>
      </c>
      <c r="O72" s="26"/>
      <c r="P72" s="26"/>
      <c r="Q72" s="26"/>
      <c r="R72" s="26"/>
      <c r="S72" s="26"/>
      <c r="T72" s="26">
        <f>SUM(E72:R72)</f>
        <v>215</v>
      </c>
      <c r="U72" s="29">
        <f>50-(((50-D72)+T72)/(1+E71+F71+G71+H71+I71+J71+K71+L71+M71+N71+O71+P71+Q71+R71+S71))</f>
        <v>6.3333333333333357</v>
      </c>
    </row>
    <row r="73" spans="1:22" ht="15.75" customHeight="1" x14ac:dyDescent="0.35">
      <c r="A73" s="33"/>
      <c r="B73" s="34"/>
      <c r="C73" s="34"/>
      <c r="D73" s="36"/>
      <c r="E73" s="34">
        <v>1</v>
      </c>
      <c r="F73" s="34"/>
      <c r="G73" s="34"/>
      <c r="H73" s="34"/>
      <c r="I73" s="34"/>
      <c r="J73" s="34"/>
      <c r="K73" s="34"/>
      <c r="L73" s="34"/>
      <c r="M73" s="34">
        <v>1</v>
      </c>
      <c r="N73" s="34"/>
      <c r="O73" s="34">
        <v>2</v>
      </c>
      <c r="P73" s="34"/>
      <c r="Q73" s="34"/>
      <c r="R73" s="34"/>
      <c r="S73" s="34"/>
      <c r="T73" s="34"/>
      <c r="U73" s="32"/>
    </row>
    <row r="74" spans="1:22" ht="15.75" customHeight="1" x14ac:dyDescent="0.35">
      <c r="A74" s="25" t="s">
        <v>55</v>
      </c>
      <c r="B74" s="26" t="s">
        <v>28</v>
      </c>
      <c r="C74" s="26" t="s">
        <v>21</v>
      </c>
      <c r="D74" s="27">
        <v>6</v>
      </c>
      <c r="E74" s="26">
        <v>47</v>
      </c>
      <c r="F74" s="26"/>
      <c r="G74" s="26"/>
      <c r="H74" s="26"/>
      <c r="I74" s="26"/>
      <c r="J74" s="26"/>
      <c r="K74" s="26"/>
      <c r="L74" s="26"/>
      <c r="M74" s="26">
        <v>46</v>
      </c>
      <c r="N74" s="26"/>
      <c r="O74" s="26">
        <f>46+47</f>
        <v>93</v>
      </c>
      <c r="P74" s="26"/>
      <c r="Q74" s="26"/>
      <c r="R74" s="26"/>
      <c r="S74" s="26"/>
      <c r="T74" s="26">
        <f>SUM(E74:R74)</f>
        <v>186</v>
      </c>
      <c r="U74" s="29">
        <f>50-(((50-D74)+T74)/(1+E73+F73+G73+H73+I73+J73+K73+L73+M73+N73+O73+P73+Q73+R73+S73))</f>
        <v>4</v>
      </c>
    </row>
    <row r="75" spans="1:22" ht="15.75" customHeight="1" x14ac:dyDescent="0.35">
      <c r="A75" s="33"/>
      <c r="B75" s="34"/>
      <c r="C75" s="34"/>
      <c r="D75" s="36"/>
      <c r="E75" s="34">
        <v>1</v>
      </c>
      <c r="F75" s="34"/>
      <c r="G75" s="34"/>
      <c r="H75" s="34"/>
      <c r="I75" s="34">
        <v>2</v>
      </c>
      <c r="J75" s="34">
        <v>2</v>
      </c>
      <c r="K75" s="34">
        <v>3</v>
      </c>
      <c r="L75" s="34">
        <v>2</v>
      </c>
      <c r="M75" s="34"/>
      <c r="N75" s="34">
        <v>2</v>
      </c>
      <c r="O75" s="34">
        <v>2</v>
      </c>
      <c r="P75" s="34"/>
      <c r="Q75" s="34"/>
      <c r="R75" s="34"/>
      <c r="S75" s="34"/>
      <c r="T75" s="34"/>
      <c r="U75" s="32"/>
    </row>
    <row r="76" spans="1:22" ht="15.75" customHeight="1" x14ac:dyDescent="0.35">
      <c r="A76" s="25" t="s">
        <v>56</v>
      </c>
      <c r="B76" s="26" t="s">
        <v>28</v>
      </c>
      <c r="C76" s="26" t="s">
        <v>21</v>
      </c>
      <c r="D76" s="27">
        <v>2</v>
      </c>
      <c r="E76" s="26">
        <v>42</v>
      </c>
      <c r="F76" s="26"/>
      <c r="G76" s="26"/>
      <c r="H76" s="26"/>
      <c r="I76" s="26">
        <v>89</v>
      </c>
      <c r="J76" s="26">
        <v>98</v>
      </c>
      <c r="K76" s="26">
        <v>138</v>
      </c>
      <c r="L76" s="26">
        <v>92</v>
      </c>
      <c r="M76" s="26"/>
      <c r="N76" s="26">
        <v>92</v>
      </c>
      <c r="O76" s="26">
        <v>85</v>
      </c>
      <c r="P76" s="26"/>
      <c r="Q76" s="26"/>
      <c r="R76" s="26"/>
      <c r="S76" s="26"/>
      <c r="T76" s="26">
        <f>SUM(E76:R76)</f>
        <v>636</v>
      </c>
      <c r="U76" s="29">
        <f>50-(((50-D76)+T76)/(1+E75+F75+G75+H75+I75+J75+K75+L75+M75+N75+O75+P75+Q75+R75+S75))</f>
        <v>4.3999999999999986</v>
      </c>
    </row>
    <row r="77" spans="1:22" ht="15.75" customHeight="1" x14ac:dyDescent="0.35">
      <c r="A77" s="33"/>
      <c r="B77" s="34"/>
      <c r="C77" s="34"/>
      <c r="D77" s="36"/>
      <c r="E77" s="34"/>
      <c r="F77" s="34"/>
      <c r="G77" s="34"/>
      <c r="H77" s="34"/>
      <c r="I77" s="34">
        <v>2</v>
      </c>
      <c r="J77" s="34">
        <v>2</v>
      </c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2"/>
      <c r="V77" s="30"/>
    </row>
    <row r="78" spans="1:22" ht="15.75" customHeight="1" x14ac:dyDescent="0.35">
      <c r="A78" s="25" t="s">
        <v>57</v>
      </c>
      <c r="B78" s="26" t="s">
        <v>58</v>
      </c>
      <c r="C78" s="26" t="s">
        <v>59</v>
      </c>
      <c r="D78" s="27">
        <v>10</v>
      </c>
      <c r="E78" s="26"/>
      <c r="F78" s="26"/>
      <c r="G78" s="26"/>
      <c r="H78" s="26"/>
      <c r="I78" s="26">
        <v>95</v>
      </c>
      <c r="J78" s="26">
        <v>118</v>
      </c>
      <c r="K78" s="26"/>
      <c r="L78" s="26"/>
      <c r="M78" s="26"/>
      <c r="N78" s="26"/>
      <c r="O78" s="26"/>
      <c r="P78" s="26"/>
      <c r="Q78" s="26"/>
      <c r="R78" s="26"/>
      <c r="S78" s="26"/>
      <c r="T78" s="26">
        <f>SUM(E78:R78)</f>
        <v>213</v>
      </c>
      <c r="U78" s="29">
        <f>60-(((60-D78)+T78)/(1+E77+F77+G77+H77+I77+J77+K77+L77+M77+N77+O77+P77+Q77+R77+S77))</f>
        <v>7.3999999999999986</v>
      </c>
      <c r="V78" s="30"/>
    </row>
    <row r="79" spans="1:22" ht="15.75" customHeight="1" x14ac:dyDescent="0.35">
      <c r="A79" s="33"/>
      <c r="B79" s="34"/>
      <c r="C79" s="34"/>
      <c r="D79" s="36"/>
      <c r="E79" s="34">
        <v>1</v>
      </c>
      <c r="F79" s="34"/>
      <c r="G79" s="34">
        <v>2</v>
      </c>
      <c r="H79" s="34"/>
      <c r="I79" s="34">
        <v>2</v>
      </c>
      <c r="J79" s="34">
        <v>2</v>
      </c>
      <c r="K79" s="34"/>
      <c r="L79" s="34">
        <v>2</v>
      </c>
      <c r="M79" s="34">
        <v>2</v>
      </c>
      <c r="N79" s="34">
        <v>2</v>
      </c>
      <c r="O79" s="34">
        <v>2</v>
      </c>
      <c r="P79" s="34"/>
      <c r="Q79" s="34"/>
      <c r="R79" s="34"/>
      <c r="S79" s="34"/>
      <c r="T79" s="34"/>
      <c r="U79" s="32"/>
      <c r="V79" s="30"/>
    </row>
    <row r="80" spans="1:22" ht="15.75" customHeight="1" x14ac:dyDescent="0.35">
      <c r="A80" s="25" t="s">
        <v>60</v>
      </c>
      <c r="B80" s="26" t="s">
        <v>58</v>
      </c>
      <c r="C80" s="26" t="s">
        <v>59</v>
      </c>
      <c r="D80" s="27">
        <v>4</v>
      </c>
      <c r="E80" s="26">
        <v>58</v>
      </c>
      <c r="F80" s="26"/>
      <c r="G80" s="26">
        <v>106</v>
      </c>
      <c r="H80" s="26"/>
      <c r="I80" s="26">
        <v>77</v>
      </c>
      <c r="J80" s="26">
        <v>106</v>
      </c>
      <c r="K80" s="26"/>
      <c r="L80" s="26">
        <v>112</v>
      </c>
      <c r="M80" s="26">
        <v>114</v>
      </c>
      <c r="N80" s="26">
        <v>102</v>
      </c>
      <c r="O80" s="26">
        <v>107</v>
      </c>
      <c r="P80" s="26"/>
      <c r="Q80" s="26"/>
      <c r="R80" s="26"/>
      <c r="S80" s="26"/>
      <c r="T80" s="26">
        <f>SUM(E80:R80)</f>
        <v>782</v>
      </c>
      <c r="U80" s="29">
        <f>60-(((60-D80)+T80)/(1+E79+F79+G79+H79+I79+J79+K79+L79+M79+N79+O79+P79+Q79+R79+S79))</f>
        <v>7.625</v>
      </c>
      <c r="V80" s="30"/>
    </row>
    <row r="81" spans="1:22" ht="15.75" customHeight="1" x14ac:dyDescent="0.35">
      <c r="A81" s="33"/>
      <c r="B81" s="34"/>
      <c r="C81" s="34"/>
      <c r="D81" s="36"/>
      <c r="E81" s="34">
        <v>1</v>
      </c>
      <c r="F81" s="34">
        <v>2</v>
      </c>
      <c r="G81" s="34">
        <v>2</v>
      </c>
      <c r="H81" s="34"/>
      <c r="I81" s="34">
        <v>2</v>
      </c>
      <c r="J81" s="34"/>
      <c r="K81" s="34">
        <v>3</v>
      </c>
      <c r="L81" s="34"/>
      <c r="M81" s="34"/>
      <c r="N81" s="34"/>
      <c r="O81" s="34">
        <v>2</v>
      </c>
      <c r="P81" s="34"/>
      <c r="Q81" s="34"/>
      <c r="R81" s="34"/>
      <c r="S81" s="34"/>
      <c r="T81" s="34"/>
      <c r="U81" s="32"/>
      <c r="V81" s="30"/>
    </row>
    <row r="82" spans="1:22" ht="15.75" customHeight="1" x14ac:dyDescent="0.35">
      <c r="A82" s="25" t="s">
        <v>61</v>
      </c>
      <c r="B82" s="26" t="s">
        <v>58</v>
      </c>
      <c r="C82" s="26" t="s">
        <v>59</v>
      </c>
      <c r="D82" s="27">
        <v>7</v>
      </c>
      <c r="E82" s="26">
        <v>59</v>
      </c>
      <c r="F82" s="26">
        <v>116</v>
      </c>
      <c r="G82" s="26">
        <v>106</v>
      </c>
      <c r="H82" s="26"/>
      <c r="I82" s="26">
        <v>91</v>
      </c>
      <c r="J82" s="26"/>
      <c r="K82" s="26">
        <v>139</v>
      </c>
      <c r="L82" s="26"/>
      <c r="M82" s="26"/>
      <c r="N82" s="26"/>
      <c r="O82" s="26">
        <v>112</v>
      </c>
      <c r="P82" s="26"/>
      <c r="Q82" s="26"/>
      <c r="R82" s="26"/>
      <c r="S82" s="26"/>
      <c r="T82" s="26">
        <f>SUM(E82:R82)</f>
        <v>623</v>
      </c>
      <c r="U82" s="29">
        <f>60-(((60-D82)+T82)/(1+E81+F81+G81+H81+I81+J81+K81+L81+M81+N81+O81+P81+Q81+R81+S81))</f>
        <v>8</v>
      </c>
      <c r="V82" s="30"/>
    </row>
    <row r="83" spans="1:22" ht="15.75" customHeight="1" x14ac:dyDescent="0.35">
      <c r="A83" s="33"/>
      <c r="B83" s="34"/>
      <c r="C83" s="34"/>
      <c r="D83" s="36"/>
      <c r="E83" s="34"/>
      <c r="F83" s="34"/>
      <c r="G83" s="34"/>
      <c r="H83" s="34"/>
      <c r="I83" s="34"/>
      <c r="J83" s="34"/>
      <c r="K83" s="34"/>
      <c r="L83" s="34">
        <v>2</v>
      </c>
      <c r="M83" s="34"/>
      <c r="N83" s="34"/>
      <c r="O83" s="34"/>
      <c r="P83" s="34"/>
      <c r="Q83" s="34"/>
      <c r="R83" s="34"/>
      <c r="S83" s="34"/>
      <c r="T83" s="34"/>
      <c r="U83" s="32"/>
      <c r="V83" s="30"/>
    </row>
    <row r="84" spans="1:22" ht="15.75" customHeight="1" x14ac:dyDescent="0.35">
      <c r="A84" s="25" t="s">
        <v>61</v>
      </c>
      <c r="B84" s="26" t="s">
        <v>22</v>
      </c>
      <c r="C84" s="26" t="s">
        <v>59</v>
      </c>
      <c r="D84" s="27">
        <v>7</v>
      </c>
      <c r="E84" s="26"/>
      <c r="F84" s="26"/>
      <c r="G84" s="26"/>
      <c r="H84" s="26"/>
      <c r="I84" s="26"/>
      <c r="J84" s="26"/>
      <c r="K84" s="26"/>
      <c r="L84" s="26">
        <v>93</v>
      </c>
      <c r="M84" s="26"/>
      <c r="N84" s="26"/>
      <c r="O84" s="26"/>
      <c r="P84" s="26"/>
      <c r="Q84" s="26"/>
      <c r="R84" s="26"/>
      <c r="S84" s="26"/>
      <c r="T84" s="26">
        <f>SUM(E84:R84)</f>
        <v>93</v>
      </c>
      <c r="U84" s="29">
        <f>50-(((50-D84)+T84)/(1+E83+F83+G83+H83+I83+J83+K83+L83+M83+N83+O83+P83+Q83+R83+S83))</f>
        <v>4.6666666666666643</v>
      </c>
      <c r="V84" s="30"/>
    </row>
    <row r="85" spans="1:22" ht="15.75" customHeight="1" x14ac:dyDescent="0.35">
      <c r="A85" s="33"/>
      <c r="B85" s="34"/>
      <c r="C85" s="34"/>
      <c r="D85" s="36"/>
      <c r="E85" s="34">
        <v>1</v>
      </c>
      <c r="F85" s="34"/>
      <c r="G85" s="20"/>
      <c r="H85" s="34"/>
      <c r="I85" s="34"/>
      <c r="J85" s="34">
        <v>2</v>
      </c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2"/>
      <c r="V85" s="30"/>
    </row>
    <row r="86" spans="1:22" ht="15.75" customHeight="1" x14ac:dyDescent="0.35">
      <c r="A86" s="25" t="s">
        <v>62</v>
      </c>
      <c r="B86" s="26" t="s">
        <v>20</v>
      </c>
      <c r="C86" s="26" t="s">
        <v>59</v>
      </c>
      <c r="D86" s="27">
        <v>10</v>
      </c>
      <c r="E86" s="26">
        <v>54</v>
      </c>
      <c r="F86" s="26"/>
      <c r="G86" s="26"/>
      <c r="H86" s="26"/>
      <c r="I86" s="26"/>
      <c r="J86" s="26">
        <v>114</v>
      </c>
      <c r="K86" s="26"/>
      <c r="L86" s="26"/>
      <c r="M86" s="26"/>
      <c r="N86" s="26"/>
      <c r="O86" s="26"/>
      <c r="P86" s="26"/>
      <c r="Q86" s="26"/>
      <c r="R86" s="26"/>
      <c r="S86" s="26"/>
      <c r="T86" s="26">
        <f>SUM(E86:R86)</f>
        <v>168</v>
      </c>
      <c r="U86" s="29">
        <f>60-(((60-D86)+T86)/(1+E85+F85+G85+H85+I85+J85+K85+L85+M85+N85+O85+P85+Q85+R85+S85))</f>
        <v>5.5</v>
      </c>
      <c r="V86" s="30"/>
    </row>
    <row r="87" spans="1:22" ht="15.75" customHeight="1" x14ac:dyDescent="0.35">
      <c r="A87" s="33"/>
      <c r="B87" s="34"/>
      <c r="C87" s="34"/>
      <c r="D87" s="36"/>
      <c r="E87" s="34"/>
      <c r="F87" s="34"/>
      <c r="G87" s="34">
        <v>2</v>
      </c>
      <c r="H87" s="34"/>
      <c r="I87" s="34"/>
      <c r="J87" s="34">
        <v>2</v>
      </c>
      <c r="K87" s="34"/>
      <c r="L87" s="34">
        <v>2</v>
      </c>
      <c r="M87" s="34">
        <v>2</v>
      </c>
      <c r="N87" s="34"/>
      <c r="O87" s="34"/>
      <c r="P87" s="34"/>
      <c r="Q87" s="34"/>
      <c r="R87" s="34"/>
      <c r="S87" s="34"/>
      <c r="T87" s="34"/>
      <c r="U87" s="32"/>
      <c r="V87" s="30"/>
    </row>
    <row r="88" spans="1:22" ht="15.75" customHeight="1" x14ac:dyDescent="0.35">
      <c r="A88" s="25" t="s">
        <v>63</v>
      </c>
      <c r="B88" s="26" t="s">
        <v>20</v>
      </c>
      <c r="C88" s="26" t="s">
        <v>59</v>
      </c>
      <c r="D88" s="27">
        <v>10</v>
      </c>
      <c r="E88" s="26"/>
      <c r="F88" s="26"/>
      <c r="G88" s="26">
        <v>102</v>
      </c>
      <c r="H88" s="26"/>
      <c r="I88" s="26"/>
      <c r="J88" s="26">
        <v>114</v>
      </c>
      <c r="K88" s="26"/>
      <c r="L88" s="26">
        <v>119</v>
      </c>
      <c r="M88" s="26">
        <v>117</v>
      </c>
      <c r="N88" s="26"/>
      <c r="O88" s="26"/>
      <c r="P88" s="26"/>
      <c r="Q88" s="26"/>
      <c r="R88" s="26"/>
      <c r="S88" s="26"/>
      <c r="T88" s="26">
        <f>SUM(E88:R88)</f>
        <v>452</v>
      </c>
      <c r="U88" s="29">
        <f>60-(((60-D88)+T88)/(1+E87+F87+G87+H87+I87+J87+K87+L87+M87+N87+O87+P87+Q87+R87+S87))</f>
        <v>4.2222222222222214</v>
      </c>
      <c r="V88" s="30"/>
    </row>
    <row r="89" spans="1:22" ht="15.75" customHeight="1" x14ac:dyDescent="0.35">
      <c r="A89" s="33"/>
      <c r="B89" s="34"/>
      <c r="C89" s="34"/>
      <c r="D89" s="36"/>
      <c r="E89" s="34"/>
      <c r="F89" s="34"/>
      <c r="G89" s="34"/>
      <c r="H89" s="34"/>
      <c r="I89" s="34"/>
      <c r="J89" s="34">
        <v>2</v>
      </c>
      <c r="K89" s="34"/>
      <c r="L89" s="34">
        <v>2</v>
      </c>
      <c r="M89" s="34"/>
      <c r="N89" s="34"/>
      <c r="O89" s="34"/>
      <c r="P89" s="34"/>
      <c r="Q89" s="34"/>
      <c r="R89" s="34"/>
      <c r="S89" s="34"/>
      <c r="T89" s="34"/>
      <c r="U89" s="32"/>
      <c r="V89" s="30"/>
    </row>
    <row r="90" spans="1:22" ht="15.75" customHeight="1" x14ac:dyDescent="0.35">
      <c r="A90" s="25" t="s">
        <v>64</v>
      </c>
      <c r="B90" s="26" t="s">
        <v>20</v>
      </c>
      <c r="C90" s="26" t="s">
        <v>59</v>
      </c>
      <c r="D90" s="27">
        <v>10</v>
      </c>
      <c r="E90" s="26"/>
      <c r="F90" s="26"/>
      <c r="G90" s="26"/>
      <c r="H90" s="26"/>
      <c r="I90" s="26"/>
      <c r="J90" s="26">
        <v>117</v>
      </c>
      <c r="K90" s="26"/>
      <c r="L90" s="26">
        <v>119</v>
      </c>
      <c r="M90" s="26"/>
      <c r="N90" s="26"/>
      <c r="O90" s="26"/>
      <c r="P90" s="26"/>
      <c r="Q90" s="26"/>
      <c r="R90" s="26"/>
      <c r="S90" s="26"/>
      <c r="T90" s="26">
        <f>SUM(E90:R90)</f>
        <v>236</v>
      </c>
      <c r="U90" s="29">
        <f>60-(((60-D90)+T90)/(1+E89+F89+G89+H89+I89+J89+K89+L89+M89+N89+O89+P89+Q89+R89+S89))</f>
        <v>2.7999999999999972</v>
      </c>
      <c r="V90" s="30"/>
    </row>
    <row r="91" spans="1:22" ht="15.75" customHeight="1" x14ac:dyDescent="0.35">
      <c r="A91" s="33"/>
      <c r="B91" s="34"/>
      <c r="C91" s="34"/>
      <c r="D91" s="36"/>
      <c r="E91" s="34"/>
      <c r="F91" s="34"/>
      <c r="G91" s="34"/>
      <c r="H91" s="34"/>
      <c r="I91" s="34"/>
      <c r="J91" s="34">
        <v>2</v>
      </c>
      <c r="K91" s="34"/>
      <c r="L91" s="34"/>
      <c r="M91" s="34">
        <v>2</v>
      </c>
      <c r="N91" s="34"/>
      <c r="O91" s="34"/>
      <c r="P91" s="34"/>
      <c r="Q91" s="34"/>
      <c r="R91" s="34"/>
      <c r="S91" s="34"/>
      <c r="T91" s="34"/>
      <c r="U91" s="32"/>
      <c r="V91" s="30"/>
    </row>
    <row r="92" spans="1:22" ht="15.75" customHeight="1" x14ac:dyDescent="0.35">
      <c r="A92" s="25" t="s">
        <v>65</v>
      </c>
      <c r="B92" s="26" t="s">
        <v>22</v>
      </c>
      <c r="C92" s="26" t="s">
        <v>59</v>
      </c>
      <c r="D92" s="27">
        <v>5</v>
      </c>
      <c r="E92" s="26"/>
      <c r="F92" s="26"/>
      <c r="G92" s="26"/>
      <c r="H92" s="26"/>
      <c r="I92" s="26"/>
      <c r="J92" s="26">
        <v>98</v>
      </c>
      <c r="K92" s="26"/>
      <c r="L92" s="26"/>
      <c r="M92" s="26">
        <v>100</v>
      </c>
      <c r="N92" s="26"/>
      <c r="O92" s="26"/>
      <c r="P92" s="26"/>
      <c r="Q92" s="26"/>
      <c r="R92" s="26"/>
      <c r="S92" s="26"/>
      <c r="T92" s="26">
        <f>SUM(E92:R92)</f>
        <v>198</v>
      </c>
      <c r="U92" s="29">
        <f>50-(((50-D92)+T92)/(1+E91+F91+G91+H91+I91+J91+K91+L91+M91+N91+O91+P91+Q91+R91+S91))</f>
        <v>1.3999999999999986</v>
      </c>
      <c r="V92" s="30"/>
    </row>
    <row r="93" spans="1:22" ht="15.75" customHeight="1" x14ac:dyDescent="0.35">
      <c r="A93" s="33"/>
      <c r="B93" s="34"/>
      <c r="C93" s="34"/>
      <c r="D93" s="36"/>
      <c r="E93" s="34">
        <v>1</v>
      </c>
      <c r="F93" s="34">
        <v>2</v>
      </c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2"/>
      <c r="V93" s="30"/>
    </row>
    <row r="94" spans="1:22" ht="15.75" customHeight="1" x14ac:dyDescent="0.35">
      <c r="A94" s="25" t="s">
        <v>65</v>
      </c>
      <c r="B94" s="26" t="s">
        <v>58</v>
      </c>
      <c r="C94" s="26" t="s">
        <v>59</v>
      </c>
      <c r="D94" s="27">
        <v>10</v>
      </c>
      <c r="E94" s="26">
        <v>53</v>
      </c>
      <c r="F94" s="26">
        <v>106</v>
      </c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>
        <f>SUM(E94:R94)</f>
        <v>159</v>
      </c>
      <c r="U94" s="29">
        <f>60-(((60-D94)+T94)/(1+E93+F93+G93+H93+I93+J93+K93+L93+M93+N93+O93+P93+Q93+R93+S93))</f>
        <v>7.75</v>
      </c>
      <c r="V94" s="30"/>
    </row>
    <row r="95" spans="1:22" ht="15.75" customHeight="1" x14ac:dyDescent="0.35">
      <c r="A95" s="33"/>
      <c r="B95" s="34"/>
      <c r="C95" s="34"/>
      <c r="D95" s="36"/>
      <c r="E95" s="34">
        <v>1</v>
      </c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2"/>
      <c r="V95" s="30"/>
    </row>
    <row r="96" spans="1:22" ht="15.75" customHeight="1" x14ac:dyDescent="0.35">
      <c r="A96" s="25" t="s">
        <v>66</v>
      </c>
      <c r="B96" s="26" t="s">
        <v>58</v>
      </c>
      <c r="C96" s="26" t="s">
        <v>59</v>
      </c>
      <c r="D96" s="27">
        <v>8</v>
      </c>
      <c r="E96" s="26">
        <v>57</v>
      </c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>
        <f>SUM(E96:R96)</f>
        <v>57</v>
      </c>
      <c r="U96" s="29">
        <f>60-(((60-D96)+T96)/(1+E95+F95+G95+H95+I95+J95+K95+L95+M95+N95+O95+P95+Q95+R95+S95))</f>
        <v>5.5</v>
      </c>
    </row>
    <row r="97" spans="1:21" ht="15.75" customHeight="1" x14ac:dyDescent="0.35">
      <c r="A97" s="33"/>
      <c r="B97" s="34"/>
      <c r="C97" s="34"/>
      <c r="D97" s="36"/>
      <c r="E97" s="34">
        <v>1</v>
      </c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2"/>
    </row>
    <row r="98" spans="1:21" ht="15.75" customHeight="1" x14ac:dyDescent="0.35">
      <c r="A98" s="25" t="s">
        <v>67</v>
      </c>
      <c r="B98" s="26" t="s">
        <v>20</v>
      </c>
      <c r="C98" s="26" t="s">
        <v>59</v>
      </c>
      <c r="D98" s="27">
        <v>8</v>
      </c>
      <c r="E98" s="37">
        <v>60</v>
      </c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26">
        <f>SUM(E98:R98)</f>
        <v>60</v>
      </c>
      <c r="U98" s="29">
        <f>60-(((60-D98)+T98)/(1+E97+F97+G97+H97+I97+J97+K97+L97+M97+N97+O97+P97+Q97+R97+S97))</f>
        <v>4</v>
      </c>
    </row>
    <row r="99" spans="1:21" ht="15.75" customHeight="1" x14ac:dyDescent="0.35">
      <c r="A99" s="33"/>
      <c r="B99" s="34"/>
      <c r="C99" s="34"/>
      <c r="D99" s="36"/>
      <c r="E99" s="34">
        <v>1</v>
      </c>
      <c r="F99" s="34"/>
      <c r="G99" s="34"/>
      <c r="H99" s="34"/>
      <c r="I99" s="34"/>
      <c r="J99" s="34">
        <v>2</v>
      </c>
      <c r="K99" s="34"/>
      <c r="L99" s="34">
        <v>2</v>
      </c>
      <c r="M99" s="34">
        <v>2</v>
      </c>
      <c r="N99" s="34"/>
      <c r="O99" s="34"/>
      <c r="P99" s="34"/>
      <c r="Q99" s="34"/>
      <c r="R99" s="34"/>
      <c r="S99" s="34"/>
      <c r="T99" s="34"/>
      <c r="U99" s="32"/>
    </row>
    <row r="100" spans="1:21" ht="15.75" customHeight="1" x14ac:dyDescent="0.35">
      <c r="A100" s="25" t="s">
        <v>68</v>
      </c>
      <c r="B100" s="26" t="s">
        <v>20</v>
      </c>
      <c r="C100" s="26" t="s">
        <v>59</v>
      </c>
      <c r="D100" s="27">
        <v>5</v>
      </c>
      <c r="E100" s="26">
        <v>60</v>
      </c>
      <c r="F100" s="26"/>
      <c r="G100" s="26"/>
      <c r="H100" s="26"/>
      <c r="I100" s="26"/>
      <c r="J100" s="26">
        <v>112</v>
      </c>
      <c r="K100" s="26"/>
      <c r="L100" s="26">
        <v>118</v>
      </c>
      <c r="M100" s="26">
        <v>110</v>
      </c>
      <c r="N100" s="26"/>
      <c r="O100" s="26"/>
      <c r="P100" s="26"/>
      <c r="Q100" s="26"/>
      <c r="R100" s="26"/>
      <c r="S100" s="26"/>
      <c r="T100" s="26">
        <f>SUM(E100:R100)</f>
        <v>400</v>
      </c>
      <c r="U100" s="29">
        <f>60-(((60-D100)+T100)/(1+E99+F99+G99+H99+I99+J99+K99+L99+M99+N99+O99+P99+Q99+R99+S99))</f>
        <v>3.125</v>
      </c>
    </row>
    <row r="101" spans="1:21" ht="15.75" customHeight="1" x14ac:dyDescent="0.35">
      <c r="A101" s="33"/>
      <c r="B101" s="34"/>
      <c r="C101" s="34"/>
      <c r="D101" s="36"/>
      <c r="E101" s="34"/>
      <c r="F101" s="34"/>
      <c r="G101" s="34"/>
      <c r="H101" s="34"/>
      <c r="I101" s="34"/>
      <c r="J101" s="34"/>
      <c r="K101" s="34">
        <v>3</v>
      </c>
      <c r="L101" s="34"/>
      <c r="M101" s="34"/>
      <c r="N101" s="34"/>
      <c r="O101" s="34"/>
      <c r="P101" s="34"/>
      <c r="Q101" s="34"/>
      <c r="R101" s="34"/>
      <c r="S101" s="34"/>
      <c r="T101" s="34"/>
      <c r="U101" s="32"/>
    </row>
    <row r="102" spans="1:21" ht="15.75" customHeight="1" x14ac:dyDescent="0.35">
      <c r="A102" s="25" t="s">
        <v>69</v>
      </c>
      <c r="B102" s="26" t="s">
        <v>20</v>
      </c>
      <c r="C102" s="26" t="s">
        <v>59</v>
      </c>
      <c r="D102" s="27">
        <v>10</v>
      </c>
      <c r="E102" s="26"/>
      <c r="F102" s="26"/>
      <c r="G102" s="26"/>
      <c r="H102" s="26"/>
      <c r="I102" s="26"/>
      <c r="J102" s="26"/>
      <c r="K102" s="26">
        <v>166</v>
      </c>
      <c r="L102" s="26"/>
      <c r="M102" s="26"/>
      <c r="N102" s="26"/>
      <c r="O102" s="26"/>
      <c r="P102" s="26"/>
      <c r="Q102" s="26"/>
      <c r="R102" s="26"/>
      <c r="S102" s="26"/>
      <c r="T102" s="26">
        <f>SUM(E102:R102)</f>
        <v>166</v>
      </c>
      <c r="U102" s="29">
        <f>60-(((60-D102)+T102)/(1+E101+F101+G101+H101+I101+J101+K101+L101+M101+N101+O101+P101+Q101+R101+S101))</f>
        <v>6</v>
      </c>
    </row>
    <row r="103" spans="1:21" ht="15.75" customHeight="1" x14ac:dyDescent="0.35">
      <c r="A103" s="33"/>
      <c r="B103" s="34"/>
      <c r="C103" s="34"/>
      <c r="D103" s="36"/>
      <c r="E103" s="34">
        <v>1</v>
      </c>
      <c r="F103" s="34">
        <v>2</v>
      </c>
      <c r="G103" s="34">
        <v>2</v>
      </c>
      <c r="H103" s="34"/>
      <c r="I103" s="34"/>
      <c r="J103" s="34">
        <v>2</v>
      </c>
      <c r="K103" s="34"/>
      <c r="L103" s="34"/>
      <c r="M103" s="34"/>
      <c r="N103" s="34">
        <v>2</v>
      </c>
      <c r="O103" s="34">
        <v>2</v>
      </c>
      <c r="P103" s="34"/>
      <c r="Q103" s="34"/>
      <c r="R103" s="34"/>
      <c r="S103" s="34"/>
      <c r="T103" s="34"/>
      <c r="U103" s="32"/>
    </row>
    <row r="104" spans="1:21" ht="15.75" customHeight="1" x14ac:dyDescent="0.35">
      <c r="A104" s="25" t="s">
        <v>70</v>
      </c>
      <c r="B104" s="26" t="s">
        <v>20</v>
      </c>
      <c r="C104" s="26" t="s">
        <v>59</v>
      </c>
      <c r="D104" s="27">
        <v>4</v>
      </c>
      <c r="E104" s="26">
        <v>58</v>
      </c>
      <c r="F104" s="26">
        <v>113</v>
      </c>
      <c r="G104" s="26">
        <v>107</v>
      </c>
      <c r="H104" s="26"/>
      <c r="I104" s="26"/>
      <c r="J104" s="26">
        <v>116</v>
      </c>
      <c r="K104" s="26"/>
      <c r="L104" s="26"/>
      <c r="M104" s="26"/>
      <c r="N104" s="26">
        <v>110</v>
      </c>
      <c r="O104" s="26">
        <v>106</v>
      </c>
      <c r="P104" s="26"/>
      <c r="Q104" s="26"/>
      <c r="R104" s="26"/>
      <c r="S104" s="26"/>
      <c r="T104" s="26">
        <f>SUM(E104:R104)</f>
        <v>610</v>
      </c>
      <c r="U104" s="29">
        <f>60-(((60-D104)+T104)/(1+E103+F103+G103+H103+I103+J103+K103+L103+M103+N103+O103+P103+Q103+R103+S103))</f>
        <v>4.5</v>
      </c>
    </row>
    <row r="105" spans="1:21" ht="15.75" customHeight="1" x14ac:dyDescent="0.35">
      <c r="A105" s="33"/>
      <c r="B105" s="34"/>
      <c r="C105" s="34"/>
      <c r="D105" s="36"/>
      <c r="E105" s="34">
        <v>1</v>
      </c>
      <c r="F105" s="34">
        <v>2</v>
      </c>
      <c r="G105" s="34">
        <v>2</v>
      </c>
      <c r="H105" s="34"/>
      <c r="I105" s="34">
        <v>2</v>
      </c>
      <c r="J105" s="34">
        <v>2</v>
      </c>
      <c r="K105" s="34"/>
      <c r="L105" s="34">
        <v>2</v>
      </c>
      <c r="M105" s="34"/>
      <c r="N105" s="34"/>
      <c r="O105" s="34"/>
      <c r="P105" s="34"/>
      <c r="Q105" s="34"/>
      <c r="R105" s="34"/>
      <c r="S105" s="34"/>
      <c r="T105" s="34"/>
      <c r="U105" s="32"/>
    </row>
    <row r="106" spans="1:21" ht="15.75" customHeight="1" x14ac:dyDescent="0.35">
      <c r="A106" s="25" t="s">
        <v>71</v>
      </c>
      <c r="B106" s="26" t="s">
        <v>22</v>
      </c>
      <c r="C106" s="26" t="s">
        <v>59</v>
      </c>
      <c r="D106" s="27">
        <v>10</v>
      </c>
      <c r="E106" s="26">
        <v>48</v>
      </c>
      <c r="F106" s="26">
        <v>94</v>
      </c>
      <c r="G106" s="26">
        <v>97</v>
      </c>
      <c r="H106" s="26"/>
      <c r="I106" s="26">
        <v>93</v>
      </c>
      <c r="J106" s="26">
        <v>88</v>
      </c>
      <c r="K106" s="26"/>
      <c r="L106" s="26">
        <v>82</v>
      </c>
      <c r="M106" s="26"/>
      <c r="N106" s="26"/>
      <c r="O106" s="26"/>
      <c r="P106" s="26"/>
      <c r="Q106" s="26"/>
      <c r="R106" s="26"/>
      <c r="S106" s="26"/>
      <c r="T106" s="26">
        <f>SUM(E106:R106)</f>
        <v>502</v>
      </c>
      <c r="U106" s="29">
        <f>50-(((50-D106)+T106)/(1+E105+F105+G105+H105+I105+J105+K105+L105+M105+N105+O105+P105+Q105+R105+S105))</f>
        <v>4.8333333333333357</v>
      </c>
    </row>
    <row r="107" spans="1:21" ht="15.75" customHeight="1" x14ac:dyDescent="0.35">
      <c r="A107" s="33"/>
      <c r="B107" s="34"/>
      <c r="C107" s="34"/>
      <c r="D107" s="36"/>
      <c r="E107" s="30">
        <v>1</v>
      </c>
      <c r="F107" s="30"/>
      <c r="G107" s="30">
        <v>2</v>
      </c>
      <c r="H107" s="30"/>
      <c r="I107" s="30"/>
      <c r="J107" s="30">
        <v>2</v>
      </c>
      <c r="K107" s="30">
        <v>3</v>
      </c>
      <c r="L107" s="30">
        <v>2</v>
      </c>
      <c r="M107" s="30">
        <v>2</v>
      </c>
      <c r="N107" s="30"/>
      <c r="O107" s="30">
        <v>2</v>
      </c>
      <c r="P107" s="30"/>
      <c r="Q107" s="30"/>
      <c r="R107" s="30"/>
      <c r="S107" s="30"/>
      <c r="T107" s="34"/>
      <c r="U107" s="32"/>
    </row>
    <row r="108" spans="1:21" ht="15.75" customHeight="1" x14ac:dyDescent="0.35">
      <c r="A108" s="25" t="s">
        <v>72</v>
      </c>
      <c r="B108" s="26" t="s">
        <v>22</v>
      </c>
      <c r="C108" s="26" t="s">
        <v>59</v>
      </c>
      <c r="D108" s="27">
        <v>10</v>
      </c>
      <c r="E108" s="26">
        <v>48</v>
      </c>
      <c r="F108" s="26"/>
      <c r="G108" s="26">
        <v>89</v>
      </c>
      <c r="H108" s="26"/>
      <c r="I108" s="26"/>
      <c r="J108" s="26">
        <v>98</v>
      </c>
      <c r="K108" s="26">
        <v>137</v>
      </c>
      <c r="L108" s="26">
        <v>91</v>
      </c>
      <c r="M108" s="26">
        <v>96</v>
      </c>
      <c r="N108" s="26"/>
      <c r="O108" s="26">
        <v>93</v>
      </c>
      <c r="P108" s="26"/>
      <c r="Q108" s="26"/>
      <c r="R108" s="26"/>
      <c r="S108" s="26"/>
      <c r="T108" s="26">
        <f>SUM(E108:R108)</f>
        <v>652</v>
      </c>
      <c r="U108" s="29">
        <f>50-(((50-D108)+T108)/(1+E107+F107+G107+H107+I107+J107+K107+L107+M107+N107+O107+P107+Q107+R107+S107))</f>
        <v>3.8666666666666671</v>
      </c>
    </row>
    <row r="109" spans="1:21" ht="15.75" customHeight="1" x14ac:dyDescent="0.35">
      <c r="A109" s="33"/>
      <c r="B109" s="34"/>
      <c r="C109" s="34"/>
      <c r="D109" s="36"/>
      <c r="E109" s="34"/>
      <c r="F109" s="34"/>
      <c r="G109" s="34"/>
      <c r="H109" s="34"/>
      <c r="I109" s="34"/>
      <c r="J109" s="34">
        <v>2</v>
      </c>
      <c r="K109" s="34">
        <v>3</v>
      </c>
      <c r="L109" s="34"/>
      <c r="M109" s="34"/>
      <c r="N109" s="34">
        <v>2</v>
      </c>
      <c r="O109" s="34">
        <v>2</v>
      </c>
      <c r="P109" s="34"/>
      <c r="Q109" s="34"/>
      <c r="R109" s="34"/>
      <c r="S109" s="34"/>
      <c r="T109" s="34"/>
      <c r="U109" s="32"/>
    </row>
    <row r="110" spans="1:21" ht="15.75" customHeight="1" x14ac:dyDescent="0.35">
      <c r="A110" s="25" t="s">
        <v>73</v>
      </c>
      <c r="B110" s="26" t="s">
        <v>58</v>
      </c>
      <c r="C110" s="26" t="s">
        <v>59</v>
      </c>
      <c r="D110" s="27">
        <v>10</v>
      </c>
      <c r="E110" s="26"/>
      <c r="F110" s="26"/>
      <c r="G110" s="26"/>
      <c r="H110" s="26"/>
      <c r="I110" s="26"/>
      <c r="J110" s="26">
        <v>115</v>
      </c>
      <c r="K110" s="26">
        <v>160</v>
      </c>
      <c r="L110" s="26"/>
      <c r="M110" s="26"/>
      <c r="N110" s="26">
        <v>114</v>
      </c>
      <c r="O110" s="26">
        <v>103</v>
      </c>
      <c r="P110" s="26"/>
      <c r="Q110" s="26"/>
      <c r="R110" s="26"/>
      <c r="S110" s="26"/>
      <c r="T110" s="26">
        <f>SUM(E110:R110)</f>
        <v>492</v>
      </c>
      <c r="U110" s="29">
        <f>60-(((60-D110)+T110)/(1+E109+F109+G109+H109+I109+J109+K109+L109+M109+N109+O109+P109+Q109+R109+S109))</f>
        <v>5.7999999999999972</v>
      </c>
    </row>
    <row r="111" spans="1:21" ht="15.75" customHeight="1" x14ac:dyDescent="0.35">
      <c r="A111" s="33"/>
      <c r="B111" s="34"/>
      <c r="C111" s="34"/>
      <c r="D111" s="36"/>
      <c r="E111" s="34"/>
      <c r="F111" s="34">
        <v>2</v>
      </c>
      <c r="G111" s="34">
        <v>2</v>
      </c>
      <c r="H111" s="34"/>
      <c r="I111" s="34">
        <v>2</v>
      </c>
      <c r="J111" s="34"/>
      <c r="K111" s="34"/>
      <c r="L111" s="34">
        <v>2</v>
      </c>
      <c r="M111" s="34">
        <v>2</v>
      </c>
      <c r="N111" s="34"/>
      <c r="O111" s="34"/>
      <c r="P111" s="34"/>
      <c r="Q111" s="34"/>
      <c r="R111" s="34"/>
      <c r="S111" s="34"/>
      <c r="T111" s="34"/>
      <c r="U111" s="32"/>
    </row>
    <row r="112" spans="1:21" ht="15.75" customHeight="1" x14ac:dyDescent="0.35">
      <c r="A112" s="25" t="s">
        <v>73</v>
      </c>
      <c r="B112" s="26" t="s">
        <v>22</v>
      </c>
      <c r="C112" s="26" t="s">
        <v>59</v>
      </c>
      <c r="D112" s="27">
        <v>10</v>
      </c>
      <c r="E112" s="26"/>
      <c r="F112" s="26">
        <v>93</v>
      </c>
      <c r="G112" s="26">
        <v>96</v>
      </c>
      <c r="H112" s="26"/>
      <c r="I112" s="26">
        <v>82</v>
      </c>
      <c r="J112" s="26"/>
      <c r="K112" s="26"/>
      <c r="L112" s="26">
        <v>97</v>
      </c>
      <c r="M112" s="26">
        <v>100</v>
      </c>
      <c r="N112" s="26"/>
      <c r="O112" s="26"/>
      <c r="P112" s="26"/>
      <c r="Q112" s="26"/>
      <c r="R112" s="26"/>
      <c r="S112" s="26"/>
      <c r="T112" s="26">
        <f>SUM(E112:R112)</f>
        <v>468</v>
      </c>
      <c r="U112" s="29">
        <f>50-(((50-D112)+T112)/(1+E111+F111+G111+H111+I111+J111+K111+L111+M111+N111+O111+P111+Q111+R111+S111))</f>
        <v>3.8181818181818201</v>
      </c>
    </row>
    <row r="113" spans="1:21" ht="15.75" customHeight="1" x14ac:dyDescent="0.35">
      <c r="A113" s="33"/>
      <c r="B113" s="34"/>
      <c r="C113" s="34"/>
      <c r="D113" s="36"/>
      <c r="E113" s="34"/>
      <c r="F113" s="34">
        <v>2</v>
      </c>
      <c r="G113" s="34">
        <v>2</v>
      </c>
      <c r="H113" s="34"/>
      <c r="I113" s="34">
        <v>2</v>
      </c>
      <c r="J113" s="34">
        <v>2</v>
      </c>
      <c r="K113" s="34">
        <v>3</v>
      </c>
      <c r="L113" s="34">
        <v>2</v>
      </c>
      <c r="M113" s="34">
        <v>2</v>
      </c>
      <c r="N113" s="34"/>
      <c r="O113" s="34">
        <v>2</v>
      </c>
      <c r="P113" s="34"/>
      <c r="Q113" s="34"/>
      <c r="R113" s="34"/>
      <c r="S113" s="34"/>
      <c r="T113" s="34"/>
      <c r="U113" s="32"/>
    </row>
    <row r="114" spans="1:21" ht="15.75" customHeight="1" x14ac:dyDescent="0.35">
      <c r="A114" s="25" t="s">
        <v>74</v>
      </c>
      <c r="B114" s="26" t="s">
        <v>58</v>
      </c>
      <c r="C114" s="26" t="s">
        <v>59</v>
      </c>
      <c r="D114" s="27">
        <v>8</v>
      </c>
      <c r="E114" s="26"/>
      <c r="F114" s="26">
        <v>114</v>
      </c>
      <c r="G114" s="26">
        <v>111</v>
      </c>
      <c r="H114" s="26"/>
      <c r="I114" s="26">
        <v>89</v>
      </c>
      <c r="J114" s="26">
        <v>118</v>
      </c>
      <c r="K114" s="26">
        <v>157</v>
      </c>
      <c r="L114" s="26">
        <v>116</v>
      </c>
      <c r="M114" s="26">
        <v>120</v>
      </c>
      <c r="N114" s="26"/>
      <c r="O114" s="26">
        <v>110</v>
      </c>
      <c r="P114" s="26"/>
      <c r="Q114" s="26"/>
      <c r="R114" s="26"/>
      <c r="S114" s="26"/>
      <c r="T114" s="26">
        <f>SUM(E114:R114)</f>
        <v>935</v>
      </c>
      <c r="U114" s="29">
        <f>60-(((60-D114)+T114)/(1+E113+F113+G113+H113+I113+J113+K113+L113+M113+N113+O113+P113+Q113+R113+S113))</f>
        <v>5.1666666666666643</v>
      </c>
    </row>
    <row r="115" spans="1:21" ht="15.75" customHeight="1" x14ac:dyDescent="0.35">
      <c r="A115" s="33"/>
      <c r="B115" s="34"/>
      <c r="C115" s="34"/>
      <c r="D115" s="36"/>
      <c r="E115" s="34"/>
      <c r="F115" s="34"/>
      <c r="G115" s="34"/>
      <c r="H115" s="34"/>
      <c r="I115" s="34"/>
      <c r="J115" s="34"/>
      <c r="K115" s="34"/>
      <c r="L115" s="34"/>
      <c r="M115" s="34">
        <v>2</v>
      </c>
      <c r="N115" s="34">
        <v>2</v>
      </c>
      <c r="O115" s="34">
        <v>2</v>
      </c>
      <c r="P115" s="34"/>
      <c r="Q115" s="34"/>
      <c r="R115" s="34"/>
      <c r="S115" s="34"/>
      <c r="T115" s="34"/>
      <c r="U115" s="32"/>
    </row>
    <row r="116" spans="1:21" ht="15.75" customHeight="1" x14ac:dyDescent="0.35">
      <c r="A116" s="25" t="s">
        <v>75</v>
      </c>
      <c r="B116" s="26" t="s">
        <v>58</v>
      </c>
      <c r="C116" s="26" t="s">
        <v>59</v>
      </c>
      <c r="D116" s="27">
        <v>10</v>
      </c>
      <c r="E116" s="26"/>
      <c r="F116" s="26"/>
      <c r="G116" s="26"/>
      <c r="H116" s="26"/>
      <c r="I116" s="26"/>
      <c r="J116" s="26"/>
      <c r="K116" s="26"/>
      <c r="L116" s="26"/>
      <c r="M116" s="26">
        <v>110</v>
      </c>
      <c r="N116" s="26">
        <v>106</v>
      </c>
      <c r="O116" s="26">
        <v>114</v>
      </c>
      <c r="P116" s="26"/>
      <c r="Q116" s="26"/>
      <c r="R116" s="26"/>
      <c r="S116" s="26"/>
      <c r="T116" s="26">
        <f>SUM(E116:R116)</f>
        <v>330</v>
      </c>
      <c r="U116" s="29">
        <f>60-(((60-D116)+T116)/(1+E115+F115+G115+H115+I115+J115+K115+L115+M115+N115+O115+P115+Q115+R115+S115))</f>
        <v>5.7142857142857153</v>
      </c>
    </row>
    <row r="117" spans="1:21" ht="15.75" customHeight="1" x14ac:dyDescent="0.35">
      <c r="A117" s="33"/>
      <c r="B117" s="34"/>
      <c r="C117" s="34"/>
      <c r="D117" s="36"/>
      <c r="E117" s="34"/>
      <c r="F117" s="34"/>
      <c r="G117" s="34"/>
      <c r="H117" s="34"/>
      <c r="I117" s="34"/>
      <c r="J117" s="34">
        <v>2</v>
      </c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2"/>
    </row>
    <row r="118" spans="1:21" ht="15.75" customHeight="1" x14ac:dyDescent="0.35">
      <c r="A118" s="25" t="s">
        <v>76</v>
      </c>
      <c r="B118" s="26" t="s">
        <v>22</v>
      </c>
      <c r="C118" s="26" t="s">
        <v>59</v>
      </c>
      <c r="D118" s="27">
        <v>5</v>
      </c>
      <c r="E118" s="26"/>
      <c r="F118" s="26"/>
      <c r="G118" s="26"/>
      <c r="H118" s="26"/>
      <c r="I118" s="26"/>
      <c r="J118" s="26">
        <v>93</v>
      </c>
      <c r="K118" s="26"/>
      <c r="L118" s="26"/>
      <c r="M118" s="26"/>
      <c r="N118" s="26"/>
      <c r="O118" s="26"/>
      <c r="P118" s="26"/>
      <c r="Q118" s="26"/>
      <c r="R118" s="26"/>
      <c r="S118" s="26"/>
      <c r="T118" s="26">
        <f>SUM(E118:R118)</f>
        <v>93</v>
      </c>
      <c r="U118" s="29">
        <f>50-(((50-D118)+T118)/(1+E117+F117+G117+H117+I117+J117+K117+L117+M117+N117+O117+P117+Q117+R117+S117))</f>
        <v>4</v>
      </c>
    </row>
    <row r="119" spans="1:21" ht="15.75" customHeight="1" x14ac:dyDescent="0.35">
      <c r="A119" s="33"/>
      <c r="B119" s="34"/>
      <c r="C119" s="34"/>
      <c r="D119" s="36"/>
      <c r="E119" s="34"/>
      <c r="F119" s="34">
        <v>2</v>
      </c>
      <c r="G119" s="34">
        <v>2</v>
      </c>
      <c r="H119" s="34"/>
      <c r="I119" s="34">
        <v>2</v>
      </c>
      <c r="J119" s="34"/>
      <c r="K119" s="34"/>
      <c r="L119" s="34">
        <v>2</v>
      </c>
      <c r="M119" s="34">
        <v>2</v>
      </c>
      <c r="N119" s="34">
        <v>2</v>
      </c>
      <c r="O119" s="34">
        <v>2</v>
      </c>
      <c r="P119" s="34"/>
      <c r="Q119" s="34"/>
      <c r="R119" s="34"/>
      <c r="S119" s="34"/>
      <c r="T119" s="34"/>
      <c r="U119" s="32"/>
    </row>
    <row r="120" spans="1:21" ht="15.75" customHeight="1" x14ac:dyDescent="0.35">
      <c r="A120" s="25" t="s">
        <v>76</v>
      </c>
      <c r="B120" s="26" t="s">
        <v>58</v>
      </c>
      <c r="C120" s="26" t="s">
        <v>59</v>
      </c>
      <c r="D120" s="27">
        <v>4.5999999999999996</v>
      </c>
      <c r="E120" s="26"/>
      <c r="F120" s="26">
        <v>118</v>
      </c>
      <c r="G120" s="26">
        <v>114</v>
      </c>
      <c r="H120" s="26"/>
      <c r="I120" s="26">
        <v>91</v>
      </c>
      <c r="J120" s="26"/>
      <c r="K120" s="26"/>
      <c r="L120" s="26">
        <v>113</v>
      </c>
      <c r="M120" s="26">
        <v>111</v>
      </c>
      <c r="N120" s="26">
        <v>113</v>
      </c>
      <c r="O120" s="26">
        <v>101</v>
      </c>
      <c r="P120" s="26"/>
      <c r="Q120" s="26"/>
      <c r="R120" s="26"/>
      <c r="S120" s="26"/>
      <c r="T120" s="26">
        <f>SUM(E120:R120)</f>
        <v>761</v>
      </c>
      <c r="U120" s="29">
        <f>60-(((60-D120)+T120)/(1+E119+F119+G119+H119+I119+J119+K119+L119+M119+N119+O119+P119+Q119+R119+S119))</f>
        <v>5.5733333333333377</v>
      </c>
    </row>
    <row r="121" spans="1:21" ht="15.75" customHeight="1" x14ac:dyDescent="0.35">
      <c r="A121" s="33"/>
      <c r="B121" s="34"/>
      <c r="C121" s="34"/>
      <c r="D121" s="36"/>
      <c r="E121" s="34">
        <v>1</v>
      </c>
      <c r="F121" s="34">
        <v>2</v>
      </c>
      <c r="G121" s="34"/>
      <c r="H121" s="34"/>
      <c r="I121" s="34"/>
      <c r="J121" s="34">
        <v>2</v>
      </c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2"/>
    </row>
    <row r="122" spans="1:21" ht="15.75" customHeight="1" x14ac:dyDescent="0.35">
      <c r="A122" s="25" t="s">
        <v>77</v>
      </c>
      <c r="B122" s="26" t="s">
        <v>22</v>
      </c>
      <c r="C122" s="26" t="s">
        <v>59</v>
      </c>
      <c r="D122" s="27">
        <v>9</v>
      </c>
      <c r="E122" s="26">
        <v>50</v>
      </c>
      <c r="F122" s="26">
        <v>81</v>
      </c>
      <c r="G122" s="26"/>
      <c r="H122" s="26"/>
      <c r="I122" s="26"/>
      <c r="J122" s="26">
        <v>93</v>
      </c>
      <c r="K122" s="26"/>
      <c r="L122" s="26"/>
      <c r="M122" s="26"/>
      <c r="N122" s="26"/>
      <c r="O122" s="26"/>
      <c r="P122" s="26"/>
      <c r="Q122" s="26"/>
      <c r="R122" s="26"/>
      <c r="S122" s="26"/>
      <c r="T122" s="26">
        <f>SUM(E122:R122)</f>
        <v>224</v>
      </c>
      <c r="U122" s="29">
        <f>50-(((50-D122)+T122)/(1+E121+F121+G121+H121+I121+J121+K121+L121+M121+N121+O121+P121+Q121+R121+S121))</f>
        <v>5.8333333333333357</v>
      </c>
    </row>
    <row r="123" spans="1:21" ht="15.75" customHeight="1" x14ac:dyDescent="0.35">
      <c r="A123" s="33"/>
      <c r="B123" s="34"/>
      <c r="C123" s="34"/>
      <c r="D123" s="36"/>
      <c r="E123" s="34">
        <v>1</v>
      </c>
      <c r="F123" s="34">
        <v>2</v>
      </c>
      <c r="G123" s="34">
        <v>2</v>
      </c>
      <c r="H123" s="34"/>
      <c r="I123" s="34">
        <v>2</v>
      </c>
      <c r="J123" s="34">
        <v>2</v>
      </c>
      <c r="K123" s="34"/>
      <c r="L123" s="34">
        <v>2</v>
      </c>
      <c r="M123" s="34">
        <v>2</v>
      </c>
      <c r="N123" s="34"/>
      <c r="O123" s="34">
        <v>2</v>
      </c>
      <c r="P123" s="34"/>
      <c r="Q123" s="34"/>
      <c r="R123" s="34"/>
      <c r="S123" s="34"/>
      <c r="T123" s="34"/>
      <c r="U123" s="32"/>
    </row>
    <row r="124" spans="1:21" ht="15.75" customHeight="1" x14ac:dyDescent="0.35">
      <c r="A124" s="25" t="s">
        <v>78</v>
      </c>
      <c r="B124" s="26" t="s">
        <v>22</v>
      </c>
      <c r="C124" s="26" t="s">
        <v>59</v>
      </c>
      <c r="D124" s="27">
        <v>7</v>
      </c>
      <c r="E124" s="26">
        <v>47</v>
      </c>
      <c r="F124" s="26">
        <v>82</v>
      </c>
      <c r="G124" s="26">
        <v>84</v>
      </c>
      <c r="H124" s="26"/>
      <c r="I124" s="26">
        <v>86</v>
      </c>
      <c r="J124" s="26">
        <v>92</v>
      </c>
      <c r="K124" s="26"/>
      <c r="L124" s="26">
        <v>88</v>
      </c>
      <c r="M124" s="26">
        <v>93</v>
      </c>
      <c r="N124" s="26"/>
      <c r="O124" s="26">
        <v>86</v>
      </c>
      <c r="P124" s="26"/>
      <c r="Q124" s="26"/>
      <c r="R124" s="26"/>
      <c r="S124" s="26"/>
      <c r="T124" s="26">
        <f>SUM(E124:R124)</f>
        <v>658</v>
      </c>
      <c r="U124" s="29">
        <f>50-(((50-D124)+T124)/(1+E123+F123+G123+H123+I123+J123+K123+L123+M123+N123+O123+P123+Q123+R123+S123))</f>
        <v>6.1875</v>
      </c>
    </row>
    <row r="125" spans="1:21" ht="15.75" customHeight="1" x14ac:dyDescent="0.35">
      <c r="A125" s="33"/>
      <c r="B125" s="34"/>
      <c r="C125" s="34"/>
      <c r="D125" s="36"/>
      <c r="E125" s="34">
        <v>1</v>
      </c>
      <c r="F125" s="34">
        <v>2</v>
      </c>
      <c r="G125" s="34">
        <v>2</v>
      </c>
      <c r="H125" s="34"/>
      <c r="I125" s="34">
        <v>2</v>
      </c>
      <c r="J125" s="34">
        <v>2</v>
      </c>
      <c r="K125" s="34">
        <v>3</v>
      </c>
      <c r="L125" s="34">
        <v>2</v>
      </c>
      <c r="M125" s="34"/>
      <c r="N125" s="34"/>
      <c r="O125" s="34">
        <v>2</v>
      </c>
      <c r="P125" s="34"/>
      <c r="Q125" s="34"/>
      <c r="R125" s="34"/>
      <c r="S125" s="34"/>
      <c r="T125" s="34"/>
      <c r="U125" s="32"/>
    </row>
    <row r="126" spans="1:21" ht="15.75" customHeight="1" x14ac:dyDescent="0.35">
      <c r="A126" s="25" t="s">
        <v>79</v>
      </c>
      <c r="B126" s="26" t="s">
        <v>28</v>
      </c>
      <c r="C126" s="26" t="s">
        <v>59</v>
      </c>
      <c r="D126" s="27">
        <v>2</v>
      </c>
      <c r="E126" s="26">
        <v>49</v>
      </c>
      <c r="F126" s="26">
        <v>99</v>
      </c>
      <c r="G126" s="26">
        <v>94</v>
      </c>
      <c r="H126" s="26"/>
      <c r="I126" s="26">
        <v>86</v>
      </c>
      <c r="J126" s="26">
        <v>98</v>
      </c>
      <c r="K126" s="26">
        <v>136</v>
      </c>
      <c r="L126" s="26">
        <v>100</v>
      </c>
      <c r="M126" s="26"/>
      <c r="N126" s="26"/>
      <c r="O126" s="26">
        <v>97</v>
      </c>
      <c r="P126" s="26"/>
      <c r="Q126" s="26"/>
      <c r="R126" s="26"/>
      <c r="S126" s="26"/>
      <c r="T126" s="26">
        <f>SUM(E126:R126)</f>
        <v>759</v>
      </c>
      <c r="U126" s="29">
        <f>50-(((50-D126)+T126)/(1+E125+F125+G125+H125+I125+J125+K125+L125+M125+N125+O125+P125+Q125+R125+S125))</f>
        <v>2.529411764705884</v>
      </c>
    </row>
    <row r="127" spans="1:21" ht="15.75" customHeight="1" x14ac:dyDescent="0.35">
      <c r="A127" s="33"/>
      <c r="B127" s="34"/>
      <c r="C127" s="34"/>
      <c r="D127" s="36"/>
      <c r="E127" s="34">
        <v>1</v>
      </c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2"/>
    </row>
    <row r="128" spans="1:21" ht="15.75" customHeight="1" x14ac:dyDescent="0.35">
      <c r="A128" s="25" t="s">
        <v>80</v>
      </c>
      <c r="B128" s="26" t="s">
        <v>22</v>
      </c>
      <c r="C128" s="26" t="s">
        <v>59</v>
      </c>
      <c r="D128" s="27">
        <v>10</v>
      </c>
      <c r="E128" s="26">
        <v>42</v>
      </c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>
        <f>SUM(E128:R128)</f>
        <v>42</v>
      </c>
      <c r="U128" s="29">
        <f>50-(((50-D128)+T128)/(1+E127+F127+G127+H127+I127+J127+K127+L127+M127+N127+O127+P127+Q127+R127+S127))</f>
        <v>9</v>
      </c>
    </row>
    <row r="129" spans="1:21" ht="15.75" customHeight="1" x14ac:dyDescent="0.35">
      <c r="A129" s="33"/>
      <c r="B129" s="34"/>
      <c r="C129" s="34"/>
      <c r="D129" s="36"/>
      <c r="E129" s="34">
        <v>1</v>
      </c>
      <c r="F129" s="34">
        <v>2</v>
      </c>
      <c r="G129" s="34"/>
      <c r="H129" s="34"/>
      <c r="I129" s="34"/>
      <c r="J129" s="34">
        <v>2</v>
      </c>
      <c r="K129" s="34"/>
      <c r="L129" s="34">
        <v>2</v>
      </c>
      <c r="M129" s="34">
        <v>2</v>
      </c>
      <c r="N129" s="34"/>
      <c r="O129" s="34"/>
      <c r="P129" s="34"/>
      <c r="Q129" s="34"/>
      <c r="R129" s="34"/>
      <c r="S129" s="34"/>
      <c r="T129" s="34"/>
      <c r="U129" s="32"/>
    </row>
    <row r="130" spans="1:21" ht="15.75" customHeight="1" x14ac:dyDescent="0.35">
      <c r="A130" s="25" t="s">
        <v>81</v>
      </c>
      <c r="B130" s="26" t="s">
        <v>22</v>
      </c>
      <c r="C130" s="26" t="s">
        <v>59</v>
      </c>
      <c r="D130" s="27">
        <v>5</v>
      </c>
      <c r="E130" s="26">
        <v>50</v>
      </c>
      <c r="F130" s="26">
        <v>99</v>
      </c>
      <c r="G130" s="26"/>
      <c r="H130" s="26"/>
      <c r="I130" s="26"/>
      <c r="J130" s="26">
        <v>100</v>
      </c>
      <c r="K130" s="26"/>
      <c r="L130" s="26">
        <v>100</v>
      </c>
      <c r="M130" s="26">
        <v>100</v>
      </c>
      <c r="N130" s="26"/>
      <c r="O130" s="26"/>
      <c r="P130" s="26"/>
      <c r="Q130" s="26"/>
      <c r="R130" s="26"/>
      <c r="S130" s="26"/>
      <c r="T130" s="26">
        <f>SUM(E130:R130)</f>
        <v>449</v>
      </c>
      <c r="U130" s="29">
        <f>50-(((50-D130)+T130)/(1+E129+F129+G129+H129+I129+J129+K129+L129+M129+N129+O129+P129+Q129+R129+S129))</f>
        <v>0.60000000000000142</v>
      </c>
    </row>
    <row r="131" spans="1:21" ht="15.75" customHeight="1" x14ac:dyDescent="0.35">
      <c r="A131" s="33"/>
      <c r="B131" s="34"/>
      <c r="C131" s="34"/>
      <c r="D131" s="36"/>
      <c r="E131" s="34"/>
      <c r="F131" s="34">
        <v>2</v>
      </c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2"/>
    </row>
    <row r="132" spans="1:21" ht="15.75" customHeight="1" x14ac:dyDescent="0.35">
      <c r="A132" s="25" t="s">
        <v>82</v>
      </c>
      <c r="B132" s="26" t="s">
        <v>58</v>
      </c>
      <c r="C132" s="26" t="s">
        <v>83</v>
      </c>
      <c r="D132" s="27">
        <v>10</v>
      </c>
      <c r="E132" s="26"/>
      <c r="F132" s="26">
        <v>116</v>
      </c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>
        <f>SUM(E132:R132)</f>
        <v>116</v>
      </c>
      <c r="U132" s="29">
        <f>60-(((60-D132)+T132)/(1+E131+F131+G131+H131+I131+J131+K131+L131+M131+N131+O131+P131+Q131+R131+S131))</f>
        <v>4.6666666666666643</v>
      </c>
    </row>
    <row r="133" spans="1:21" ht="15.75" customHeight="1" x14ac:dyDescent="0.35">
      <c r="A133" s="33"/>
      <c r="B133" s="34"/>
      <c r="C133" s="34"/>
      <c r="D133" s="36"/>
      <c r="E133" s="34"/>
      <c r="F133" s="34">
        <v>2</v>
      </c>
      <c r="G133" s="20">
        <v>2</v>
      </c>
      <c r="H133" s="34"/>
      <c r="I133" s="34">
        <v>2</v>
      </c>
      <c r="J133" s="34">
        <v>2</v>
      </c>
      <c r="K133" s="34"/>
      <c r="L133" s="34"/>
      <c r="M133" s="34">
        <v>2</v>
      </c>
      <c r="N133" s="34">
        <v>2</v>
      </c>
      <c r="O133" s="34"/>
      <c r="P133" s="34"/>
      <c r="Q133" s="34"/>
      <c r="R133" s="34"/>
      <c r="S133" s="34"/>
      <c r="T133" s="34"/>
      <c r="U133" s="32"/>
    </row>
    <row r="134" spans="1:21" ht="15.75" customHeight="1" x14ac:dyDescent="0.35">
      <c r="A134" s="25" t="s">
        <v>84</v>
      </c>
      <c r="B134" s="26" t="s">
        <v>20</v>
      </c>
      <c r="C134" s="26" t="s">
        <v>83</v>
      </c>
      <c r="D134" s="27">
        <v>10</v>
      </c>
      <c r="E134" s="26"/>
      <c r="F134" s="26">
        <v>112</v>
      </c>
      <c r="G134" s="26">
        <v>102</v>
      </c>
      <c r="H134" s="26"/>
      <c r="I134" s="26">
        <v>94</v>
      </c>
      <c r="J134" s="26">
        <v>116</v>
      </c>
      <c r="K134" s="26"/>
      <c r="L134" s="26"/>
      <c r="M134" s="26">
        <v>109</v>
      </c>
      <c r="N134" s="26">
        <v>106</v>
      </c>
      <c r="O134" s="26"/>
      <c r="P134" s="26"/>
      <c r="Q134" s="26"/>
      <c r="R134" s="26"/>
      <c r="S134" s="26"/>
      <c r="T134" s="26">
        <f>SUM(E134:R134)</f>
        <v>639</v>
      </c>
      <c r="U134" s="29">
        <f>60-(((60-D134)+T134)/(1+E133+F133+G133+H133+I133+J133+K133+L133+M133+N133+O133+P133+Q133+R133+S133))</f>
        <v>7</v>
      </c>
    </row>
    <row r="135" spans="1:21" ht="15.75" customHeight="1" x14ac:dyDescent="0.35">
      <c r="A135" s="33"/>
      <c r="B135" s="34"/>
      <c r="C135" s="34"/>
      <c r="D135" s="36"/>
      <c r="E135" s="34">
        <v>1</v>
      </c>
      <c r="F135" s="34">
        <v>2</v>
      </c>
      <c r="G135" s="34">
        <v>2</v>
      </c>
      <c r="H135" s="34"/>
      <c r="I135" s="34">
        <v>2</v>
      </c>
      <c r="J135" s="34">
        <v>2</v>
      </c>
      <c r="K135" s="34"/>
      <c r="L135" s="34">
        <v>2</v>
      </c>
      <c r="M135" s="34">
        <v>2</v>
      </c>
      <c r="N135" s="34">
        <v>2</v>
      </c>
      <c r="O135" s="34">
        <v>2</v>
      </c>
      <c r="P135" s="34"/>
      <c r="Q135" s="34"/>
      <c r="R135" s="34"/>
      <c r="S135" s="34"/>
      <c r="T135" s="34"/>
      <c r="U135" s="32"/>
    </row>
    <row r="136" spans="1:21" ht="15.75" customHeight="1" x14ac:dyDescent="0.35">
      <c r="A136" s="25" t="s">
        <v>85</v>
      </c>
      <c r="B136" s="26" t="s">
        <v>28</v>
      </c>
      <c r="C136" s="26" t="s">
        <v>83</v>
      </c>
      <c r="D136" s="27">
        <v>6</v>
      </c>
      <c r="E136" s="26">
        <v>44</v>
      </c>
      <c r="F136" s="26">
        <v>88</v>
      </c>
      <c r="G136" s="26">
        <v>94</v>
      </c>
      <c r="H136" s="26"/>
      <c r="I136" s="26">
        <v>77</v>
      </c>
      <c r="J136" s="26">
        <v>94</v>
      </c>
      <c r="K136" s="26"/>
      <c r="L136" s="26">
        <v>94</v>
      </c>
      <c r="M136" s="26">
        <v>97</v>
      </c>
      <c r="N136" s="26">
        <v>88</v>
      </c>
      <c r="O136" s="26">
        <v>92</v>
      </c>
      <c r="P136" s="26"/>
      <c r="Q136" s="26"/>
      <c r="R136" s="26"/>
      <c r="S136" s="26"/>
      <c r="T136" s="26">
        <f>SUM(E136:R136)</f>
        <v>768</v>
      </c>
      <c r="U136" s="29">
        <f>50-(((50-D136)+T136)/(1+E135+F135+G135+H135+I135+J135+K135+L135+M135+N135+O135+P135+Q135+R135+S135))</f>
        <v>4.8888888888888857</v>
      </c>
    </row>
    <row r="137" spans="1:21" ht="15.75" customHeight="1" x14ac:dyDescent="0.35">
      <c r="A137" s="33"/>
      <c r="B137" s="34"/>
      <c r="C137" s="34"/>
      <c r="D137" s="36"/>
      <c r="E137" s="34"/>
      <c r="F137" s="34"/>
      <c r="G137" s="20"/>
      <c r="H137" s="34"/>
      <c r="I137" s="34"/>
      <c r="J137" s="34">
        <v>2</v>
      </c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2"/>
    </row>
    <row r="138" spans="1:21" ht="15.75" customHeight="1" x14ac:dyDescent="0.35">
      <c r="A138" s="25" t="s">
        <v>86</v>
      </c>
      <c r="B138" s="26" t="s">
        <v>20</v>
      </c>
      <c r="C138" s="26" t="s">
        <v>83</v>
      </c>
      <c r="D138" s="27">
        <v>10</v>
      </c>
      <c r="E138" s="26"/>
      <c r="F138" s="26"/>
      <c r="G138" s="26"/>
      <c r="H138" s="26"/>
      <c r="I138" s="26"/>
      <c r="J138" s="26">
        <v>108</v>
      </c>
      <c r="K138" s="26"/>
      <c r="L138" s="26"/>
      <c r="M138" s="26"/>
      <c r="N138" s="26"/>
      <c r="O138" s="26"/>
      <c r="P138" s="26"/>
      <c r="Q138" s="26"/>
      <c r="R138" s="26"/>
      <c r="S138" s="26"/>
      <c r="T138" s="26">
        <f>SUM(E138:R138)</f>
        <v>108</v>
      </c>
      <c r="U138" s="29">
        <f>60-(((60-D138)+T138)/(1+E137+F137+G137+H137+I137+J137+K137+L137+M137+N137+O137+P137+Q137+R137+S137))</f>
        <v>7.3333333333333357</v>
      </c>
    </row>
    <row r="139" spans="1:21" ht="15.75" customHeight="1" x14ac:dyDescent="0.35">
      <c r="A139" s="33"/>
      <c r="B139" s="34"/>
      <c r="C139" s="34"/>
      <c r="D139" s="36"/>
      <c r="E139" s="34">
        <v>1</v>
      </c>
      <c r="F139" s="34">
        <v>2</v>
      </c>
      <c r="G139" s="34">
        <v>2</v>
      </c>
      <c r="H139" s="34"/>
      <c r="I139" s="34"/>
      <c r="J139" s="34">
        <v>2</v>
      </c>
      <c r="K139" s="34"/>
      <c r="L139" s="34">
        <v>2</v>
      </c>
      <c r="M139" s="34">
        <v>2</v>
      </c>
      <c r="N139" s="34">
        <v>2</v>
      </c>
      <c r="O139" s="34">
        <v>2</v>
      </c>
      <c r="P139" s="34"/>
      <c r="Q139" s="34"/>
      <c r="R139" s="34"/>
      <c r="S139" s="34"/>
      <c r="T139" s="34"/>
      <c r="U139" s="32"/>
    </row>
    <row r="140" spans="1:21" ht="15.75" customHeight="1" x14ac:dyDescent="0.35">
      <c r="A140" s="25" t="s">
        <v>87</v>
      </c>
      <c r="B140" s="26" t="s">
        <v>28</v>
      </c>
      <c r="C140" s="26" t="s">
        <v>83</v>
      </c>
      <c r="D140" s="27">
        <v>2</v>
      </c>
      <c r="E140" s="26">
        <v>49</v>
      </c>
      <c r="F140" s="26">
        <v>97</v>
      </c>
      <c r="G140" s="26">
        <v>93</v>
      </c>
      <c r="H140" s="26"/>
      <c r="I140" s="26"/>
      <c r="J140" s="26">
        <v>94</v>
      </c>
      <c r="K140" s="26"/>
      <c r="L140" s="26">
        <v>97</v>
      </c>
      <c r="M140" s="26">
        <v>100</v>
      </c>
      <c r="N140" s="26">
        <v>91</v>
      </c>
      <c r="O140" s="26">
        <v>89</v>
      </c>
      <c r="P140" s="26"/>
      <c r="Q140" s="26"/>
      <c r="R140" s="26"/>
      <c r="S140" s="26"/>
      <c r="T140" s="26">
        <f>SUM(E140:R140)</f>
        <v>710</v>
      </c>
      <c r="U140" s="29">
        <f>50-(((50-D140)+T140)/(1+E139+F139+G139+H139+I139+J139+K139+L139+M139+N139+O139+P139+Q139+R139+S139))</f>
        <v>2.625</v>
      </c>
    </row>
    <row r="141" spans="1:21" ht="15.75" customHeight="1" x14ac:dyDescent="0.35">
      <c r="A141" s="33"/>
      <c r="B141" s="34"/>
      <c r="C141" s="34"/>
      <c r="D141" s="36"/>
      <c r="E141" s="34">
        <v>1</v>
      </c>
      <c r="F141" s="34">
        <v>2</v>
      </c>
      <c r="G141" s="34">
        <v>2</v>
      </c>
      <c r="H141" s="34"/>
      <c r="I141" s="34">
        <v>2</v>
      </c>
      <c r="J141" s="34">
        <v>2</v>
      </c>
      <c r="K141" s="34">
        <v>3</v>
      </c>
      <c r="L141" s="34"/>
      <c r="M141" s="34"/>
      <c r="N141" s="34">
        <v>2</v>
      </c>
      <c r="O141" s="34"/>
      <c r="P141" s="34"/>
      <c r="Q141" s="34"/>
      <c r="R141" s="34"/>
      <c r="S141" s="34"/>
      <c r="T141" s="34"/>
      <c r="U141" s="32"/>
    </row>
    <row r="142" spans="1:21" ht="15.75" customHeight="1" x14ac:dyDescent="0.35">
      <c r="A142" s="25" t="s">
        <v>88</v>
      </c>
      <c r="B142" s="26" t="s">
        <v>28</v>
      </c>
      <c r="C142" s="26" t="s">
        <v>83</v>
      </c>
      <c r="D142" s="27">
        <v>3</v>
      </c>
      <c r="E142" s="26">
        <v>48</v>
      </c>
      <c r="F142" s="26">
        <v>88</v>
      </c>
      <c r="G142" s="26">
        <v>80</v>
      </c>
      <c r="H142" s="26"/>
      <c r="I142" s="26">
        <v>74</v>
      </c>
      <c r="J142" s="26">
        <v>95</v>
      </c>
      <c r="K142" s="26">
        <v>138</v>
      </c>
      <c r="L142" s="26"/>
      <c r="M142" s="26"/>
      <c r="N142" s="26">
        <v>97</v>
      </c>
      <c r="O142" s="26"/>
      <c r="P142" s="26"/>
      <c r="Q142" s="26"/>
      <c r="R142" s="26"/>
      <c r="S142" s="26"/>
      <c r="T142" s="26">
        <f>SUM(E142:R142)</f>
        <v>620</v>
      </c>
      <c r="U142" s="29">
        <f>50-(((50-D142)+T142)/(1+E141+F141+G141+H141+I141+J141+K141+L141+M141+N141+O141+P141+Q141+R141+S141))</f>
        <v>5.5333333333333314</v>
      </c>
    </row>
    <row r="143" spans="1:21" ht="15.75" customHeight="1" x14ac:dyDescent="0.35">
      <c r="A143" s="33"/>
      <c r="B143" s="34"/>
      <c r="C143" s="34"/>
      <c r="D143" s="36"/>
      <c r="E143" s="34">
        <v>1</v>
      </c>
      <c r="F143" s="34">
        <v>2</v>
      </c>
      <c r="G143" s="34">
        <v>2</v>
      </c>
      <c r="H143" s="34"/>
      <c r="I143" s="34">
        <v>2</v>
      </c>
      <c r="J143" s="34">
        <v>2</v>
      </c>
      <c r="K143" s="34">
        <v>3</v>
      </c>
      <c r="L143" s="34">
        <v>2</v>
      </c>
      <c r="M143" s="34">
        <v>2</v>
      </c>
      <c r="N143" s="34">
        <v>2</v>
      </c>
      <c r="O143" s="34">
        <v>2</v>
      </c>
      <c r="P143" s="34"/>
      <c r="Q143" s="34"/>
      <c r="R143" s="34"/>
      <c r="S143" s="34"/>
      <c r="T143" s="34"/>
      <c r="U143" s="32"/>
    </row>
    <row r="144" spans="1:21" ht="15.75" customHeight="1" x14ac:dyDescent="0.35">
      <c r="A144" s="25" t="s">
        <v>89</v>
      </c>
      <c r="B144" s="26" t="s">
        <v>28</v>
      </c>
      <c r="C144" s="26" t="s">
        <v>83</v>
      </c>
      <c r="D144" s="27">
        <v>8</v>
      </c>
      <c r="E144" s="26">
        <v>45</v>
      </c>
      <c r="F144" s="26">
        <v>92</v>
      </c>
      <c r="G144" s="26">
        <v>82</v>
      </c>
      <c r="H144" s="26"/>
      <c r="I144" s="26">
        <v>87</v>
      </c>
      <c r="J144" s="26">
        <v>85</v>
      </c>
      <c r="K144" s="26">
        <v>135</v>
      </c>
      <c r="L144" s="26">
        <v>94</v>
      </c>
      <c r="M144" s="26">
        <v>89</v>
      </c>
      <c r="N144" s="26">
        <v>88</v>
      </c>
      <c r="O144" s="26">
        <v>81</v>
      </c>
      <c r="P144" s="26"/>
      <c r="Q144" s="26"/>
      <c r="R144" s="26"/>
      <c r="S144" s="26"/>
      <c r="T144" s="26">
        <f>SUM(E144:R144)</f>
        <v>878</v>
      </c>
      <c r="U144" s="29">
        <f>50-(((50-D144)+T144)/(1+E143+F143+G143+H143+I143+J143+K143+L143+M143+N143+O143+P143+Q143+R143+S143))</f>
        <v>6.1904761904761898</v>
      </c>
    </row>
    <row r="145" spans="1:22" ht="15.75" customHeight="1" x14ac:dyDescent="0.35">
      <c r="A145" s="33"/>
      <c r="B145" s="34"/>
      <c r="C145" s="34"/>
      <c r="D145" s="36"/>
      <c r="E145" s="34"/>
      <c r="F145" s="34">
        <v>2</v>
      </c>
      <c r="G145" s="34"/>
      <c r="H145" s="34"/>
      <c r="I145" s="34">
        <v>2</v>
      </c>
      <c r="J145" s="34">
        <v>2</v>
      </c>
      <c r="K145" s="34"/>
      <c r="L145" s="34">
        <v>2</v>
      </c>
      <c r="M145" s="34"/>
      <c r="N145" s="34"/>
      <c r="O145" s="34">
        <v>2</v>
      </c>
      <c r="P145" s="34"/>
      <c r="Q145" s="34"/>
      <c r="R145" s="34"/>
      <c r="S145" s="34"/>
      <c r="T145" s="34"/>
      <c r="U145" s="32"/>
    </row>
    <row r="146" spans="1:22" ht="15.75" customHeight="1" x14ac:dyDescent="0.35">
      <c r="A146" s="25" t="s">
        <v>90</v>
      </c>
      <c r="B146" s="26" t="s">
        <v>28</v>
      </c>
      <c r="C146" s="26" t="s">
        <v>83</v>
      </c>
      <c r="D146" s="27">
        <v>7.2</v>
      </c>
      <c r="E146" s="26"/>
      <c r="F146" s="26">
        <v>88</v>
      </c>
      <c r="G146" s="26"/>
      <c r="H146" s="26"/>
      <c r="I146" s="26">
        <v>70</v>
      </c>
      <c r="J146" s="26">
        <v>88</v>
      </c>
      <c r="K146" s="26"/>
      <c r="L146" s="26">
        <v>92</v>
      </c>
      <c r="M146" s="26"/>
      <c r="N146" s="26"/>
      <c r="O146" s="26">
        <v>94</v>
      </c>
      <c r="P146" s="26"/>
      <c r="Q146" s="26"/>
      <c r="R146" s="26"/>
      <c r="S146" s="26"/>
      <c r="T146" s="26">
        <f>SUM(E146:R146)</f>
        <v>432</v>
      </c>
      <c r="U146" s="29">
        <f>50-(((50-D146)+T146)/(1+E145+F145+G145+H145+I145+J145+K145+L145+M145+N145+O145+P145+Q145+R145+S145))</f>
        <v>6.836363636363636</v>
      </c>
    </row>
    <row r="147" spans="1:22" ht="15.75" customHeight="1" x14ac:dyDescent="0.35">
      <c r="A147" s="33"/>
      <c r="B147" s="34"/>
      <c r="C147" s="34"/>
      <c r="D147" s="36"/>
      <c r="E147" s="34"/>
      <c r="F147" s="34"/>
      <c r="G147" s="34"/>
      <c r="H147" s="34"/>
      <c r="I147" s="34"/>
      <c r="J147" s="34"/>
      <c r="K147" s="34"/>
      <c r="L147" s="34">
        <v>2</v>
      </c>
      <c r="M147" s="34"/>
      <c r="N147" s="34"/>
      <c r="O147" s="34"/>
      <c r="P147" s="34"/>
      <c r="Q147" s="34"/>
      <c r="R147" s="34"/>
      <c r="S147" s="34"/>
      <c r="T147" s="34"/>
      <c r="U147" s="32"/>
    </row>
    <row r="148" spans="1:22" ht="15.75" customHeight="1" x14ac:dyDescent="0.35">
      <c r="A148" s="25" t="s">
        <v>91</v>
      </c>
      <c r="B148" s="26" t="s">
        <v>28</v>
      </c>
      <c r="C148" s="26" t="s">
        <v>83</v>
      </c>
      <c r="D148" s="27">
        <v>10</v>
      </c>
      <c r="E148" s="26"/>
      <c r="F148" s="26"/>
      <c r="G148" s="26"/>
      <c r="H148" s="26"/>
      <c r="I148" s="26"/>
      <c r="J148" s="26"/>
      <c r="K148" s="26"/>
      <c r="L148" s="26">
        <v>66</v>
      </c>
      <c r="M148" s="26"/>
      <c r="N148" s="26"/>
      <c r="O148" s="26"/>
      <c r="P148" s="26"/>
      <c r="Q148" s="26"/>
      <c r="R148" s="26"/>
      <c r="S148" s="26"/>
      <c r="T148" s="26">
        <f>SUM(E148:R148)</f>
        <v>66</v>
      </c>
      <c r="U148" s="29">
        <f>50-(((50-D148)+T148)/(1+E147+F147+G147+H147+I147+J147+K147+L147+M147+N147+O147+P147+Q147+R147+S147))</f>
        <v>14.666666666666664</v>
      </c>
    </row>
    <row r="149" spans="1:22" ht="15.75" customHeight="1" x14ac:dyDescent="0.35">
      <c r="A149" s="33"/>
      <c r="B149" s="34"/>
      <c r="C149" s="34"/>
      <c r="D149" s="36"/>
      <c r="E149" s="34">
        <v>1</v>
      </c>
      <c r="F149" s="34">
        <v>2</v>
      </c>
      <c r="G149" s="34"/>
      <c r="H149" s="34"/>
      <c r="I149" s="34">
        <v>2</v>
      </c>
      <c r="J149" s="34">
        <v>2</v>
      </c>
      <c r="K149" s="34"/>
      <c r="L149" s="34"/>
      <c r="M149" s="34"/>
      <c r="N149" s="34">
        <v>2</v>
      </c>
      <c r="O149" s="34">
        <v>2</v>
      </c>
      <c r="P149" s="34"/>
      <c r="Q149" s="34"/>
      <c r="R149" s="34"/>
      <c r="S149" s="34"/>
      <c r="T149" s="34"/>
      <c r="U149" s="32"/>
      <c r="V149" s="30"/>
    </row>
    <row r="150" spans="1:22" ht="15.75" customHeight="1" x14ac:dyDescent="0.35">
      <c r="A150" s="25" t="s">
        <v>92</v>
      </c>
      <c r="B150" s="26" t="s">
        <v>20</v>
      </c>
      <c r="C150" s="26" t="s">
        <v>83</v>
      </c>
      <c r="D150" s="27">
        <v>9</v>
      </c>
      <c r="E150" s="26">
        <v>58</v>
      </c>
      <c r="F150" s="26">
        <v>110</v>
      </c>
      <c r="G150" s="26"/>
      <c r="H150" s="26"/>
      <c r="I150" s="26">
        <v>89</v>
      </c>
      <c r="J150" s="26">
        <v>113</v>
      </c>
      <c r="K150" s="26"/>
      <c r="L150" s="26"/>
      <c r="M150" s="26"/>
      <c r="N150" s="26">
        <v>110</v>
      </c>
      <c r="O150" s="26">
        <v>107</v>
      </c>
      <c r="P150" s="26"/>
      <c r="Q150" s="26"/>
      <c r="R150" s="26"/>
      <c r="S150" s="26"/>
      <c r="T150" s="26">
        <f>SUM(E150:R150)</f>
        <v>587</v>
      </c>
      <c r="U150" s="29">
        <f>60-(((60-D150)+T150)/(1+E149+F149+G149+H149+I149+J149+K149+L149+M149+N149+O149+P149+Q149+R149+S149))</f>
        <v>6.8333333333333357</v>
      </c>
      <c r="V150" s="30"/>
    </row>
    <row r="151" spans="1:22" ht="15.75" customHeight="1" x14ac:dyDescent="0.35">
      <c r="A151" s="33"/>
      <c r="B151" s="34"/>
      <c r="C151" s="34"/>
      <c r="D151" s="36"/>
      <c r="E151" s="34"/>
      <c r="F151" s="34"/>
      <c r="G151" s="34"/>
      <c r="H151" s="34"/>
      <c r="I151" s="34"/>
      <c r="J151" s="34"/>
      <c r="K151" s="34"/>
      <c r="L151" s="34"/>
      <c r="M151" s="34"/>
      <c r="N151" s="34">
        <v>2</v>
      </c>
      <c r="O151" s="34">
        <v>2</v>
      </c>
      <c r="P151" s="34"/>
      <c r="Q151" s="34"/>
      <c r="R151" s="34"/>
      <c r="S151" s="34"/>
      <c r="T151" s="34"/>
      <c r="U151" s="32"/>
      <c r="V151" s="30"/>
    </row>
    <row r="152" spans="1:22" ht="15.75" customHeight="1" x14ac:dyDescent="0.35">
      <c r="A152" s="25" t="s">
        <v>93</v>
      </c>
      <c r="B152" s="26" t="s">
        <v>20</v>
      </c>
      <c r="C152" s="26" t="s">
        <v>83</v>
      </c>
      <c r="D152" s="27">
        <v>10</v>
      </c>
      <c r="E152" s="26"/>
      <c r="F152" s="26"/>
      <c r="G152" s="26"/>
      <c r="H152" s="26"/>
      <c r="I152" s="26"/>
      <c r="J152" s="26"/>
      <c r="K152" s="26"/>
      <c r="L152" s="26"/>
      <c r="M152" s="26"/>
      <c r="N152" s="26">
        <v>101</v>
      </c>
      <c r="O152" s="26">
        <v>107</v>
      </c>
      <c r="P152" s="26"/>
      <c r="Q152" s="26"/>
      <c r="R152" s="26"/>
      <c r="S152" s="26"/>
      <c r="T152" s="26">
        <f>SUM(E152:R152)</f>
        <v>208</v>
      </c>
      <c r="U152" s="29">
        <f>60-(((60-D152)+T152)/(1+E151+F151+G151+H151+I151+J151+K151+L151+M151+N151+O151+P151+Q151+R151+S151))</f>
        <v>8.3999999999999986</v>
      </c>
      <c r="V152" s="30"/>
    </row>
    <row r="153" spans="1:22" ht="15.75" customHeight="1" x14ac:dyDescent="0.35">
      <c r="A153" s="33"/>
      <c r="B153" s="34"/>
      <c r="C153" s="34"/>
      <c r="D153" s="36"/>
      <c r="E153" s="34"/>
      <c r="F153" s="34">
        <v>2</v>
      </c>
      <c r="G153" s="34"/>
      <c r="H153" s="34"/>
      <c r="I153" s="34">
        <v>2</v>
      </c>
      <c r="J153" s="34">
        <v>2</v>
      </c>
      <c r="K153" s="34"/>
      <c r="L153" s="34">
        <v>2</v>
      </c>
      <c r="M153" s="34"/>
      <c r="N153" s="34"/>
      <c r="O153" s="34"/>
      <c r="P153" s="34"/>
      <c r="Q153" s="34"/>
      <c r="R153" s="34"/>
      <c r="S153" s="34"/>
      <c r="T153" s="34"/>
      <c r="U153" s="32"/>
    </row>
    <row r="154" spans="1:22" ht="15.75" customHeight="1" x14ac:dyDescent="0.35">
      <c r="A154" s="25" t="s">
        <v>94</v>
      </c>
      <c r="B154" s="26" t="s">
        <v>58</v>
      </c>
      <c r="C154" s="26" t="s">
        <v>95</v>
      </c>
      <c r="D154" s="27">
        <v>10</v>
      </c>
      <c r="E154" s="26"/>
      <c r="F154" s="26">
        <v>95</v>
      </c>
      <c r="G154" s="26"/>
      <c r="H154" s="26"/>
      <c r="I154" s="26">
        <v>80</v>
      </c>
      <c r="J154" s="26">
        <v>106</v>
      </c>
      <c r="K154" s="26"/>
      <c r="L154" s="26">
        <v>103</v>
      </c>
      <c r="M154" s="26"/>
      <c r="N154" s="26"/>
      <c r="O154" s="26"/>
      <c r="P154" s="26"/>
      <c r="Q154" s="26"/>
      <c r="R154" s="26"/>
      <c r="S154" s="26"/>
      <c r="T154" s="26">
        <f>SUM(E154:R154)</f>
        <v>384</v>
      </c>
      <c r="U154" s="29">
        <f>60-(((60-D154)+T154)/(1+E153+F153+G153+H153+I153+J153+K153+L153+M153+N153+O153+P153+Q153+R153+S153))</f>
        <v>11.777777777777779</v>
      </c>
    </row>
    <row r="155" spans="1:22" ht="15.75" customHeight="1" x14ac:dyDescent="0.35">
      <c r="A155" s="33"/>
      <c r="B155" s="34"/>
      <c r="C155" s="34"/>
      <c r="D155" s="36"/>
      <c r="E155" s="34"/>
      <c r="F155" s="34"/>
      <c r="G155" s="34"/>
      <c r="H155" s="34"/>
      <c r="I155" s="34"/>
      <c r="J155" s="34">
        <v>2</v>
      </c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2"/>
    </row>
    <row r="156" spans="1:22" ht="15.75" customHeight="1" x14ac:dyDescent="0.35">
      <c r="A156" s="25" t="s">
        <v>96</v>
      </c>
      <c r="B156" s="26" t="s">
        <v>58</v>
      </c>
      <c r="C156" s="26" t="s">
        <v>95</v>
      </c>
      <c r="D156" s="27">
        <v>10</v>
      </c>
      <c r="E156" s="26"/>
      <c r="F156" s="26"/>
      <c r="G156" s="26"/>
      <c r="H156" s="26"/>
      <c r="I156" s="26"/>
      <c r="J156" s="26">
        <v>100</v>
      </c>
      <c r="K156" s="26"/>
      <c r="L156" s="26"/>
      <c r="M156" s="26"/>
      <c r="N156" s="26"/>
      <c r="O156" s="26"/>
      <c r="P156" s="26"/>
      <c r="Q156" s="26"/>
      <c r="R156" s="26"/>
      <c r="S156" s="26"/>
      <c r="T156" s="26">
        <f>SUM(E156:R156)</f>
        <v>100</v>
      </c>
      <c r="U156" s="29">
        <f>60-(((60-D156)+T156)/(1+E155+F155+G155+H155+I155+J155+K155+L155+M155+N155+O155+P155+Q155+R155+S155))</f>
        <v>10</v>
      </c>
    </row>
    <row r="157" spans="1:22" ht="15.75" customHeight="1" x14ac:dyDescent="0.35">
      <c r="A157" s="33"/>
      <c r="B157" s="34"/>
      <c r="C157" s="34"/>
      <c r="D157" s="36"/>
      <c r="E157" s="34"/>
      <c r="F157" s="34"/>
      <c r="G157" s="34"/>
      <c r="H157" s="34"/>
      <c r="I157" s="34"/>
      <c r="J157" s="34">
        <v>2</v>
      </c>
      <c r="K157" s="34"/>
      <c r="L157" s="34">
        <v>2</v>
      </c>
      <c r="M157" s="34">
        <v>2</v>
      </c>
      <c r="N157" s="34">
        <v>2</v>
      </c>
      <c r="O157" s="34">
        <v>2</v>
      </c>
      <c r="P157" s="34"/>
      <c r="Q157" s="34"/>
      <c r="R157" s="34"/>
      <c r="S157" s="34"/>
      <c r="T157" s="34"/>
      <c r="U157" s="32"/>
    </row>
    <row r="158" spans="1:22" ht="15.75" customHeight="1" x14ac:dyDescent="0.35">
      <c r="A158" s="25" t="s">
        <v>97</v>
      </c>
      <c r="B158" s="26" t="s">
        <v>28</v>
      </c>
      <c r="C158" s="26" t="s">
        <v>95</v>
      </c>
      <c r="D158" s="27">
        <v>2</v>
      </c>
      <c r="E158" s="26"/>
      <c r="F158" s="26"/>
      <c r="G158" s="26"/>
      <c r="H158" s="26"/>
      <c r="I158" s="26"/>
      <c r="J158" s="26">
        <v>98</v>
      </c>
      <c r="K158" s="26"/>
      <c r="L158" s="26">
        <v>98</v>
      </c>
      <c r="M158" s="26">
        <v>95</v>
      </c>
      <c r="N158" s="26">
        <v>96</v>
      </c>
      <c r="O158" s="26">
        <v>90</v>
      </c>
      <c r="P158" s="26"/>
      <c r="Q158" s="26"/>
      <c r="R158" s="26"/>
      <c r="S158" s="26"/>
      <c r="T158" s="26">
        <f>SUM(E158:R158)</f>
        <v>477</v>
      </c>
      <c r="U158" s="29">
        <f>50-(((50-D158)+T158)/(1+E157+F157+G157+H157+I157+J157+K157+L157+M157+N157+O157+P157+Q157+R157+S157))</f>
        <v>2.2727272727272734</v>
      </c>
    </row>
    <row r="159" spans="1:22" ht="15.75" customHeight="1" x14ac:dyDescent="0.35">
      <c r="A159" s="33"/>
      <c r="B159" s="34"/>
      <c r="C159" s="34"/>
      <c r="D159" s="36"/>
      <c r="E159" s="34">
        <v>1</v>
      </c>
      <c r="F159" s="34">
        <v>2</v>
      </c>
      <c r="G159" s="34"/>
      <c r="H159" s="34"/>
      <c r="I159" s="34">
        <v>2</v>
      </c>
      <c r="J159" s="34">
        <v>2</v>
      </c>
      <c r="K159" s="34">
        <v>3</v>
      </c>
      <c r="L159" s="34">
        <v>2</v>
      </c>
      <c r="M159" s="34"/>
      <c r="N159" s="34"/>
      <c r="O159" s="34">
        <v>2</v>
      </c>
      <c r="P159" s="34"/>
      <c r="Q159" s="34"/>
      <c r="R159" s="34"/>
      <c r="S159" s="34"/>
      <c r="T159" s="34"/>
      <c r="U159" s="32"/>
    </row>
    <row r="160" spans="1:22" ht="15.75" customHeight="1" x14ac:dyDescent="0.35">
      <c r="A160" s="25" t="s">
        <v>98</v>
      </c>
      <c r="B160" s="26" t="s">
        <v>28</v>
      </c>
      <c r="C160" s="26" t="s">
        <v>95</v>
      </c>
      <c r="D160" s="27">
        <v>2</v>
      </c>
      <c r="E160" s="26">
        <v>50</v>
      </c>
      <c r="F160" s="26">
        <v>98</v>
      </c>
      <c r="G160" s="26"/>
      <c r="H160" s="26"/>
      <c r="I160" s="26">
        <v>82</v>
      </c>
      <c r="J160" s="26">
        <v>95</v>
      </c>
      <c r="K160" s="26">
        <v>142</v>
      </c>
      <c r="L160" s="26">
        <v>99</v>
      </c>
      <c r="M160" s="26"/>
      <c r="N160" s="26"/>
      <c r="O160" s="26">
        <v>98</v>
      </c>
      <c r="P160" s="26"/>
      <c r="Q160" s="26"/>
      <c r="R160" s="26"/>
      <c r="S160" s="26"/>
      <c r="T160" s="26">
        <f>SUM(E160:R160)</f>
        <v>664</v>
      </c>
      <c r="U160" s="29">
        <f>50-(((50-D160)+T160)/(1+E159+F159+G159+H159+I159+J159+K159+L159+M159+N159+O159+P159+Q159+R159+S159))</f>
        <v>2.5333333333333314</v>
      </c>
    </row>
    <row r="161" spans="1:21" ht="15.75" customHeight="1" x14ac:dyDescent="0.35">
      <c r="A161" s="33"/>
      <c r="B161" s="34"/>
      <c r="C161" s="34"/>
      <c r="D161" s="36"/>
      <c r="E161" s="34">
        <v>1</v>
      </c>
      <c r="F161" s="34">
        <v>2</v>
      </c>
      <c r="G161" s="34">
        <v>2</v>
      </c>
      <c r="H161" s="34"/>
      <c r="I161" s="34"/>
      <c r="J161" s="34">
        <v>2</v>
      </c>
      <c r="K161" s="34"/>
      <c r="L161" s="34">
        <v>2</v>
      </c>
      <c r="M161" s="34">
        <v>2</v>
      </c>
      <c r="N161" s="34"/>
      <c r="O161" s="34"/>
      <c r="P161" s="34"/>
      <c r="Q161" s="34"/>
      <c r="R161" s="34"/>
      <c r="S161" s="34"/>
      <c r="T161" s="34"/>
      <c r="U161" s="32"/>
    </row>
    <row r="162" spans="1:21" ht="15.75" customHeight="1" x14ac:dyDescent="0.35">
      <c r="A162" s="25" t="s">
        <v>99</v>
      </c>
      <c r="B162" s="26" t="s">
        <v>28</v>
      </c>
      <c r="C162" s="26" t="s">
        <v>95</v>
      </c>
      <c r="D162" s="27">
        <v>4</v>
      </c>
      <c r="E162" s="26">
        <v>49</v>
      </c>
      <c r="F162" s="26">
        <v>93</v>
      </c>
      <c r="G162" s="26">
        <v>92</v>
      </c>
      <c r="H162" s="26"/>
      <c r="I162" s="26"/>
      <c r="J162" s="26">
        <v>95</v>
      </c>
      <c r="K162" s="26"/>
      <c r="L162" s="26">
        <v>99</v>
      </c>
      <c r="M162" s="26">
        <v>97</v>
      </c>
      <c r="N162" s="26"/>
      <c r="O162" s="26"/>
      <c r="P162" s="26"/>
      <c r="Q162" s="26"/>
      <c r="R162" s="26"/>
      <c r="S162" s="26"/>
      <c r="T162" s="26">
        <f>SUM(E162:R162)</f>
        <v>525</v>
      </c>
      <c r="U162" s="29">
        <f>60-(((60-D162)+T162)/(1+E161+F161+G161+H161+I161+J161+K161+L161+M161+N161+O161+P161+Q161+R161+S161))</f>
        <v>11.583333333333336</v>
      </c>
    </row>
    <row r="163" spans="1:21" ht="15.75" customHeight="1" x14ac:dyDescent="0.35">
      <c r="A163" s="33"/>
      <c r="B163" s="34"/>
      <c r="C163" s="34"/>
      <c r="D163" s="36"/>
      <c r="E163" s="34">
        <v>1</v>
      </c>
      <c r="F163" s="34">
        <v>2</v>
      </c>
      <c r="G163" s="34">
        <v>2</v>
      </c>
      <c r="H163" s="34"/>
      <c r="I163" s="34">
        <v>2</v>
      </c>
      <c r="J163" s="34">
        <v>2</v>
      </c>
      <c r="K163" s="34"/>
      <c r="L163" s="34"/>
      <c r="M163" s="34">
        <v>2</v>
      </c>
      <c r="N163" s="34">
        <v>2</v>
      </c>
      <c r="O163" s="34">
        <v>2</v>
      </c>
      <c r="P163" s="34"/>
      <c r="Q163" s="34"/>
      <c r="R163" s="34"/>
      <c r="S163" s="34"/>
      <c r="T163" s="34"/>
      <c r="U163" s="32"/>
    </row>
    <row r="164" spans="1:21" ht="15.75" customHeight="1" x14ac:dyDescent="0.35">
      <c r="A164" s="25" t="s">
        <v>100</v>
      </c>
      <c r="B164" s="26" t="s">
        <v>28</v>
      </c>
      <c r="C164" s="26" t="s">
        <v>95</v>
      </c>
      <c r="D164" s="27">
        <v>10</v>
      </c>
      <c r="E164" s="26">
        <v>46</v>
      </c>
      <c r="F164" s="26">
        <v>93</v>
      </c>
      <c r="G164" s="26">
        <v>88</v>
      </c>
      <c r="H164" s="26"/>
      <c r="I164" s="26">
        <v>74</v>
      </c>
      <c r="J164" s="26">
        <v>94</v>
      </c>
      <c r="K164" s="26"/>
      <c r="L164" s="26"/>
      <c r="M164" s="26">
        <v>97</v>
      </c>
      <c r="N164" s="26">
        <v>88</v>
      </c>
      <c r="O164" s="26">
        <v>87</v>
      </c>
      <c r="P164" s="26"/>
      <c r="Q164" s="26"/>
      <c r="R164" s="26"/>
      <c r="S164" s="26"/>
      <c r="T164" s="26">
        <f>SUM(E164:R164)</f>
        <v>667</v>
      </c>
      <c r="U164" s="29">
        <f>50-(((50-D164)+T164)/(1+E163+F163+G163+H163+I163+J163+K163+L163+M163+N163+O163+P163+Q163+R163+S163))</f>
        <v>5.8125</v>
      </c>
    </row>
    <row r="165" spans="1:21" ht="15.75" customHeight="1" x14ac:dyDescent="0.35">
      <c r="A165" s="33"/>
      <c r="B165" s="34"/>
      <c r="C165" s="34"/>
      <c r="D165" s="35"/>
      <c r="E165" s="20">
        <v>1</v>
      </c>
      <c r="F165" s="34">
        <v>2</v>
      </c>
      <c r="G165" s="34">
        <v>2</v>
      </c>
      <c r="H165" s="34"/>
      <c r="I165" s="34"/>
      <c r="J165" s="34">
        <v>2</v>
      </c>
      <c r="K165" s="34">
        <v>3</v>
      </c>
      <c r="L165" s="34">
        <v>2</v>
      </c>
      <c r="M165" s="34">
        <v>2</v>
      </c>
      <c r="N165" s="34">
        <v>2</v>
      </c>
      <c r="O165" s="34">
        <v>2</v>
      </c>
      <c r="P165" s="34"/>
      <c r="Q165" s="34"/>
      <c r="R165" s="34"/>
      <c r="S165" s="34"/>
      <c r="T165" s="34"/>
      <c r="U165" s="32"/>
    </row>
    <row r="166" spans="1:21" ht="15.75" customHeight="1" x14ac:dyDescent="0.35">
      <c r="A166" s="25" t="s">
        <v>101</v>
      </c>
      <c r="B166" s="26" t="s">
        <v>20</v>
      </c>
      <c r="C166" s="26" t="s">
        <v>102</v>
      </c>
      <c r="D166" s="27">
        <v>5</v>
      </c>
      <c r="E166" s="28">
        <v>60</v>
      </c>
      <c r="F166" s="26">
        <v>111</v>
      </c>
      <c r="G166" s="26">
        <v>114</v>
      </c>
      <c r="H166" s="26"/>
      <c r="I166" s="26"/>
      <c r="J166" s="26">
        <v>116</v>
      </c>
      <c r="K166" s="26">
        <v>163</v>
      </c>
      <c r="L166" s="26">
        <v>116</v>
      </c>
      <c r="M166" s="26">
        <v>117</v>
      </c>
      <c r="N166" s="26">
        <v>120</v>
      </c>
      <c r="O166" s="26">
        <v>109</v>
      </c>
      <c r="P166" s="26"/>
      <c r="Q166" s="26"/>
      <c r="R166" s="26"/>
      <c r="S166" s="26"/>
      <c r="T166" s="26">
        <f>SUM(E166:R166)</f>
        <v>1026</v>
      </c>
      <c r="U166" s="29">
        <f>60-(((60-D166)+T166)/(1+E165+F165+G165+H165+I165+J165+K165+L165+M165+N165+O165+P165+Q165+R165+S165))</f>
        <v>3.1052631578947398</v>
      </c>
    </row>
    <row r="167" spans="1:21" ht="15.75" customHeight="1" x14ac:dyDescent="0.35">
      <c r="A167" s="33"/>
      <c r="B167" s="34"/>
      <c r="C167" s="34"/>
      <c r="D167" s="36"/>
      <c r="E167" s="34"/>
      <c r="F167" s="34">
        <v>2</v>
      </c>
      <c r="G167" s="34">
        <v>2</v>
      </c>
      <c r="H167" s="34"/>
      <c r="I167" s="34"/>
      <c r="J167" s="34"/>
      <c r="K167" s="34"/>
      <c r="L167" s="34"/>
      <c r="M167" s="34">
        <v>2</v>
      </c>
      <c r="N167" s="34"/>
      <c r="O167" s="34">
        <v>2</v>
      </c>
      <c r="P167" s="34"/>
      <c r="Q167" s="34"/>
      <c r="R167" s="34"/>
      <c r="S167" s="34"/>
      <c r="T167" s="34"/>
      <c r="U167" s="32"/>
    </row>
    <row r="168" spans="1:21" ht="15.75" customHeight="1" x14ac:dyDescent="0.35">
      <c r="A168" s="25" t="s">
        <v>103</v>
      </c>
      <c r="B168" s="26" t="s">
        <v>58</v>
      </c>
      <c r="C168" s="26" t="s">
        <v>104</v>
      </c>
      <c r="D168" s="27">
        <v>10</v>
      </c>
      <c r="E168" s="26"/>
      <c r="F168" s="26">
        <v>102</v>
      </c>
      <c r="G168" s="26">
        <v>100</v>
      </c>
      <c r="H168" s="26"/>
      <c r="I168" s="26"/>
      <c r="J168" s="26"/>
      <c r="K168" s="26"/>
      <c r="L168" s="26"/>
      <c r="M168" s="26">
        <v>109</v>
      </c>
      <c r="N168" s="26"/>
      <c r="O168" s="26">
        <v>108</v>
      </c>
      <c r="P168" s="26"/>
      <c r="Q168" s="26"/>
      <c r="R168" s="26"/>
      <c r="S168" s="26"/>
      <c r="T168" s="26">
        <f>SUM(E168:R168)</f>
        <v>419</v>
      </c>
      <c r="U168" s="29">
        <f>60-(((60-D168)+T168)/(1+E167+F167+G167+H167+I167+J167+K167+L167+M167+N167+O167+P167+Q167+R167+S167))</f>
        <v>7.8888888888888857</v>
      </c>
    </row>
    <row r="169" spans="1:21" ht="15.75" customHeight="1" x14ac:dyDescent="0.35">
      <c r="A169" s="33"/>
      <c r="B169" s="34"/>
      <c r="C169" s="34"/>
      <c r="D169" s="36"/>
      <c r="E169" s="34"/>
      <c r="F169" s="34"/>
      <c r="G169" s="34"/>
      <c r="H169" s="34"/>
      <c r="I169" s="34">
        <v>2</v>
      </c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2"/>
    </row>
    <row r="170" spans="1:21" ht="15.75" customHeight="1" x14ac:dyDescent="0.35">
      <c r="A170" s="25" t="s">
        <v>105</v>
      </c>
      <c r="B170" s="26" t="s">
        <v>58</v>
      </c>
      <c r="C170" s="26" t="s">
        <v>104</v>
      </c>
      <c r="D170" s="27">
        <v>10</v>
      </c>
      <c r="E170" s="26"/>
      <c r="F170" s="26"/>
      <c r="G170" s="26"/>
      <c r="H170" s="26"/>
      <c r="I170" s="26">
        <v>88</v>
      </c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>
        <f>SUM(E170:R170)</f>
        <v>88</v>
      </c>
      <c r="U170" s="29">
        <f>60-(((60-D170)+T170)/(1+E169+F169+G169+H169+I169+J169+K169+L169+M169+N169+O169+P169+Q169+R169+S169))</f>
        <v>14</v>
      </c>
    </row>
    <row r="171" spans="1:21" ht="15.75" customHeight="1" x14ac:dyDescent="0.35">
      <c r="A171" s="33"/>
      <c r="B171" s="34"/>
      <c r="C171" s="34"/>
      <c r="D171" s="36"/>
      <c r="E171" s="34"/>
      <c r="F171" s="34">
        <v>2</v>
      </c>
      <c r="G171" s="34">
        <v>2</v>
      </c>
      <c r="H171" s="34"/>
      <c r="I171" s="34"/>
      <c r="J171" s="34"/>
      <c r="K171" s="34"/>
      <c r="L171" s="34">
        <v>2</v>
      </c>
      <c r="M171" s="34"/>
      <c r="N171" s="34"/>
      <c r="O171" s="34"/>
      <c r="P171" s="34"/>
      <c r="Q171" s="34"/>
      <c r="R171" s="34"/>
      <c r="S171" s="34"/>
      <c r="T171" s="34"/>
      <c r="U171" s="32"/>
    </row>
    <row r="172" spans="1:21" ht="15.75" customHeight="1" x14ac:dyDescent="0.35">
      <c r="A172" s="25" t="s">
        <v>106</v>
      </c>
      <c r="B172" s="26" t="s">
        <v>58</v>
      </c>
      <c r="C172" s="26" t="s">
        <v>104</v>
      </c>
      <c r="D172" s="27">
        <v>10</v>
      </c>
      <c r="E172" s="26"/>
      <c r="F172" s="26">
        <v>103</v>
      </c>
      <c r="G172" s="26">
        <v>101</v>
      </c>
      <c r="H172" s="26"/>
      <c r="I172" s="26"/>
      <c r="J172" s="26"/>
      <c r="K172" s="26"/>
      <c r="L172" s="26">
        <v>95</v>
      </c>
      <c r="M172" s="26"/>
      <c r="N172" s="26"/>
      <c r="O172" s="26"/>
      <c r="P172" s="26"/>
      <c r="Q172" s="26"/>
      <c r="R172" s="26"/>
      <c r="S172" s="26"/>
      <c r="T172" s="26">
        <f>SUM(E172:R172)</f>
        <v>299</v>
      </c>
      <c r="U172" s="29">
        <f>60-(((60-D172)+T172)/(1+E171+F171+G171+H171+I171+J171+K171+L171+M171+N171+O171+P171+Q171+R171+S171))</f>
        <v>10.142857142857146</v>
      </c>
    </row>
    <row r="173" spans="1:21" ht="15.75" customHeight="1" x14ac:dyDescent="0.35">
      <c r="A173" s="33"/>
      <c r="B173" s="34"/>
      <c r="C173" s="34"/>
      <c r="D173" s="36"/>
      <c r="E173" s="34"/>
      <c r="F173" s="34">
        <v>2</v>
      </c>
      <c r="G173" s="34">
        <v>2</v>
      </c>
      <c r="H173" s="34"/>
      <c r="I173" s="34"/>
      <c r="J173" s="34"/>
      <c r="K173" s="34"/>
      <c r="L173" s="34"/>
      <c r="M173" s="34">
        <v>2</v>
      </c>
      <c r="N173" s="34">
        <v>2</v>
      </c>
      <c r="O173" s="34">
        <v>2</v>
      </c>
      <c r="P173" s="34"/>
      <c r="Q173" s="34"/>
      <c r="R173" s="34"/>
      <c r="S173" s="34"/>
      <c r="T173" s="34"/>
      <c r="U173" s="32"/>
    </row>
    <row r="174" spans="1:21" ht="15.75" customHeight="1" x14ac:dyDescent="0.35">
      <c r="A174" s="25" t="s">
        <v>107</v>
      </c>
      <c r="B174" s="26" t="s">
        <v>28</v>
      </c>
      <c r="C174" s="26" t="s">
        <v>104</v>
      </c>
      <c r="D174" s="27">
        <v>10</v>
      </c>
      <c r="E174" s="26"/>
      <c r="F174" s="26">
        <v>94</v>
      </c>
      <c r="G174" s="26">
        <v>92</v>
      </c>
      <c r="H174" s="26"/>
      <c r="I174" s="26"/>
      <c r="J174" s="26"/>
      <c r="K174" s="26"/>
      <c r="L174" s="26"/>
      <c r="M174" s="26">
        <v>96</v>
      </c>
      <c r="N174" s="26">
        <v>80</v>
      </c>
      <c r="O174" s="26">
        <v>91</v>
      </c>
      <c r="P174" s="26"/>
      <c r="Q174" s="26"/>
      <c r="R174" s="26"/>
      <c r="S174" s="26"/>
      <c r="T174" s="26">
        <f>SUM(E174:R174)</f>
        <v>453</v>
      </c>
      <c r="U174" s="29">
        <f>50-(((50-D174)+T174)/(1+E173+F173+G173+H173+I173+J173+K173+L173+M173+N173+O173+P173+Q173+R173+S173))</f>
        <v>5.1818181818181799</v>
      </c>
    </row>
    <row r="175" spans="1:21" ht="15.75" customHeight="1" x14ac:dyDescent="0.35">
      <c r="A175" s="33"/>
      <c r="B175" s="34"/>
      <c r="C175" s="34"/>
      <c r="D175" s="36"/>
      <c r="E175" s="34">
        <v>1</v>
      </c>
      <c r="F175" s="34">
        <v>2</v>
      </c>
      <c r="G175" s="34">
        <v>2</v>
      </c>
      <c r="H175" s="34"/>
      <c r="I175" s="34">
        <v>2</v>
      </c>
      <c r="J175" s="34"/>
      <c r="K175" s="34">
        <v>3</v>
      </c>
      <c r="L175" s="34">
        <v>2</v>
      </c>
      <c r="M175" s="34"/>
      <c r="N175" s="34"/>
      <c r="O175" s="34"/>
      <c r="P175" s="34"/>
      <c r="Q175" s="34"/>
      <c r="R175" s="34"/>
      <c r="S175" s="34"/>
      <c r="T175" s="34"/>
      <c r="U175" s="32"/>
    </row>
    <row r="176" spans="1:21" ht="15.75" customHeight="1" x14ac:dyDescent="0.35">
      <c r="A176" s="25" t="s">
        <v>108</v>
      </c>
      <c r="B176" s="26" t="s">
        <v>28</v>
      </c>
      <c r="C176" s="26" t="s">
        <v>104</v>
      </c>
      <c r="D176" s="27">
        <v>3</v>
      </c>
      <c r="E176" s="26">
        <v>50</v>
      </c>
      <c r="F176" s="26">
        <v>98</v>
      </c>
      <c r="G176" s="26">
        <v>89</v>
      </c>
      <c r="H176" s="26"/>
      <c r="I176" s="26">
        <v>84</v>
      </c>
      <c r="J176" s="26"/>
      <c r="K176" s="26">
        <v>138</v>
      </c>
      <c r="L176" s="26">
        <v>98</v>
      </c>
      <c r="M176" s="26"/>
      <c r="N176" s="26"/>
      <c r="O176" s="26"/>
      <c r="P176" s="26"/>
      <c r="Q176" s="26"/>
      <c r="R176" s="26"/>
      <c r="S176" s="26"/>
      <c r="T176" s="26">
        <f>SUM(E176:R176)</f>
        <v>557</v>
      </c>
      <c r="U176" s="29">
        <f>50-(((50-D176)+T176)/(1+E175+F175+G175+H175+I175+J175+K175+L175+M175+N175+O175+P175+Q175+R175+S175))</f>
        <v>3.5384615384615401</v>
      </c>
    </row>
    <row r="177" spans="1:21" ht="15.75" customHeight="1" x14ac:dyDescent="0.35">
      <c r="A177" s="33"/>
      <c r="B177" s="34"/>
      <c r="C177" s="34"/>
      <c r="D177" s="36"/>
      <c r="E177" s="34"/>
      <c r="F177" s="34">
        <v>2</v>
      </c>
      <c r="G177" s="34">
        <v>2</v>
      </c>
      <c r="H177" s="34"/>
      <c r="I177" s="34"/>
      <c r="J177" s="34"/>
      <c r="K177" s="34"/>
      <c r="L177" s="34">
        <v>2</v>
      </c>
      <c r="M177" s="34"/>
      <c r="N177" s="34"/>
      <c r="O177" s="34"/>
      <c r="P177" s="34"/>
      <c r="Q177" s="34"/>
      <c r="R177" s="34"/>
      <c r="S177" s="34"/>
      <c r="T177" s="34"/>
      <c r="U177" s="32"/>
    </row>
    <row r="178" spans="1:21" ht="15.75" customHeight="1" x14ac:dyDescent="0.35">
      <c r="A178" s="25" t="s">
        <v>109</v>
      </c>
      <c r="B178" s="26" t="s">
        <v>28</v>
      </c>
      <c r="C178" s="26" t="s">
        <v>104</v>
      </c>
      <c r="D178" s="27">
        <v>10</v>
      </c>
      <c r="E178" s="26"/>
      <c r="F178" s="26">
        <v>88</v>
      </c>
      <c r="G178" s="26">
        <v>88</v>
      </c>
      <c r="H178" s="26"/>
      <c r="I178" s="26"/>
      <c r="J178" s="26"/>
      <c r="K178" s="26"/>
      <c r="L178" s="26">
        <v>96</v>
      </c>
      <c r="M178" s="26"/>
      <c r="N178" s="26"/>
      <c r="O178" s="26"/>
      <c r="P178" s="26"/>
      <c r="Q178" s="26"/>
      <c r="R178" s="26"/>
      <c r="S178" s="26"/>
      <c r="T178" s="26">
        <f>SUM(E178:R178)</f>
        <v>272</v>
      </c>
      <c r="U178" s="29">
        <f>50-(((50-D178)+T178)/(1+E177+F177+G177+H177+I177+J177+K177+L177+M177+N177+O177+P177+Q177+R177+S177))</f>
        <v>5.4285714285714306</v>
      </c>
    </row>
    <row r="179" spans="1:21" ht="15.75" customHeight="1" x14ac:dyDescent="0.35">
      <c r="A179" s="33"/>
      <c r="B179" s="34"/>
      <c r="C179" s="34"/>
      <c r="D179" s="36"/>
      <c r="E179" s="34">
        <v>1</v>
      </c>
      <c r="F179" s="34">
        <v>2</v>
      </c>
      <c r="G179" s="34">
        <v>1</v>
      </c>
      <c r="H179" s="34"/>
      <c r="I179" s="34">
        <v>2</v>
      </c>
      <c r="J179" s="34">
        <v>2</v>
      </c>
      <c r="K179" s="34">
        <v>3</v>
      </c>
      <c r="L179" s="34">
        <v>2</v>
      </c>
      <c r="M179" s="34">
        <v>2</v>
      </c>
      <c r="N179" s="34">
        <v>2</v>
      </c>
      <c r="O179" s="34"/>
      <c r="P179" s="34"/>
      <c r="Q179" s="34"/>
      <c r="R179" s="34"/>
      <c r="S179" s="34"/>
      <c r="T179" s="34"/>
      <c r="U179" s="32"/>
    </row>
    <row r="180" spans="1:21" ht="15.75" customHeight="1" x14ac:dyDescent="0.35">
      <c r="A180" s="25" t="s">
        <v>110</v>
      </c>
      <c r="B180" s="26" t="s">
        <v>58</v>
      </c>
      <c r="C180" s="26" t="s">
        <v>104</v>
      </c>
      <c r="D180" s="27">
        <v>7</v>
      </c>
      <c r="E180" s="26">
        <v>56</v>
      </c>
      <c r="F180" s="26">
        <v>113</v>
      </c>
      <c r="G180" s="26">
        <v>49</v>
      </c>
      <c r="H180" s="26"/>
      <c r="I180" s="26">
        <v>92</v>
      </c>
      <c r="J180" s="26">
        <v>110</v>
      </c>
      <c r="K180" s="26">
        <v>158</v>
      </c>
      <c r="L180" s="26">
        <v>99</v>
      </c>
      <c r="M180" s="26">
        <v>115</v>
      </c>
      <c r="N180" s="26">
        <v>105</v>
      </c>
      <c r="O180" s="26"/>
      <c r="P180" s="26"/>
      <c r="Q180" s="26"/>
      <c r="R180" s="26"/>
      <c r="S180" s="26"/>
      <c r="T180" s="26">
        <f>SUM(E180:R180)</f>
        <v>897</v>
      </c>
      <c r="U180" s="29">
        <f>60-(((60-D180)+T180)/(1+E179+F179+G179+H179+I179+J179+K179+L179+M179+N179+O179+P179+Q179+R179+S179))</f>
        <v>7.2222222222222214</v>
      </c>
    </row>
    <row r="181" spans="1:21" ht="15.75" customHeight="1" x14ac:dyDescent="0.35">
      <c r="A181" s="33"/>
      <c r="B181" s="34"/>
      <c r="C181" s="34"/>
      <c r="D181" s="36"/>
      <c r="E181" s="34"/>
      <c r="F181" s="34"/>
      <c r="G181" s="34">
        <v>2</v>
      </c>
      <c r="H181" s="34"/>
      <c r="I181" s="34"/>
      <c r="J181" s="34"/>
      <c r="K181" s="34"/>
      <c r="L181" s="34">
        <v>2</v>
      </c>
      <c r="M181" s="34">
        <v>2</v>
      </c>
      <c r="N181" s="34">
        <v>2</v>
      </c>
      <c r="O181" s="34">
        <v>2</v>
      </c>
      <c r="P181" s="34"/>
      <c r="Q181" s="34"/>
      <c r="R181" s="34"/>
      <c r="S181" s="34"/>
      <c r="T181" s="34"/>
      <c r="U181" s="32"/>
    </row>
    <row r="182" spans="1:21" ht="15.75" customHeight="1" x14ac:dyDescent="0.35">
      <c r="A182" s="25" t="s">
        <v>111</v>
      </c>
      <c r="B182" s="26" t="s">
        <v>58</v>
      </c>
      <c r="C182" s="26" t="s">
        <v>104</v>
      </c>
      <c r="D182" s="27">
        <v>10</v>
      </c>
      <c r="E182" s="26"/>
      <c r="F182" s="26"/>
      <c r="G182" s="26">
        <v>114</v>
      </c>
      <c r="H182" s="26"/>
      <c r="I182" s="26"/>
      <c r="J182" s="26"/>
      <c r="K182" s="26"/>
      <c r="L182" s="26">
        <v>115</v>
      </c>
      <c r="M182" s="26">
        <v>118</v>
      </c>
      <c r="N182" s="26">
        <v>111</v>
      </c>
      <c r="O182" s="26">
        <v>104</v>
      </c>
      <c r="P182" s="26"/>
      <c r="Q182" s="26"/>
      <c r="R182" s="26"/>
      <c r="S182" s="26"/>
      <c r="T182" s="26">
        <f>SUM(E182:R182)</f>
        <v>562</v>
      </c>
      <c r="U182" s="29">
        <f>60-(((60-D182)+T182)/(1+E181+F181+G181+H181+I181+J181+K181+L181+M181+N181+O181+P181+Q181+R181+S181))</f>
        <v>4.3636363636363669</v>
      </c>
    </row>
    <row r="183" spans="1:21" ht="15.75" customHeight="1" x14ac:dyDescent="0.35">
      <c r="A183" s="33"/>
      <c r="B183" s="34"/>
      <c r="C183" s="34"/>
      <c r="D183" s="36"/>
      <c r="E183" s="30"/>
      <c r="F183" s="30"/>
      <c r="G183" s="30">
        <v>2</v>
      </c>
      <c r="H183" s="30"/>
      <c r="I183" s="30">
        <v>2</v>
      </c>
      <c r="J183" s="30">
        <v>2</v>
      </c>
      <c r="K183" s="30">
        <v>3</v>
      </c>
      <c r="L183" s="30">
        <v>2</v>
      </c>
      <c r="M183" s="30">
        <v>2</v>
      </c>
      <c r="N183" s="30">
        <v>2</v>
      </c>
      <c r="O183" s="30">
        <v>2</v>
      </c>
      <c r="P183" s="30"/>
      <c r="Q183" s="30"/>
      <c r="R183" s="30"/>
      <c r="S183" s="30"/>
      <c r="T183" s="30"/>
      <c r="U183" s="38"/>
    </row>
    <row r="184" spans="1:21" ht="15.75" customHeight="1" x14ac:dyDescent="0.35">
      <c r="A184" s="25" t="s">
        <v>112</v>
      </c>
      <c r="B184" s="26" t="s">
        <v>28</v>
      </c>
      <c r="C184" s="26" t="s">
        <v>104</v>
      </c>
      <c r="D184" s="27">
        <v>10</v>
      </c>
      <c r="E184" s="26"/>
      <c r="F184" s="26"/>
      <c r="G184" s="26">
        <v>90</v>
      </c>
      <c r="H184" s="26"/>
      <c r="I184" s="26">
        <v>84</v>
      </c>
      <c r="J184" s="26">
        <v>95</v>
      </c>
      <c r="K184" s="26">
        <v>130</v>
      </c>
      <c r="L184" s="26">
        <v>95</v>
      </c>
      <c r="M184" s="26">
        <v>98</v>
      </c>
      <c r="N184" s="26">
        <v>83</v>
      </c>
      <c r="O184" s="26">
        <v>83</v>
      </c>
      <c r="P184" s="26"/>
      <c r="Q184" s="26"/>
      <c r="R184" s="26"/>
      <c r="S184" s="26"/>
      <c r="T184" s="26">
        <f>SUM(E184:R184)</f>
        <v>758</v>
      </c>
      <c r="U184" s="29">
        <f>50-(((50-D184)+T184)/(1+E183+F183+G183+H183+I183+J183+K183+L183+M183+N183+O183+P183+Q183+R183+S183))</f>
        <v>5.6666666666666643</v>
      </c>
    </row>
    <row r="185" spans="1:21" ht="15.75" customHeight="1" x14ac:dyDescent="0.35">
      <c r="A185" s="33"/>
      <c r="B185" s="34"/>
      <c r="C185" s="34"/>
      <c r="D185" s="36"/>
      <c r="E185" s="34"/>
      <c r="F185" s="34"/>
      <c r="G185" s="34"/>
      <c r="H185" s="34"/>
      <c r="I185" s="34">
        <v>1</v>
      </c>
      <c r="J185" s="34">
        <v>2</v>
      </c>
      <c r="K185" s="34">
        <v>3</v>
      </c>
      <c r="L185" s="34"/>
      <c r="M185" s="34"/>
      <c r="N185" s="34"/>
      <c r="O185" s="34"/>
      <c r="P185" s="34"/>
      <c r="Q185" s="34"/>
      <c r="R185" s="34"/>
      <c r="S185" s="34"/>
      <c r="T185" s="34"/>
      <c r="U185" s="32"/>
    </row>
    <row r="186" spans="1:21" ht="15.75" customHeight="1" x14ac:dyDescent="0.35">
      <c r="A186" s="25" t="s">
        <v>113</v>
      </c>
      <c r="B186" s="26" t="s">
        <v>58</v>
      </c>
      <c r="C186" s="26" t="s">
        <v>104</v>
      </c>
      <c r="D186" s="27">
        <v>10</v>
      </c>
      <c r="E186" s="26"/>
      <c r="F186" s="26"/>
      <c r="G186" s="26"/>
      <c r="H186" s="26"/>
      <c r="I186" s="26">
        <v>47</v>
      </c>
      <c r="J186" s="26">
        <v>108</v>
      </c>
      <c r="K186" s="26">
        <v>158</v>
      </c>
      <c r="L186" s="26"/>
      <c r="M186" s="26"/>
      <c r="N186" s="26"/>
      <c r="O186" s="26"/>
      <c r="P186" s="26"/>
      <c r="Q186" s="26"/>
      <c r="R186" s="26"/>
      <c r="S186" s="26"/>
      <c r="T186" s="26">
        <f>SUM(E186:R186)</f>
        <v>313</v>
      </c>
      <c r="U186" s="29">
        <f>60-(((60-D186)+T186)/(1+E185+F185+G185+H185+I185+J185+K185+L185+M185+N185+O185+P185+Q185+R185+S185))</f>
        <v>8.1428571428571459</v>
      </c>
    </row>
    <row r="187" spans="1:21" ht="15.75" customHeight="1" x14ac:dyDescent="0.35">
      <c r="A187" s="33"/>
      <c r="B187" s="34"/>
      <c r="C187" s="34"/>
      <c r="D187" s="36"/>
      <c r="E187" s="34"/>
      <c r="F187" s="34"/>
      <c r="G187" s="34"/>
      <c r="H187" s="34"/>
      <c r="I187" s="34">
        <v>2</v>
      </c>
      <c r="J187" s="34">
        <v>2</v>
      </c>
      <c r="K187" s="34">
        <v>3</v>
      </c>
      <c r="L187" s="34"/>
      <c r="M187" s="34"/>
      <c r="N187" s="34"/>
      <c r="O187" s="34">
        <v>2</v>
      </c>
      <c r="P187" s="34"/>
      <c r="Q187" s="34"/>
      <c r="R187" s="34"/>
      <c r="S187" s="34"/>
      <c r="T187" s="34"/>
      <c r="U187" s="32"/>
    </row>
    <row r="188" spans="1:21" ht="15.75" customHeight="1" x14ac:dyDescent="0.35">
      <c r="A188" s="25" t="s">
        <v>114</v>
      </c>
      <c r="B188" s="26" t="s">
        <v>58</v>
      </c>
      <c r="C188" s="26" t="s">
        <v>104</v>
      </c>
      <c r="D188" s="27">
        <v>10</v>
      </c>
      <c r="E188" s="26"/>
      <c r="F188" s="26"/>
      <c r="G188" s="26"/>
      <c r="H188" s="26"/>
      <c r="I188" s="26">
        <v>69</v>
      </c>
      <c r="J188" s="26">
        <v>98</v>
      </c>
      <c r="K188" s="26">
        <v>133</v>
      </c>
      <c r="L188" s="26"/>
      <c r="M188" s="26"/>
      <c r="N188" s="26"/>
      <c r="O188" s="26">
        <v>87</v>
      </c>
      <c r="P188" s="26"/>
      <c r="Q188" s="26"/>
      <c r="R188" s="26"/>
      <c r="S188" s="26"/>
      <c r="T188" s="26">
        <f>SUM(E188:R188)</f>
        <v>387</v>
      </c>
      <c r="U188" s="29">
        <f>60-(((60-D188)+T188)/(1+E187+F187+G187+H187+I187+J187+K187+L187+M187+N187+O187+P187+Q187+R187+S187))</f>
        <v>16.299999999999997</v>
      </c>
    </row>
    <row r="189" spans="1:21" ht="15.75" customHeight="1" x14ac:dyDescent="0.35">
      <c r="A189" s="33"/>
      <c r="B189" s="34"/>
      <c r="C189" s="34"/>
      <c r="D189" s="36"/>
      <c r="E189" s="34"/>
      <c r="F189" s="34"/>
      <c r="G189" s="34"/>
      <c r="H189" s="34"/>
      <c r="I189" s="34">
        <v>2</v>
      </c>
      <c r="J189" s="34">
        <v>2</v>
      </c>
      <c r="K189" s="34"/>
      <c r="L189" s="34"/>
      <c r="M189" s="34">
        <v>2</v>
      </c>
      <c r="N189" s="34"/>
      <c r="O189" s="34"/>
      <c r="P189" s="34"/>
      <c r="Q189" s="34"/>
      <c r="R189" s="34"/>
      <c r="S189" s="34"/>
      <c r="T189" s="34"/>
      <c r="U189" s="32"/>
    </row>
    <row r="190" spans="1:21" ht="15.75" customHeight="1" x14ac:dyDescent="0.35">
      <c r="A190" s="25" t="s">
        <v>115</v>
      </c>
      <c r="B190" s="26" t="s">
        <v>58</v>
      </c>
      <c r="C190" s="26" t="s">
        <v>104</v>
      </c>
      <c r="D190" s="27">
        <v>10</v>
      </c>
      <c r="E190" s="26"/>
      <c r="F190" s="26"/>
      <c r="G190" s="26"/>
      <c r="H190" s="26"/>
      <c r="I190" s="26">
        <v>78</v>
      </c>
      <c r="J190" s="26">
        <v>114</v>
      </c>
      <c r="K190" s="26"/>
      <c r="L190" s="26"/>
      <c r="M190" s="26">
        <v>105</v>
      </c>
      <c r="N190" s="26"/>
      <c r="O190" s="26"/>
      <c r="P190" s="26"/>
      <c r="Q190" s="26"/>
      <c r="R190" s="26"/>
      <c r="S190" s="26"/>
      <c r="T190" s="26">
        <f>SUM(E190:R190)</f>
        <v>297</v>
      </c>
      <c r="U190" s="29">
        <f>60-(((60-D190)+T190)/(1+E189+F189+G189+H189+I189+J189+K189+L189+M189+N189+O189+P189+Q189+R189+S189))</f>
        <v>10.428571428571431</v>
      </c>
    </row>
    <row r="191" spans="1:21" ht="15.75" customHeight="1" x14ac:dyDescent="0.35">
      <c r="A191" s="33"/>
      <c r="B191" s="34"/>
      <c r="C191" s="34"/>
      <c r="D191" s="36"/>
      <c r="E191" s="34"/>
      <c r="F191" s="34"/>
      <c r="G191" s="34"/>
      <c r="H191" s="34"/>
      <c r="I191" s="34"/>
      <c r="J191" s="34">
        <v>2</v>
      </c>
      <c r="K191" s="34">
        <v>3</v>
      </c>
      <c r="L191" s="34"/>
      <c r="M191" s="34">
        <v>2</v>
      </c>
      <c r="N191" s="34">
        <v>2</v>
      </c>
      <c r="O191" s="34">
        <v>2</v>
      </c>
      <c r="P191" s="34"/>
      <c r="Q191" s="34"/>
      <c r="R191" s="34"/>
      <c r="S191" s="34"/>
      <c r="T191" s="34"/>
      <c r="U191" s="32"/>
    </row>
    <row r="192" spans="1:21" ht="15.75" customHeight="1" x14ac:dyDescent="0.35">
      <c r="A192" s="25" t="s">
        <v>116</v>
      </c>
      <c r="B192" s="26" t="s">
        <v>28</v>
      </c>
      <c r="C192" s="26" t="s">
        <v>104</v>
      </c>
      <c r="D192" s="27">
        <v>10</v>
      </c>
      <c r="E192" s="26"/>
      <c r="F192" s="26"/>
      <c r="G192" s="26"/>
      <c r="H192" s="26"/>
      <c r="I192" s="26"/>
      <c r="J192" s="26">
        <v>94</v>
      </c>
      <c r="K192" s="26">
        <v>126</v>
      </c>
      <c r="L192" s="26"/>
      <c r="M192" s="26">
        <v>90</v>
      </c>
      <c r="N192" s="26">
        <v>85</v>
      </c>
      <c r="O192" s="26">
        <v>82</v>
      </c>
      <c r="P192" s="26"/>
      <c r="Q192" s="26"/>
      <c r="R192" s="26"/>
      <c r="S192" s="26"/>
      <c r="T192" s="26">
        <f>SUM(E192:R192)</f>
        <v>477</v>
      </c>
      <c r="U192" s="29">
        <f>50-(((50-D192)+T192)/(1+E191+F191+G191+H191+I191+J191+K191+L191+M191+N191+O191+P191+Q191+R191+S191))</f>
        <v>6.9166666666666643</v>
      </c>
    </row>
    <row r="193" spans="1:21" ht="15.75" customHeight="1" x14ac:dyDescent="0.35">
      <c r="A193" s="33"/>
      <c r="B193" s="34"/>
      <c r="C193" s="34"/>
      <c r="D193" s="36"/>
      <c r="E193" s="34"/>
      <c r="F193" s="34"/>
      <c r="G193" s="34"/>
      <c r="H193" s="34"/>
      <c r="I193" s="34"/>
      <c r="J193" s="34"/>
      <c r="K193" s="34">
        <v>3</v>
      </c>
      <c r="L193" s="34"/>
      <c r="M193" s="34"/>
      <c r="N193" s="34"/>
      <c r="O193" s="34"/>
      <c r="P193" s="34"/>
      <c r="Q193" s="34"/>
      <c r="R193" s="34"/>
      <c r="S193" s="34"/>
      <c r="T193" s="34"/>
      <c r="U193" s="32"/>
    </row>
    <row r="194" spans="1:21" ht="15.75" customHeight="1" x14ac:dyDescent="0.35">
      <c r="A194" s="25" t="s">
        <v>117</v>
      </c>
      <c r="B194" s="26" t="s">
        <v>28</v>
      </c>
      <c r="C194" s="26" t="s">
        <v>104</v>
      </c>
      <c r="D194" s="27">
        <v>10</v>
      </c>
      <c r="E194" s="26"/>
      <c r="F194" s="26"/>
      <c r="G194" s="26"/>
      <c r="H194" s="26"/>
      <c r="I194" s="26"/>
      <c r="J194" s="26"/>
      <c r="K194" s="26">
        <v>87</v>
      </c>
      <c r="L194" s="26"/>
      <c r="M194" s="26"/>
      <c r="N194" s="26"/>
      <c r="O194" s="26"/>
      <c r="P194" s="26"/>
      <c r="Q194" s="26"/>
      <c r="R194" s="26"/>
      <c r="S194" s="26"/>
      <c r="T194" s="26">
        <f>SUM(E194:R194)</f>
        <v>87</v>
      </c>
      <c r="U194" s="29">
        <f>50-(((50-D194)+T194)/(1+E193+F193+G193+H193+I193+J193+K193+L193+M193+N193+O193+P193+Q193+R193+S193))</f>
        <v>18.25</v>
      </c>
    </row>
    <row r="195" spans="1:21" ht="15.75" customHeight="1" x14ac:dyDescent="0.35">
      <c r="A195" s="33"/>
      <c r="B195" s="34"/>
      <c r="C195" s="34"/>
      <c r="D195" s="36"/>
      <c r="E195" s="34"/>
      <c r="F195" s="34"/>
      <c r="G195" s="34"/>
      <c r="H195" s="34"/>
      <c r="I195" s="34"/>
      <c r="J195" s="34">
        <v>2</v>
      </c>
      <c r="K195" s="34">
        <v>3</v>
      </c>
      <c r="L195" s="34"/>
      <c r="M195" s="34">
        <v>2</v>
      </c>
      <c r="N195" s="34">
        <v>2</v>
      </c>
      <c r="O195" s="34"/>
      <c r="P195" s="34"/>
      <c r="Q195" s="34"/>
      <c r="R195" s="34"/>
      <c r="S195" s="34"/>
      <c r="T195" s="34"/>
      <c r="U195" s="32"/>
    </row>
    <row r="196" spans="1:21" ht="15.75" customHeight="1" x14ac:dyDescent="0.35">
      <c r="A196" s="25" t="s">
        <v>118</v>
      </c>
      <c r="B196" s="26" t="s">
        <v>58</v>
      </c>
      <c r="C196" s="26" t="s">
        <v>104</v>
      </c>
      <c r="D196" s="27">
        <v>10</v>
      </c>
      <c r="E196" s="26"/>
      <c r="F196" s="26"/>
      <c r="G196" s="26"/>
      <c r="H196" s="26"/>
      <c r="I196" s="26"/>
      <c r="J196" s="26">
        <v>114</v>
      </c>
      <c r="K196" s="26">
        <v>150</v>
      </c>
      <c r="L196" s="26"/>
      <c r="M196" s="26">
        <v>107</v>
      </c>
      <c r="N196" s="26">
        <v>111</v>
      </c>
      <c r="O196" s="26"/>
      <c r="P196" s="26"/>
      <c r="Q196" s="26"/>
      <c r="R196" s="26"/>
      <c r="S196" s="26"/>
      <c r="T196" s="26">
        <f>SUM(E196:R196)</f>
        <v>482</v>
      </c>
      <c r="U196" s="29">
        <f>60-(((60-D196)+T196)/(1+E195+F195+G195+H195+I195+J195+K195+L195+M195+N195+O195+P195+Q195+R195+S195))</f>
        <v>6.7999999999999972</v>
      </c>
    </row>
    <row r="197" spans="1:21" ht="15.75" customHeight="1" x14ac:dyDescent="0.35">
      <c r="A197" s="33"/>
      <c r="B197" s="34"/>
      <c r="C197" s="34"/>
      <c r="D197" s="36"/>
      <c r="E197" s="34"/>
      <c r="F197" s="34"/>
      <c r="G197" s="34"/>
      <c r="H197" s="34"/>
      <c r="I197" s="34"/>
      <c r="J197" s="34"/>
      <c r="K197" s="34">
        <v>3</v>
      </c>
      <c r="L197" s="34"/>
      <c r="M197" s="34"/>
      <c r="N197" s="34"/>
      <c r="O197" s="34"/>
      <c r="P197" s="34"/>
      <c r="Q197" s="34"/>
      <c r="R197" s="34"/>
      <c r="S197" s="34"/>
      <c r="T197" s="34"/>
      <c r="U197" s="32"/>
    </row>
    <row r="198" spans="1:21" ht="15.75" customHeight="1" x14ac:dyDescent="0.35">
      <c r="A198" s="25" t="s">
        <v>119</v>
      </c>
      <c r="B198" s="26" t="s">
        <v>22</v>
      </c>
      <c r="C198" s="26" t="s">
        <v>104</v>
      </c>
      <c r="D198" s="27">
        <v>10</v>
      </c>
      <c r="E198" s="26"/>
      <c r="F198" s="26"/>
      <c r="G198" s="26"/>
      <c r="H198" s="26"/>
      <c r="I198" s="26"/>
      <c r="J198" s="26"/>
      <c r="K198" s="26">
        <v>135</v>
      </c>
      <c r="L198" s="26"/>
      <c r="M198" s="26"/>
      <c r="N198" s="26"/>
      <c r="O198" s="26"/>
      <c r="P198" s="26"/>
      <c r="Q198" s="26"/>
      <c r="R198" s="26"/>
      <c r="S198" s="26"/>
      <c r="T198" s="26">
        <f>SUM(E198:R198)</f>
        <v>135</v>
      </c>
      <c r="U198" s="29">
        <f>50-(((50-D198)+T198)/(1+E197+F197+G197+H197+I197+J197+K197+L197+M197+N197+O197+P197+Q197+R197+S197))</f>
        <v>6.25</v>
      </c>
    </row>
    <row r="199" spans="1:21" ht="15.75" customHeight="1" x14ac:dyDescent="0.35">
      <c r="A199" s="33"/>
      <c r="B199" s="34"/>
      <c r="C199" s="34"/>
      <c r="D199" s="36"/>
      <c r="E199" s="34"/>
      <c r="F199" s="34"/>
      <c r="G199" s="34"/>
      <c r="H199" s="34"/>
      <c r="I199" s="34"/>
      <c r="J199" s="34"/>
      <c r="K199" s="34">
        <v>3</v>
      </c>
      <c r="L199" s="34"/>
      <c r="M199" s="34"/>
      <c r="N199" s="34"/>
      <c r="O199" s="34"/>
      <c r="P199" s="34"/>
      <c r="Q199" s="34"/>
      <c r="R199" s="34"/>
      <c r="S199" s="34"/>
      <c r="T199" s="34"/>
      <c r="U199" s="32"/>
    </row>
    <row r="200" spans="1:21" ht="15.75" customHeight="1" x14ac:dyDescent="0.35">
      <c r="A200" s="25" t="s">
        <v>120</v>
      </c>
      <c r="B200" s="26" t="s">
        <v>22</v>
      </c>
      <c r="C200" s="26" t="s">
        <v>104</v>
      </c>
      <c r="D200" s="27">
        <v>10</v>
      </c>
      <c r="E200" s="26"/>
      <c r="F200" s="26"/>
      <c r="G200" s="26"/>
      <c r="H200" s="26"/>
      <c r="I200" s="26"/>
      <c r="J200" s="26"/>
      <c r="K200" s="26">
        <v>128</v>
      </c>
      <c r="L200" s="26"/>
      <c r="M200" s="26"/>
      <c r="N200" s="26"/>
      <c r="O200" s="26"/>
      <c r="P200" s="26"/>
      <c r="Q200" s="26"/>
      <c r="R200" s="26"/>
      <c r="S200" s="26"/>
      <c r="T200" s="26">
        <f>SUM(E200:R200)</f>
        <v>128</v>
      </c>
      <c r="U200" s="29">
        <f>50-(((50-D200)+T200)/(1+E199+F199+G199+H199+I199+J199+K199+L199+M199+N199+O199+P199+Q199+R199+S199))</f>
        <v>8</v>
      </c>
    </row>
    <row r="201" spans="1:21" ht="15.75" customHeight="1" x14ac:dyDescent="0.35">
      <c r="A201" s="33"/>
      <c r="B201" s="34"/>
      <c r="C201" s="34"/>
      <c r="D201" s="36"/>
      <c r="E201" s="34"/>
      <c r="F201" s="34"/>
      <c r="G201" s="34"/>
      <c r="H201" s="34"/>
      <c r="I201" s="34"/>
      <c r="J201" s="34"/>
      <c r="K201" s="34"/>
      <c r="L201" s="34"/>
      <c r="M201" s="34">
        <v>2</v>
      </c>
      <c r="N201" s="34">
        <v>2</v>
      </c>
      <c r="O201" s="34">
        <v>2</v>
      </c>
      <c r="P201" s="34"/>
      <c r="Q201" s="34"/>
      <c r="R201" s="34"/>
      <c r="S201" s="34"/>
      <c r="T201" s="34"/>
      <c r="U201" s="32"/>
    </row>
    <row r="202" spans="1:21" ht="15.75" customHeight="1" x14ac:dyDescent="0.35">
      <c r="A202" s="25" t="s">
        <v>121</v>
      </c>
      <c r="B202" s="26" t="s">
        <v>58</v>
      </c>
      <c r="C202" s="26" t="s">
        <v>104</v>
      </c>
      <c r="D202" s="27">
        <v>10</v>
      </c>
      <c r="E202" s="26"/>
      <c r="F202" s="26"/>
      <c r="G202" s="26"/>
      <c r="H202" s="26"/>
      <c r="I202" s="26"/>
      <c r="J202" s="26"/>
      <c r="K202" s="26"/>
      <c r="L202" s="26"/>
      <c r="M202" s="26">
        <v>116</v>
      </c>
      <c r="N202" s="26">
        <v>109</v>
      </c>
      <c r="O202" s="26">
        <v>107</v>
      </c>
      <c r="P202" s="26"/>
      <c r="Q202" s="26"/>
      <c r="R202" s="26"/>
      <c r="S202" s="26"/>
      <c r="T202" s="26">
        <f>SUM(E202:R202)</f>
        <v>332</v>
      </c>
      <c r="U202" s="29">
        <f>60-(((60-D202)+T202)/(1+E201+F201+G201+H201+I201+J201+K201+L201+M201+N201+O201+P201+Q201+R201+S201))</f>
        <v>5.4285714285714306</v>
      </c>
    </row>
    <row r="203" spans="1:21" ht="15.75" customHeight="1" x14ac:dyDescent="0.35">
      <c r="A203" s="33"/>
      <c r="B203" s="34"/>
      <c r="C203" s="34"/>
      <c r="D203" s="36"/>
      <c r="E203" s="34"/>
      <c r="F203" s="34"/>
      <c r="G203" s="34"/>
      <c r="H203" s="34"/>
      <c r="I203" s="34"/>
      <c r="J203" s="34"/>
      <c r="K203" s="34"/>
      <c r="L203" s="34"/>
      <c r="M203" s="34">
        <v>2</v>
      </c>
      <c r="N203" s="34"/>
      <c r="O203" s="34"/>
      <c r="P203" s="34"/>
      <c r="Q203" s="34"/>
      <c r="R203" s="34"/>
      <c r="S203" s="34"/>
      <c r="T203" s="34"/>
      <c r="U203" s="32"/>
    </row>
    <row r="204" spans="1:21" ht="15.75" customHeight="1" x14ac:dyDescent="0.35">
      <c r="A204" s="25" t="s">
        <v>122</v>
      </c>
      <c r="B204" s="26" t="s">
        <v>58</v>
      </c>
      <c r="C204" s="26" t="s">
        <v>104</v>
      </c>
      <c r="D204" s="27">
        <v>10</v>
      </c>
      <c r="E204" s="26"/>
      <c r="F204" s="26"/>
      <c r="G204" s="26"/>
      <c r="H204" s="26"/>
      <c r="I204" s="26"/>
      <c r="J204" s="26"/>
      <c r="K204" s="26"/>
      <c r="L204" s="26"/>
      <c r="M204" s="26">
        <v>116</v>
      </c>
      <c r="N204" s="26"/>
      <c r="O204" s="26"/>
      <c r="P204" s="26"/>
      <c r="Q204" s="26"/>
      <c r="R204" s="26"/>
      <c r="S204" s="26"/>
      <c r="T204" s="26">
        <f>SUM(E204:R204)</f>
        <v>116</v>
      </c>
      <c r="U204" s="29">
        <f>60-(((60-D204)+T204)/(1+E203+F203+G203+H203+I203+J203+K203+L203+M203+N203+O203+P203+Q203+R203+S203))</f>
        <v>4.6666666666666643</v>
      </c>
    </row>
    <row r="205" spans="1:21" ht="15.75" customHeight="1" x14ac:dyDescent="0.35">
      <c r="A205" s="33"/>
      <c r="B205" s="34"/>
      <c r="C205" s="34"/>
      <c r="D205" s="36"/>
      <c r="E205" s="34"/>
      <c r="F205" s="34"/>
      <c r="G205" s="34"/>
      <c r="H205" s="34"/>
      <c r="I205" s="34"/>
      <c r="J205" s="34"/>
      <c r="K205" s="34"/>
      <c r="L205" s="34"/>
      <c r="M205" s="34"/>
      <c r="N205" s="34">
        <v>2</v>
      </c>
      <c r="O205" s="34">
        <v>2</v>
      </c>
      <c r="P205" s="34"/>
      <c r="Q205" s="34"/>
      <c r="R205" s="34"/>
      <c r="S205" s="34"/>
      <c r="T205" s="34"/>
      <c r="U205" s="32"/>
    </row>
    <row r="206" spans="1:21" ht="15.75" customHeight="1" x14ac:dyDescent="0.35">
      <c r="A206" s="25" t="s">
        <v>123</v>
      </c>
      <c r="B206" s="26" t="s">
        <v>58</v>
      </c>
      <c r="C206" s="26" t="s">
        <v>104</v>
      </c>
      <c r="D206" s="27">
        <v>10</v>
      </c>
      <c r="E206" s="26"/>
      <c r="F206" s="26"/>
      <c r="G206" s="26"/>
      <c r="H206" s="26"/>
      <c r="I206" s="26"/>
      <c r="J206" s="26"/>
      <c r="K206" s="26"/>
      <c r="L206" s="26"/>
      <c r="M206" s="26"/>
      <c r="N206" s="26">
        <v>98</v>
      </c>
      <c r="O206" s="26">
        <v>96</v>
      </c>
      <c r="P206" s="26"/>
      <c r="Q206" s="26"/>
      <c r="R206" s="26"/>
      <c r="S206" s="26"/>
      <c r="T206" s="26">
        <f>SUM(E206:R206)</f>
        <v>194</v>
      </c>
      <c r="U206" s="29">
        <f>60-(((60-D206)+T206)/(1+E205+F205+G205+H205+I205+J205+K205+L205+M205+N205+O205+P205+Q205+R205+S205))</f>
        <v>11.200000000000003</v>
      </c>
    </row>
    <row r="207" spans="1:21" ht="15.75" customHeight="1" x14ac:dyDescent="0.35">
      <c r="A207" s="33"/>
      <c r="B207" s="34"/>
      <c r="C207" s="34"/>
      <c r="D207" s="36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>
        <v>2</v>
      </c>
      <c r="P207" s="34"/>
      <c r="Q207" s="34"/>
      <c r="R207" s="34"/>
      <c r="S207" s="34"/>
      <c r="T207" s="34"/>
      <c r="U207" s="32"/>
    </row>
    <row r="208" spans="1:21" ht="15.75" customHeight="1" x14ac:dyDescent="0.35">
      <c r="A208" s="25" t="s">
        <v>124</v>
      </c>
      <c r="B208" s="26" t="s">
        <v>58</v>
      </c>
      <c r="C208" s="26" t="s">
        <v>104</v>
      </c>
      <c r="D208" s="27">
        <v>3</v>
      </c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>
        <v>117</v>
      </c>
      <c r="P208" s="26"/>
      <c r="Q208" s="26"/>
      <c r="R208" s="26"/>
      <c r="S208" s="26"/>
      <c r="T208" s="26">
        <f>SUM(E208:R208)</f>
        <v>117</v>
      </c>
      <c r="U208" s="29">
        <f>60-(((60-D208)+T208)/(1+E207+F207+G207+H207+I207+J207+K207+L207+M207+N207+O207+P207+Q207+R207+S207))</f>
        <v>2</v>
      </c>
    </row>
    <row r="209" spans="1:21" ht="15.75" customHeight="1" x14ac:dyDescent="0.35">
      <c r="A209" s="30"/>
      <c r="B209" s="30"/>
      <c r="C209" s="30"/>
      <c r="U209" s="39"/>
    </row>
    <row r="210" spans="1:21" ht="15.75" customHeight="1" x14ac:dyDescent="0.35">
      <c r="A210" s="30"/>
      <c r="B210" s="30"/>
      <c r="C210" s="30"/>
      <c r="U210" s="39"/>
    </row>
    <row r="211" spans="1:21" ht="15.75" customHeight="1" x14ac:dyDescent="0.35">
      <c r="A211" s="30"/>
      <c r="B211" s="30"/>
      <c r="C211" s="30"/>
      <c r="U211" s="39"/>
    </row>
    <row r="212" spans="1:21" ht="15.75" customHeight="1" x14ac:dyDescent="0.35">
      <c r="A212" s="30"/>
      <c r="B212" s="30"/>
      <c r="C212" s="30"/>
      <c r="U212" s="39"/>
    </row>
    <row r="213" spans="1:21" ht="15.75" customHeight="1" x14ac:dyDescent="0.35">
      <c r="A213" s="30"/>
      <c r="B213" s="30"/>
      <c r="C213" s="30"/>
      <c r="U213" s="39"/>
    </row>
    <row r="214" spans="1:21" ht="15.75" customHeight="1" x14ac:dyDescent="0.35">
      <c r="A214" s="30"/>
      <c r="B214" s="30"/>
      <c r="C214" s="30"/>
      <c r="U214" s="39"/>
    </row>
    <row r="215" spans="1:21" ht="15.75" customHeight="1" x14ac:dyDescent="0.35">
      <c r="A215" s="30"/>
      <c r="B215" s="30"/>
      <c r="C215" s="30"/>
      <c r="U215" s="39"/>
    </row>
    <row r="216" spans="1:21" ht="15.75" customHeight="1" x14ac:dyDescent="0.35">
      <c r="A216" s="30"/>
      <c r="B216" s="30"/>
      <c r="C216" s="30"/>
      <c r="U216" s="39"/>
    </row>
    <row r="217" spans="1:21" ht="15.75" customHeight="1" x14ac:dyDescent="0.35">
      <c r="A217" s="30"/>
      <c r="B217" s="30"/>
      <c r="C217" s="30"/>
      <c r="U217" s="39"/>
    </row>
    <row r="218" spans="1:21" ht="15.75" customHeight="1" x14ac:dyDescent="0.35">
      <c r="A218" s="30"/>
      <c r="B218" s="30"/>
      <c r="C218" s="30"/>
      <c r="U218" s="39"/>
    </row>
    <row r="219" spans="1:21" ht="15.75" customHeight="1" x14ac:dyDescent="0.35">
      <c r="A219" s="30"/>
      <c r="B219" s="30"/>
      <c r="C219" s="30"/>
      <c r="U219" s="39"/>
    </row>
    <row r="220" spans="1:21" ht="15.75" customHeight="1" x14ac:dyDescent="0.35">
      <c r="A220" s="30"/>
      <c r="B220" s="30"/>
      <c r="C220" s="30"/>
      <c r="U220" s="39"/>
    </row>
    <row r="221" spans="1:21" ht="15.75" customHeight="1" x14ac:dyDescent="0.35">
      <c r="A221" s="30"/>
      <c r="B221" s="30"/>
      <c r="C221" s="30"/>
      <c r="U221" s="39"/>
    </row>
    <row r="222" spans="1:21" ht="15.75" customHeight="1" x14ac:dyDescent="0.35">
      <c r="A222" s="30"/>
      <c r="B222" s="30"/>
      <c r="C222" s="30"/>
      <c r="U222" s="39"/>
    </row>
    <row r="223" spans="1:21" ht="15.75" customHeight="1" x14ac:dyDescent="0.35">
      <c r="A223" s="30"/>
      <c r="B223" s="30"/>
      <c r="C223" s="30"/>
      <c r="U223" s="39"/>
    </row>
    <row r="224" spans="1:21" ht="15.75" customHeight="1" x14ac:dyDescent="0.35">
      <c r="A224" s="30"/>
      <c r="B224" s="30"/>
      <c r="C224" s="30"/>
      <c r="U224" s="39"/>
    </row>
    <row r="225" spans="1:21" ht="15.75" customHeight="1" x14ac:dyDescent="0.35">
      <c r="A225" s="30"/>
      <c r="B225" s="30"/>
      <c r="C225" s="30"/>
      <c r="U225" s="39"/>
    </row>
    <row r="226" spans="1:21" ht="15.75" customHeight="1" x14ac:dyDescent="0.35">
      <c r="A226" s="30"/>
      <c r="B226" s="30"/>
      <c r="C226" s="30"/>
      <c r="U226" s="39"/>
    </row>
    <row r="227" spans="1:21" ht="15.75" customHeight="1" x14ac:dyDescent="0.35">
      <c r="A227" s="30"/>
      <c r="B227" s="30"/>
      <c r="C227" s="30"/>
      <c r="U227" s="39"/>
    </row>
    <row r="228" spans="1:21" ht="15.75" customHeight="1" x14ac:dyDescent="0.35">
      <c r="A228" s="30"/>
      <c r="B228" s="30"/>
      <c r="C228" s="30"/>
      <c r="U228" s="39"/>
    </row>
    <row r="229" spans="1:21" ht="15.75" customHeight="1" x14ac:dyDescent="0.35">
      <c r="A229" s="30"/>
      <c r="B229" s="30"/>
      <c r="C229" s="30"/>
      <c r="U229" s="39"/>
    </row>
    <row r="230" spans="1:21" ht="15.75" customHeight="1" x14ac:dyDescent="0.35">
      <c r="A230" s="30"/>
      <c r="B230" s="30"/>
      <c r="C230" s="30"/>
      <c r="U230" s="39"/>
    </row>
    <row r="231" spans="1:21" ht="15.75" customHeight="1" x14ac:dyDescent="0.35">
      <c r="A231" s="30"/>
      <c r="B231" s="30"/>
      <c r="C231" s="30"/>
      <c r="U231" s="39"/>
    </row>
    <row r="232" spans="1:21" ht="15.75" customHeight="1" x14ac:dyDescent="0.35">
      <c r="A232" s="30"/>
      <c r="B232" s="30"/>
      <c r="C232" s="30"/>
      <c r="U232" s="39"/>
    </row>
    <row r="233" spans="1:21" ht="15.75" customHeight="1" x14ac:dyDescent="0.35">
      <c r="A233" s="30"/>
      <c r="B233" s="30"/>
      <c r="C233" s="30"/>
      <c r="U233" s="39"/>
    </row>
    <row r="234" spans="1:21" ht="15.75" customHeight="1" x14ac:dyDescent="0.35">
      <c r="A234" s="30"/>
      <c r="B234" s="30"/>
      <c r="C234" s="30"/>
      <c r="U234" s="39"/>
    </row>
    <row r="235" spans="1:21" ht="15.75" customHeight="1" x14ac:dyDescent="0.35">
      <c r="A235" s="30"/>
      <c r="B235" s="30"/>
      <c r="C235" s="30"/>
      <c r="U235" s="39"/>
    </row>
    <row r="236" spans="1:21" ht="15.75" customHeight="1" x14ac:dyDescent="0.35">
      <c r="A236" s="30"/>
      <c r="B236" s="30"/>
      <c r="C236" s="30"/>
      <c r="U236" s="39"/>
    </row>
    <row r="237" spans="1:21" ht="15.75" customHeight="1" x14ac:dyDescent="0.35">
      <c r="A237" s="30"/>
      <c r="B237" s="30"/>
      <c r="C237" s="30"/>
      <c r="U237" s="39"/>
    </row>
    <row r="238" spans="1:21" ht="15.75" customHeight="1" x14ac:dyDescent="0.35">
      <c r="A238" s="30"/>
      <c r="B238" s="30"/>
      <c r="C238" s="30"/>
      <c r="U238" s="39"/>
    </row>
    <row r="239" spans="1:21" ht="15.75" customHeight="1" x14ac:dyDescent="0.35">
      <c r="A239" s="30"/>
      <c r="B239" s="30"/>
      <c r="C239" s="30"/>
      <c r="U239" s="39"/>
    </row>
    <row r="240" spans="1:21" ht="15.75" customHeight="1" x14ac:dyDescent="0.35">
      <c r="A240" s="30"/>
      <c r="B240" s="30"/>
      <c r="C240" s="30"/>
      <c r="U240" s="39"/>
    </row>
    <row r="241" spans="1:21" ht="15.75" customHeight="1" x14ac:dyDescent="0.35">
      <c r="A241" s="30"/>
      <c r="B241" s="30"/>
      <c r="C241" s="30"/>
      <c r="U241" s="39"/>
    </row>
    <row r="242" spans="1:21" ht="15.75" customHeight="1" x14ac:dyDescent="0.35">
      <c r="A242" s="30"/>
      <c r="B242" s="30"/>
      <c r="C242" s="30"/>
      <c r="U242" s="39"/>
    </row>
    <row r="243" spans="1:21" ht="15.75" customHeight="1" x14ac:dyDescent="0.35">
      <c r="A243" s="30"/>
      <c r="B243" s="30"/>
      <c r="C243" s="30"/>
      <c r="U243" s="39"/>
    </row>
    <row r="244" spans="1:21" ht="15.75" customHeight="1" x14ac:dyDescent="0.35">
      <c r="A244" s="30"/>
      <c r="B244" s="30"/>
      <c r="C244" s="30"/>
      <c r="U244" s="39"/>
    </row>
    <row r="245" spans="1:21" ht="15.75" customHeight="1" x14ac:dyDescent="0.35">
      <c r="A245" s="30"/>
      <c r="B245" s="30"/>
      <c r="C245" s="30"/>
      <c r="U245" s="39"/>
    </row>
    <row r="246" spans="1:21" ht="15.75" customHeight="1" x14ac:dyDescent="0.35">
      <c r="A246" s="30"/>
      <c r="B246" s="30"/>
      <c r="C246" s="30"/>
      <c r="U246" s="39"/>
    </row>
    <row r="247" spans="1:21" ht="15.75" customHeight="1" x14ac:dyDescent="0.35">
      <c r="A247" s="30"/>
      <c r="B247" s="30"/>
      <c r="C247" s="30"/>
      <c r="U247" s="39"/>
    </row>
    <row r="248" spans="1:21" ht="15.75" customHeight="1" x14ac:dyDescent="0.35">
      <c r="A248" s="30"/>
      <c r="B248" s="30"/>
      <c r="C248" s="30"/>
      <c r="U248" s="39"/>
    </row>
    <row r="249" spans="1:21" ht="15.75" customHeight="1" x14ac:dyDescent="0.35">
      <c r="A249" s="30"/>
      <c r="B249" s="30"/>
      <c r="C249" s="30"/>
      <c r="U249" s="39"/>
    </row>
    <row r="250" spans="1:21" ht="15.75" customHeight="1" x14ac:dyDescent="0.35">
      <c r="A250" s="30"/>
      <c r="B250" s="30"/>
      <c r="C250" s="30"/>
      <c r="U250" s="39"/>
    </row>
    <row r="251" spans="1:21" ht="15.75" customHeight="1" x14ac:dyDescent="0.35">
      <c r="A251" s="30"/>
      <c r="B251" s="30"/>
      <c r="C251" s="30"/>
      <c r="U251" s="39"/>
    </row>
    <row r="252" spans="1:21" ht="15.75" customHeight="1" x14ac:dyDescent="0.35">
      <c r="A252" s="30"/>
      <c r="B252" s="30"/>
      <c r="C252" s="30"/>
      <c r="U252" s="39"/>
    </row>
    <row r="253" spans="1:21" ht="15.75" customHeight="1" x14ac:dyDescent="0.35">
      <c r="A253" s="30"/>
      <c r="B253" s="30"/>
      <c r="C253" s="30"/>
      <c r="U253" s="39"/>
    </row>
    <row r="254" spans="1:21" ht="15.75" customHeight="1" x14ac:dyDescent="0.35">
      <c r="A254" s="30"/>
      <c r="B254" s="30"/>
      <c r="C254" s="30"/>
      <c r="U254" s="39"/>
    </row>
    <row r="255" spans="1:21" ht="15.75" customHeight="1" x14ac:dyDescent="0.35">
      <c r="A255" s="30"/>
      <c r="B255" s="30"/>
      <c r="C255" s="30"/>
      <c r="U255" s="39"/>
    </row>
    <row r="256" spans="1:21" ht="15.75" customHeight="1" x14ac:dyDescent="0.35">
      <c r="A256" s="30"/>
      <c r="B256" s="30"/>
      <c r="C256" s="30"/>
      <c r="U256" s="39"/>
    </row>
    <row r="257" spans="1:21" ht="15.75" customHeight="1" x14ac:dyDescent="0.35">
      <c r="A257" s="30"/>
      <c r="B257" s="30"/>
      <c r="C257" s="30"/>
      <c r="U257" s="39"/>
    </row>
    <row r="258" spans="1:21" ht="15.75" customHeight="1" x14ac:dyDescent="0.35">
      <c r="A258" s="30"/>
      <c r="B258" s="30"/>
      <c r="C258" s="30"/>
      <c r="U258" s="39"/>
    </row>
    <row r="259" spans="1:21" ht="15.75" customHeight="1" x14ac:dyDescent="0.35">
      <c r="A259" s="30"/>
      <c r="B259" s="30"/>
      <c r="C259" s="30"/>
      <c r="U259" s="39"/>
    </row>
    <row r="260" spans="1:21" ht="15.75" customHeight="1" x14ac:dyDescent="0.35">
      <c r="A260" s="30"/>
      <c r="B260" s="30"/>
      <c r="C260" s="30"/>
      <c r="U260" s="39"/>
    </row>
    <row r="261" spans="1:21" ht="15.75" customHeight="1" x14ac:dyDescent="0.35">
      <c r="A261" s="30"/>
      <c r="B261" s="30"/>
      <c r="C261" s="30"/>
      <c r="U261" s="39"/>
    </row>
    <row r="262" spans="1:21" ht="15.75" customHeight="1" x14ac:dyDescent="0.35">
      <c r="A262" s="30"/>
      <c r="B262" s="30"/>
      <c r="C262" s="30"/>
      <c r="U262" s="39"/>
    </row>
    <row r="263" spans="1:21" ht="15.75" customHeight="1" x14ac:dyDescent="0.35">
      <c r="A263" s="30"/>
      <c r="B263" s="30"/>
      <c r="C263" s="30"/>
      <c r="U263" s="39"/>
    </row>
    <row r="264" spans="1:21" ht="15.75" customHeight="1" x14ac:dyDescent="0.35">
      <c r="A264" s="30"/>
      <c r="B264" s="30"/>
      <c r="C264" s="30"/>
      <c r="U264" s="39"/>
    </row>
    <row r="265" spans="1:21" ht="15.75" customHeight="1" x14ac:dyDescent="0.35">
      <c r="A265" s="30"/>
      <c r="B265" s="30"/>
      <c r="C265" s="30"/>
      <c r="U265" s="39"/>
    </row>
    <row r="266" spans="1:21" ht="15.75" customHeight="1" x14ac:dyDescent="0.35">
      <c r="A266" s="30"/>
      <c r="B266" s="30"/>
      <c r="C266" s="30"/>
      <c r="U266" s="39"/>
    </row>
    <row r="267" spans="1:21" ht="15.75" customHeight="1" x14ac:dyDescent="0.35">
      <c r="A267" s="30"/>
      <c r="B267" s="30"/>
      <c r="C267" s="30"/>
      <c r="U267" s="39"/>
    </row>
    <row r="268" spans="1:21" ht="15.75" customHeight="1" x14ac:dyDescent="0.35">
      <c r="A268" s="30"/>
      <c r="B268" s="30"/>
      <c r="C268" s="30"/>
      <c r="U268" s="39"/>
    </row>
    <row r="269" spans="1:21" ht="15.75" customHeight="1" x14ac:dyDescent="0.35">
      <c r="A269" s="30"/>
      <c r="B269" s="30"/>
      <c r="C269" s="30"/>
      <c r="U269" s="39"/>
    </row>
    <row r="270" spans="1:21" ht="15.75" customHeight="1" x14ac:dyDescent="0.35">
      <c r="A270" s="30"/>
      <c r="B270" s="30"/>
      <c r="C270" s="30"/>
      <c r="U270" s="39"/>
    </row>
    <row r="271" spans="1:21" ht="15.75" customHeight="1" x14ac:dyDescent="0.35">
      <c r="A271" s="30"/>
      <c r="B271" s="30"/>
      <c r="C271" s="30"/>
      <c r="U271" s="39"/>
    </row>
    <row r="272" spans="1:21" ht="15.75" customHeight="1" x14ac:dyDescent="0.35">
      <c r="A272" s="30"/>
      <c r="B272" s="30"/>
      <c r="C272" s="30"/>
      <c r="U272" s="39"/>
    </row>
    <row r="273" spans="1:21" ht="15.75" customHeight="1" x14ac:dyDescent="0.35">
      <c r="A273" s="30"/>
      <c r="B273" s="30"/>
      <c r="C273" s="30"/>
      <c r="U273" s="39"/>
    </row>
    <row r="274" spans="1:21" ht="15.75" customHeight="1" x14ac:dyDescent="0.35">
      <c r="A274" s="30"/>
      <c r="B274" s="30"/>
      <c r="C274" s="30"/>
      <c r="U274" s="39"/>
    </row>
    <row r="275" spans="1:21" ht="15.75" customHeight="1" x14ac:dyDescent="0.35">
      <c r="A275" s="30"/>
      <c r="B275" s="30"/>
      <c r="C275" s="30"/>
      <c r="U275" s="39"/>
    </row>
    <row r="276" spans="1:21" ht="15.75" customHeight="1" x14ac:dyDescent="0.35">
      <c r="A276" s="30"/>
      <c r="B276" s="30"/>
      <c r="C276" s="30"/>
      <c r="U276" s="39"/>
    </row>
    <row r="277" spans="1:21" ht="15.75" customHeight="1" x14ac:dyDescent="0.35">
      <c r="A277" s="30"/>
      <c r="B277" s="30"/>
      <c r="C277" s="30"/>
      <c r="U277" s="39"/>
    </row>
    <row r="278" spans="1:21" ht="15.75" customHeight="1" x14ac:dyDescent="0.35">
      <c r="A278" s="30"/>
      <c r="B278" s="30"/>
      <c r="C278" s="30"/>
      <c r="U278" s="39"/>
    </row>
    <row r="279" spans="1:21" ht="15.75" customHeight="1" x14ac:dyDescent="0.35">
      <c r="A279" s="30"/>
      <c r="B279" s="30"/>
      <c r="C279" s="30"/>
      <c r="U279" s="39"/>
    </row>
    <row r="280" spans="1:21" ht="15.75" customHeight="1" x14ac:dyDescent="0.35">
      <c r="A280" s="30"/>
      <c r="B280" s="30"/>
      <c r="C280" s="30"/>
      <c r="U280" s="39"/>
    </row>
    <row r="281" spans="1:21" ht="15.75" customHeight="1" x14ac:dyDescent="0.35">
      <c r="A281" s="30"/>
      <c r="B281" s="30"/>
      <c r="C281" s="30"/>
      <c r="U281" s="39"/>
    </row>
    <row r="282" spans="1:21" ht="15.75" customHeight="1" x14ac:dyDescent="0.35">
      <c r="A282" s="30"/>
      <c r="B282" s="30"/>
      <c r="C282" s="30"/>
      <c r="U282" s="39"/>
    </row>
    <row r="283" spans="1:21" ht="15.75" customHeight="1" x14ac:dyDescent="0.35">
      <c r="A283" s="30"/>
      <c r="B283" s="30"/>
      <c r="C283" s="30"/>
      <c r="U283" s="39"/>
    </row>
    <row r="284" spans="1:21" ht="15.75" customHeight="1" x14ac:dyDescent="0.35">
      <c r="A284" s="30"/>
      <c r="B284" s="30"/>
      <c r="C284" s="30"/>
      <c r="U284" s="39"/>
    </row>
    <row r="285" spans="1:21" ht="15.75" customHeight="1" x14ac:dyDescent="0.35">
      <c r="A285" s="30"/>
      <c r="B285" s="30"/>
      <c r="C285" s="30"/>
      <c r="U285" s="39"/>
    </row>
    <row r="286" spans="1:21" ht="15.75" customHeight="1" x14ac:dyDescent="0.35">
      <c r="A286" s="30"/>
      <c r="B286" s="30"/>
      <c r="C286" s="30"/>
      <c r="U286" s="39"/>
    </row>
    <row r="287" spans="1:21" ht="15.75" customHeight="1" x14ac:dyDescent="0.35">
      <c r="A287" s="30"/>
      <c r="B287" s="30"/>
      <c r="C287" s="30"/>
      <c r="U287" s="39"/>
    </row>
    <row r="288" spans="1:21" ht="15.75" customHeight="1" x14ac:dyDescent="0.35">
      <c r="A288" s="30"/>
      <c r="B288" s="30"/>
      <c r="C288" s="30"/>
      <c r="U288" s="39"/>
    </row>
    <row r="289" spans="1:21" ht="15.75" customHeight="1" x14ac:dyDescent="0.35">
      <c r="A289" s="30"/>
      <c r="B289" s="30"/>
      <c r="C289" s="30"/>
      <c r="U289" s="39"/>
    </row>
    <row r="290" spans="1:21" ht="15.75" customHeight="1" x14ac:dyDescent="0.35">
      <c r="A290" s="30"/>
      <c r="B290" s="30"/>
      <c r="C290" s="30"/>
      <c r="U290" s="39"/>
    </row>
    <row r="291" spans="1:21" ht="15.75" customHeight="1" x14ac:dyDescent="0.35">
      <c r="A291" s="30"/>
      <c r="B291" s="30"/>
      <c r="C291" s="30"/>
      <c r="U291" s="39"/>
    </row>
    <row r="292" spans="1:21" ht="15.75" customHeight="1" x14ac:dyDescent="0.35">
      <c r="A292" s="30"/>
      <c r="B292" s="30"/>
      <c r="C292" s="30"/>
      <c r="U292" s="39"/>
    </row>
    <row r="293" spans="1:21" ht="15.75" customHeight="1" x14ac:dyDescent="0.35">
      <c r="A293" s="30"/>
      <c r="B293" s="30"/>
      <c r="C293" s="30"/>
      <c r="U293" s="39"/>
    </row>
    <row r="294" spans="1:21" ht="15.75" customHeight="1" x14ac:dyDescent="0.35">
      <c r="A294" s="30"/>
      <c r="B294" s="30"/>
      <c r="C294" s="30"/>
      <c r="U294" s="39"/>
    </row>
    <row r="295" spans="1:21" ht="15.75" customHeight="1" x14ac:dyDescent="0.35">
      <c r="A295" s="30"/>
      <c r="B295" s="30"/>
      <c r="C295" s="30"/>
      <c r="U295" s="39"/>
    </row>
    <row r="296" spans="1:21" ht="15.75" customHeight="1" x14ac:dyDescent="0.35">
      <c r="A296" s="30"/>
      <c r="B296" s="30"/>
      <c r="C296" s="30"/>
      <c r="U296" s="39"/>
    </row>
    <row r="297" spans="1:21" ht="15.75" customHeight="1" x14ac:dyDescent="0.35">
      <c r="A297" s="30"/>
      <c r="B297" s="30"/>
      <c r="C297" s="30"/>
      <c r="U297" s="39"/>
    </row>
    <row r="298" spans="1:21" ht="15.75" customHeight="1" x14ac:dyDescent="0.35">
      <c r="A298" s="30"/>
      <c r="B298" s="30"/>
      <c r="C298" s="30"/>
      <c r="U298" s="39"/>
    </row>
    <row r="299" spans="1:21" ht="15.75" customHeight="1" x14ac:dyDescent="0.35">
      <c r="A299" s="30"/>
      <c r="B299" s="30"/>
      <c r="C299" s="30"/>
      <c r="U299" s="39"/>
    </row>
    <row r="300" spans="1:21" ht="15.75" customHeight="1" x14ac:dyDescent="0.35">
      <c r="A300" s="30"/>
      <c r="B300" s="30"/>
      <c r="C300" s="30"/>
      <c r="U300" s="39"/>
    </row>
    <row r="301" spans="1:21" ht="15.75" customHeight="1" x14ac:dyDescent="0.35">
      <c r="A301" s="30"/>
      <c r="B301" s="30"/>
      <c r="C301" s="30"/>
      <c r="U301" s="39"/>
    </row>
    <row r="302" spans="1:21" ht="15.75" customHeight="1" x14ac:dyDescent="0.35">
      <c r="A302" s="30"/>
      <c r="B302" s="30"/>
      <c r="C302" s="30"/>
      <c r="U302" s="39"/>
    </row>
    <row r="303" spans="1:21" ht="15.75" customHeight="1" x14ac:dyDescent="0.35">
      <c r="A303" s="30"/>
      <c r="B303" s="30"/>
      <c r="C303" s="30"/>
      <c r="U303" s="39"/>
    </row>
    <row r="304" spans="1:21" ht="15.75" customHeight="1" x14ac:dyDescent="0.35">
      <c r="A304" s="30"/>
      <c r="B304" s="30"/>
      <c r="C304" s="30"/>
      <c r="U304" s="39"/>
    </row>
    <row r="305" spans="1:21" ht="15.75" customHeight="1" x14ac:dyDescent="0.35">
      <c r="A305" s="30"/>
      <c r="B305" s="30"/>
      <c r="C305" s="30"/>
      <c r="U305" s="39"/>
    </row>
    <row r="306" spans="1:21" ht="15.75" customHeight="1" x14ac:dyDescent="0.35">
      <c r="A306" s="30"/>
      <c r="B306" s="30"/>
      <c r="C306" s="30"/>
      <c r="U306" s="39"/>
    </row>
    <row r="307" spans="1:21" ht="15.75" customHeight="1" x14ac:dyDescent="0.35">
      <c r="A307" s="30"/>
      <c r="B307" s="30"/>
      <c r="C307" s="30"/>
      <c r="U307" s="39"/>
    </row>
    <row r="308" spans="1:21" ht="15.75" customHeight="1" x14ac:dyDescent="0.35">
      <c r="A308" s="30"/>
      <c r="B308" s="30"/>
      <c r="C308" s="30"/>
      <c r="U308" s="39"/>
    </row>
    <row r="309" spans="1:21" ht="15.75" customHeight="1" x14ac:dyDescent="0.35">
      <c r="A309" s="30"/>
      <c r="B309" s="30"/>
      <c r="C309" s="30"/>
      <c r="U309" s="39"/>
    </row>
    <row r="310" spans="1:21" ht="15.75" customHeight="1" x14ac:dyDescent="0.35">
      <c r="A310" s="30"/>
      <c r="B310" s="30"/>
      <c r="C310" s="30"/>
      <c r="U310" s="39"/>
    </row>
    <row r="311" spans="1:21" ht="15.75" customHeight="1" x14ac:dyDescent="0.35">
      <c r="A311" s="30"/>
      <c r="B311" s="30"/>
      <c r="C311" s="30"/>
      <c r="U311" s="39"/>
    </row>
    <row r="312" spans="1:21" ht="15.75" customHeight="1" x14ac:dyDescent="0.35">
      <c r="A312" s="30"/>
      <c r="B312" s="30"/>
      <c r="C312" s="30"/>
      <c r="U312" s="39"/>
    </row>
    <row r="313" spans="1:21" ht="15.75" customHeight="1" x14ac:dyDescent="0.35">
      <c r="A313" s="30"/>
      <c r="B313" s="30"/>
      <c r="C313" s="30"/>
      <c r="U313" s="39"/>
    </row>
    <row r="314" spans="1:21" ht="15.75" customHeight="1" x14ac:dyDescent="0.35">
      <c r="A314" s="30"/>
      <c r="B314" s="30"/>
      <c r="C314" s="30"/>
      <c r="U314" s="39"/>
    </row>
    <row r="315" spans="1:21" ht="15.75" customHeight="1" x14ac:dyDescent="0.35">
      <c r="A315" s="30"/>
      <c r="B315" s="30"/>
      <c r="C315" s="30"/>
      <c r="U315" s="39"/>
    </row>
    <row r="316" spans="1:21" ht="15.75" customHeight="1" x14ac:dyDescent="0.35">
      <c r="A316" s="30"/>
      <c r="B316" s="30"/>
      <c r="C316" s="30"/>
      <c r="U316" s="39"/>
    </row>
    <row r="317" spans="1:21" ht="15.75" customHeight="1" x14ac:dyDescent="0.35">
      <c r="A317" s="30"/>
      <c r="B317" s="30"/>
      <c r="C317" s="30"/>
      <c r="U317" s="39"/>
    </row>
    <row r="318" spans="1:21" ht="15.75" customHeight="1" x14ac:dyDescent="0.35">
      <c r="A318" s="30"/>
      <c r="B318" s="30"/>
      <c r="C318" s="30"/>
      <c r="U318" s="39"/>
    </row>
    <row r="319" spans="1:21" ht="15.75" customHeight="1" x14ac:dyDescent="0.35">
      <c r="A319" s="30"/>
      <c r="B319" s="30"/>
      <c r="C319" s="30"/>
      <c r="U319" s="39"/>
    </row>
    <row r="320" spans="1:21" ht="15.75" customHeight="1" x14ac:dyDescent="0.35">
      <c r="A320" s="30"/>
      <c r="B320" s="30"/>
      <c r="C320" s="30"/>
      <c r="U320" s="39"/>
    </row>
    <row r="321" spans="1:21" ht="15.75" customHeight="1" x14ac:dyDescent="0.35">
      <c r="A321" s="30"/>
      <c r="B321" s="30"/>
      <c r="C321" s="30"/>
      <c r="U321" s="39"/>
    </row>
    <row r="322" spans="1:21" ht="15.75" customHeight="1" x14ac:dyDescent="0.35">
      <c r="A322" s="30"/>
      <c r="B322" s="30"/>
      <c r="C322" s="30"/>
      <c r="U322" s="39"/>
    </row>
    <row r="323" spans="1:21" ht="15.75" customHeight="1" x14ac:dyDescent="0.35">
      <c r="A323" s="30"/>
      <c r="B323" s="30"/>
      <c r="C323" s="30"/>
      <c r="U323" s="39"/>
    </row>
    <row r="324" spans="1:21" ht="15.75" customHeight="1" x14ac:dyDescent="0.35">
      <c r="A324" s="30"/>
      <c r="B324" s="30"/>
      <c r="C324" s="30"/>
      <c r="U324" s="39"/>
    </row>
    <row r="325" spans="1:21" ht="15.75" customHeight="1" x14ac:dyDescent="0.35">
      <c r="A325" s="30"/>
      <c r="B325" s="30"/>
      <c r="C325" s="30"/>
      <c r="U325" s="39"/>
    </row>
    <row r="326" spans="1:21" ht="15.75" customHeight="1" x14ac:dyDescent="0.35">
      <c r="A326" s="30"/>
      <c r="B326" s="30"/>
      <c r="C326" s="30"/>
      <c r="U326" s="39"/>
    </row>
    <row r="327" spans="1:21" ht="15.75" customHeight="1" x14ac:dyDescent="0.35">
      <c r="A327" s="30"/>
      <c r="B327" s="30"/>
      <c r="C327" s="30"/>
      <c r="U327" s="39"/>
    </row>
    <row r="328" spans="1:21" ht="15.75" customHeight="1" x14ac:dyDescent="0.35">
      <c r="A328" s="30"/>
      <c r="B328" s="30"/>
      <c r="C328" s="30"/>
      <c r="U328" s="39"/>
    </row>
    <row r="329" spans="1:21" ht="15.75" customHeight="1" x14ac:dyDescent="0.35">
      <c r="A329" s="30"/>
      <c r="B329" s="30"/>
      <c r="C329" s="30"/>
      <c r="U329" s="39"/>
    </row>
    <row r="330" spans="1:21" ht="15.75" customHeight="1" x14ac:dyDescent="0.35">
      <c r="A330" s="30"/>
      <c r="B330" s="30"/>
      <c r="C330" s="30"/>
      <c r="U330" s="39"/>
    </row>
    <row r="331" spans="1:21" ht="15.75" customHeight="1" x14ac:dyDescent="0.35">
      <c r="A331" s="30"/>
      <c r="B331" s="30"/>
      <c r="C331" s="30"/>
      <c r="U331" s="39"/>
    </row>
    <row r="332" spans="1:21" ht="15.75" customHeight="1" x14ac:dyDescent="0.35">
      <c r="A332" s="30"/>
      <c r="B332" s="30"/>
      <c r="C332" s="30"/>
      <c r="U332" s="39"/>
    </row>
    <row r="333" spans="1:21" ht="15.75" customHeight="1" x14ac:dyDescent="0.35">
      <c r="A333" s="30"/>
      <c r="B333" s="30"/>
      <c r="C333" s="30"/>
      <c r="U333" s="39"/>
    </row>
    <row r="334" spans="1:21" ht="15.75" customHeight="1" x14ac:dyDescent="0.35">
      <c r="A334" s="30"/>
      <c r="B334" s="30"/>
      <c r="C334" s="30"/>
      <c r="U334" s="39"/>
    </row>
    <row r="335" spans="1:21" ht="15.75" customHeight="1" x14ac:dyDescent="0.35">
      <c r="A335" s="30"/>
      <c r="B335" s="30"/>
      <c r="C335" s="30"/>
      <c r="U335" s="39"/>
    </row>
    <row r="336" spans="1:21" ht="15.75" customHeight="1" x14ac:dyDescent="0.35">
      <c r="A336" s="30"/>
      <c r="B336" s="30"/>
      <c r="C336" s="30"/>
      <c r="U336" s="39"/>
    </row>
    <row r="337" spans="1:21" ht="15.75" customHeight="1" x14ac:dyDescent="0.35">
      <c r="A337" s="30"/>
      <c r="B337" s="30"/>
      <c r="C337" s="30"/>
      <c r="U337" s="39"/>
    </row>
    <row r="338" spans="1:21" ht="15.75" customHeight="1" x14ac:dyDescent="0.35">
      <c r="A338" s="30"/>
      <c r="B338" s="30"/>
      <c r="C338" s="30"/>
      <c r="U338" s="39"/>
    </row>
    <row r="339" spans="1:21" ht="15.75" customHeight="1" x14ac:dyDescent="0.35">
      <c r="A339" s="30"/>
      <c r="B339" s="30"/>
      <c r="C339" s="30"/>
      <c r="U339" s="39"/>
    </row>
    <row r="340" spans="1:21" ht="15.75" customHeight="1" x14ac:dyDescent="0.35">
      <c r="A340" s="30"/>
      <c r="B340" s="30"/>
      <c r="C340" s="30"/>
      <c r="U340" s="39"/>
    </row>
    <row r="341" spans="1:21" ht="15.75" customHeight="1" x14ac:dyDescent="0.35">
      <c r="A341" s="30"/>
      <c r="B341" s="30"/>
      <c r="C341" s="30"/>
      <c r="U341" s="39"/>
    </row>
    <row r="342" spans="1:21" ht="15.75" customHeight="1" x14ac:dyDescent="0.35">
      <c r="A342" s="30"/>
      <c r="B342" s="30"/>
      <c r="C342" s="30"/>
      <c r="U342" s="39"/>
    </row>
    <row r="343" spans="1:21" ht="15.75" customHeight="1" x14ac:dyDescent="0.35">
      <c r="A343" s="30"/>
      <c r="B343" s="30"/>
      <c r="C343" s="30"/>
      <c r="U343" s="39"/>
    </row>
    <row r="344" spans="1:21" ht="15.75" customHeight="1" x14ac:dyDescent="0.35">
      <c r="A344" s="30"/>
      <c r="B344" s="30"/>
      <c r="C344" s="30"/>
      <c r="U344" s="39"/>
    </row>
    <row r="345" spans="1:21" ht="15.75" customHeight="1" x14ac:dyDescent="0.35">
      <c r="A345" s="30"/>
      <c r="B345" s="30"/>
      <c r="C345" s="30"/>
      <c r="U345" s="39"/>
    </row>
    <row r="346" spans="1:21" ht="15.75" customHeight="1" x14ac:dyDescent="0.35">
      <c r="A346" s="30"/>
      <c r="B346" s="30"/>
      <c r="C346" s="30"/>
      <c r="U346" s="39"/>
    </row>
    <row r="347" spans="1:21" ht="15.75" customHeight="1" x14ac:dyDescent="0.35">
      <c r="A347" s="30"/>
      <c r="B347" s="30"/>
      <c r="C347" s="30"/>
      <c r="U347" s="39"/>
    </row>
    <row r="348" spans="1:21" ht="15.75" customHeight="1" x14ac:dyDescent="0.35">
      <c r="A348" s="30"/>
      <c r="B348" s="30"/>
      <c r="C348" s="30"/>
      <c r="U348" s="39"/>
    </row>
    <row r="349" spans="1:21" ht="15.75" customHeight="1" x14ac:dyDescent="0.35">
      <c r="A349" s="30"/>
      <c r="B349" s="30"/>
      <c r="C349" s="30"/>
      <c r="U349" s="39"/>
    </row>
    <row r="350" spans="1:21" ht="15.75" customHeight="1" x14ac:dyDescent="0.35">
      <c r="A350" s="30"/>
      <c r="B350" s="30"/>
      <c r="C350" s="30"/>
      <c r="U350" s="39"/>
    </row>
    <row r="351" spans="1:21" ht="15.75" customHeight="1" x14ac:dyDescent="0.35">
      <c r="A351" s="30"/>
      <c r="B351" s="30"/>
      <c r="C351" s="30"/>
      <c r="U351" s="39"/>
    </row>
    <row r="352" spans="1:21" ht="15.75" customHeight="1" x14ac:dyDescent="0.35">
      <c r="A352" s="30"/>
      <c r="B352" s="30"/>
      <c r="C352" s="30"/>
      <c r="U352" s="39"/>
    </row>
    <row r="353" spans="1:21" ht="15.75" customHeight="1" x14ac:dyDescent="0.35">
      <c r="A353" s="30"/>
      <c r="B353" s="30"/>
      <c r="C353" s="30"/>
      <c r="U353" s="39"/>
    </row>
    <row r="354" spans="1:21" ht="15.75" customHeight="1" x14ac:dyDescent="0.35">
      <c r="A354" s="30"/>
      <c r="B354" s="30"/>
      <c r="C354" s="30"/>
      <c r="U354" s="39"/>
    </row>
    <row r="355" spans="1:21" ht="15.75" customHeight="1" x14ac:dyDescent="0.35">
      <c r="A355" s="30"/>
      <c r="B355" s="30"/>
      <c r="C355" s="30"/>
      <c r="U355" s="39"/>
    </row>
    <row r="356" spans="1:21" ht="15.75" customHeight="1" x14ac:dyDescent="0.35">
      <c r="A356" s="30"/>
      <c r="B356" s="30"/>
      <c r="C356" s="30"/>
      <c r="U356" s="39"/>
    </row>
    <row r="357" spans="1:21" ht="15.75" customHeight="1" x14ac:dyDescent="0.35">
      <c r="A357" s="30"/>
      <c r="B357" s="30"/>
      <c r="C357" s="30"/>
      <c r="U357" s="39"/>
    </row>
    <row r="358" spans="1:21" ht="15.75" customHeight="1" x14ac:dyDescent="0.35">
      <c r="A358" s="30"/>
      <c r="B358" s="30"/>
      <c r="C358" s="30"/>
      <c r="U358" s="39"/>
    </row>
    <row r="359" spans="1:21" ht="15.75" customHeight="1" x14ac:dyDescent="0.35">
      <c r="A359" s="30"/>
      <c r="B359" s="30"/>
      <c r="C359" s="30"/>
      <c r="U359" s="39"/>
    </row>
    <row r="360" spans="1:21" ht="15.75" customHeight="1" x14ac:dyDescent="0.35">
      <c r="A360" s="30"/>
      <c r="B360" s="30"/>
      <c r="C360" s="30"/>
      <c r="U360" s="39"/>
    </row>
    <row r="361" spans="1:21" ht="15.75" customHeight="1" x14ac:dyDescent="0.35">
      <c r="A361" s="30"/>
      <c r="B361" s="30"/>
      <c r="C361" s="30"/>
      <c r="U361" s="39"/>
    </row>
    <row r="362" spans="1:21" ht="15.75" customHeight="1" x14ac:dyDescent="0.35">
      <c r="A362" s="30"/>
      <c r="B362" s="30"/>
      <c r="C362" s="30"/>
      <c r="U362" s="39"/>
    </row>
    <row r="363" spans="1:21" ht="15.75" customHeight="1" x14ac:dyDescent="0.35">
      <c r="A363" s="30"/>
      <c r="B363" s="30"/>
      <c r="C363" s="30"/>
      <c r="U363" s="39"/>
    </row>
    <row r="364" spans="1:21" ht="15.75" customHeight="1" x14ac:dyDescent="0.35">
      <c r="A364" s="30"/>
      <c r="B364" s="30"/>
      <c r="C364" s="30"/>
      <c r="U364" s="39"/>
    </row>
    <row r="365" spans="1:21" ht="15.75" customHeight="1" x14ac:dyDescent="0.35">
      <c r="A365" s="30"/>
      <c r="B365" s="30"/>
      <c r="C365" s="30"/>
      <c r="U365" s="39"/>
    </row>
    <row r="366" spans="1:21" ht="15.75" customHeight="1" x14ac:dyDescent="0.35">
      <c r="A366" s="30"/>
      <c r="B366" s="30"/>
      <c r="C366" s="30"/>
      <c r="U366" s="39"/>
    </row>
    <row r="367" spans="1:21" ht="15.75" customHeight="1" x14ac:dyDescent="0.35">
      <c r="A367" s="30"/>
      <c r="B367" s="30"/>
      <c r="C367" s="30"/>
      <c r="U367" s="39"/>
    </row>
    <row r="368" spans="1:21" ht="15.75" customHeight="1" x14ac:dyDescent="0.35">
      <c r="A368" s="30"/>
      <c r="B368" s="30"/>
      <c r="C368" s="30"/>
      <c r="U368" s="39"/>
    </row>
    <row r="369" spans="1:21" ht="15.75" customHeight="1" x14ac:dyDescent="0.35">
      <c r="A369" s="30"/>
      <c r="B369" s="30"/>
      <c r="C369" s="30"/>
      <c r="U369" s="39"/>
    </row>
    <row r="370" spans="1:21" ht="15.75" customHeight="1" x14ac:dyDescent="0.35">
      <c r="A370" s="30"/>
      <c r="B370" s="30"/>
      <c r="C370" s="30"/>
      <c r="U370" s="39"/>
    </row>
    <row r="371" spans="1:21" ht="15.75" customHeight="1" x14ac:dyDescent="0.35">
      <c r="A371" s="30"/>
      <c r="B371" s="30"/>
      <c r="C371" s="30"/>
      <c r="U371" s="39"/>
    </row>
    <row r="372" spans="1:21" ht="15.75" customHeight="1" x14ac:dyDescent="0.35">
      <c r="A372" s="30"/>
      <c r="B372" s="30"/>
      <c r="C372" s="30"/>
      <c r="U372" s="39"/>
    </row>
    <row r="373" spans="1:21" ht="15.75" customHeight="1" x14ac:dyDescent="0.35">
      <c r="A373" s="30"/>
      <c r="B373" s="30"/>
      <c r="C373" s="30"/>
      <c r="U373" s="39"/>
    </row>
    <row r="374" spans="1:21" ht="15.75" customHeight="1" x14ac:dyDescent="0.35">
      <c r="A374" s="30"/>
      <c r="B374" s="30"/>
      <c r="C374" s="30"/>
      <c r="U374" s="39"/>
    </row>
    <row r="375" spans="1:21" ht="15.75" customHeight="1" x14ac:dyDescent="0.35">
      <c r="A375" s="30"/>
      <c r="B375" s="30"/>
      <c r="C375" s="30"/>
      <c r="U375" s="39"/>
    </row>
    <row r="376" spans="1:21" ht="15.75" customHeight="1" x14ac:dyDescent="0.35">
      <c r="A376" s="30"/>
      <c r="B376" s="30"/>
      <c r="C376" s="30"/>
      <c r="U376" s="39"/>
    </row>
    <row r="377" spans="1:21" ht="15.75" customHeight="1" x14ac:dyDescent="0.35">
      <c r="A377" s="30"/>
      <c r="B377" s="30"/>
      <c r="C377" s="30"/>
      <c r="U377" s="39"/>
    </row>
    <row r="378" spans="1:21" ht="15.75" customHeight="1" x14ac:dyDescent="0.35">
      <c r="A378" s="30"/>
      <c r="B378" s="30"/>
      <c r="C378" s="30"/>
      <c r="U378" s="39"/>
    </row>
    <row r="379" spans="1:21" ht="15.75" customHeight="1" x14ac:dyDescent="0.35">
      <c r="A379" s="30"/>
      <c r="B379" s="30"/>
      <c r="C379" s="30"/>
      <c r="U379" s="39"/>
    </row>
    <row r="380" spans="1:21" ht="15.75" customHeight="1" x14ac:dyDescent="0.35">
      <c r="A380" s="30"/>
      <c r="B380" s="30"/>
      <c r="C380" s="30"/>
      <c r="U380" s="39"/>
    </row>
    <row r="381" spans="1:21" ht="15.75" customHeight="1" x14ac:dyDescent="0.35">
      <c r="A381" s="30"/>
      <c r="B381" s="30"/>
      <c r="C381" s="30"/>
      <c r="U381" s="39"/>
    </row>
    <row r="382" spans="1:21" ht="15.75" customHeight="1" x14ac:dyDescent="0.35">
      <c r="A382" s="30"/>
      <c r="B382" s="30"/>
      <c r="C382" s="30"/>
      <c r="U382" s="39"/>
    </row>
    <row r="383" spans="1:21" ht="15.75" customHeight="1" x14ac:dyDescent="0.35">
      <c r="A383" s="30"/>
      <c r="B383" s="30"/>
      <c r="C383" s="30"/>
      <c r="U383" s="39"/>
    </row>
    <row r="384" spans="1:21" ht="15.75" customHeight="1" x14ac:dyDescent="0.35">
      <c r="A384" s="30"/>
      <c r="B384" s="30"/>
      <c r="C384" s="30"/>
      <c r="U384" s="39"/>
    </row>
    <row r="385" spans="1:21" ht="15.75" customHeight="1" x14ac:dyDescent="0.35">
      <c r="A385" s="30"/>
      <c r="B385" s="30"/>
      <c r="C385" s="30"/>
      <c r="U385" s="39"/>
    </row>
    <row r="386" spans="1:21" ht="15.75" customHeight="1" x14ac:dyDescent="0.35">
      <c r="A386" s="30"/>
      <c r="B386" s="30"/>
      <c r="C386" s="30"/>
      <c r="U386" s="39"/>
    </row>
    <row r="387" spans="1:21" ht="15.75" customHeight="1" x14ac:dyDescent="0.35">
      <c r="A387" s="30"/>
      <c r="B387" s="30"/>
      <c r="C387" s="30"/>
      <c r="U387" s="39"/>
    </row>
    <row r="388" spans="1:21" ht="15.75" customHeight="1" x14ac:dyDescent="0.35">
      <c r="A388" s="30"/>
      <c r="B388" s="30"/>
      <c r="C388" s="30"/>
      <c r="U388" s="39"/>
    </row>
    <row r="389" spans="1:21" ht="15.75" customHeight="1" x14ac:dyDescent="0.35">
      <c r="A389" s="30"/>
      <c r="B389" s="30"/>
      <c r="C389" s="30"/>
      <c r="U389" s="39"/>
    </row>
    <row r="390" spans="1:21" ht="15.75" customHeight="1" x14ac:dyDescent="0.35">
      <c r="A390" s="30"/>
      <c r="B390" s="30"/>
      <c r="C390" s="30"/>
      <c r="U390" s="39"/>
    </row>
    <row r="391" spans="1:21" ht="15.75" customHeight="1" x14ac:dyDescent="0.35">
      <c r="A391" s="30"/>
      <c r="B391" s="30"/>
      <c r="C391" s="30"/>
      <c r="U391" s="39"/>
    </row>
    <row r="392" spans="1:21" ht="15.75" customHeight="1" x14ac:dyDescent="0.35">
      <c r="A392" s="30"/>
      <c r="B392" s="30"/>
      <c r="C392" s="30"/>
      <c r="U392" s="39"/>
    </row>
    <row r="393" spans="1:21" ht="15.75" customHeight="1" x14ac:dyDescent="0.35">
      <c r="A393" s="30"/>
      <c r="B393" s="30"/>
      <c r="C393" s="30"/>
      <c r="U393" s="39"/>
    </row>
    <row r="394" spans="1:21" ht="15.75" customHeight="1" x14ac:dyDescent="0.35">
      <c r="A394" s="30"/>
      <c r="B394" s="30"/>
      <c r="C394" s="30"/>
      <c r="U394" s="39"/>
    </row>
    <row r="395" spans="1:21" ht="15.75" customHeight="1" x14ac:dyDescent="0.35">
      <c r="A395" s="30"/>
      <c r="B395" s="30"/>
      <c r="C395" s="30"/>
      <c r="U395" s="39"/>
    </row>
    <row r="396" spans="1:21" ht="15.75" customHeight="1" x14ac:dyDescent="0.35">
      <c r="A396" s="30"/>
      <c r="B396" s="30"/>
      <c r="C396" s="30"/>
      <c r="U396" s="39"/>
    </row>
    <row r="397" spans="1:21" ht="15.75" customHeight="1" x14ac:dyDescent="0.35">
      <c r="A397" s="30"/>
      <c r="B397" s="30"/>
      <c r="C397" s="30"/>
      <c r="U397" s="39"/>
    </row>
    <row r="398" spans="1:21" ht="15.75" customHeight="1" x14ac:dyDescent="0.35">
      <c r="A398" s="30"/>
      <c r="B398" s="30"/>
      <c r="C398" s="30"/>
      <c r="U398" s="39"/>
    </row>
    <row r="399" spans="1:21" ht="15.75" customHeight="1" x14ac:dyDescent="0.35">
      <c r="A399" s="30"/>
      <c r="B399" s="30"/>
      <c r="C399" s="30"/>
      <c r="U399" s="39"/>
    </row>
    <row r="400" spans="1:21" ht="15.75" customHeight="1" x14ac:dyDescent="0.35">
      <c r="A400" s="30"/>
      <c r="B400" s="30"/>
      <c r="C400" s="30"/>
      <c r="U400" s="39"/>
    </row>
    <row r="401" spans="1:21" ht="15.75" customHeight="1" x14ac:dyDescent="0.35">
      <c r="A401" s="30"/>
      <c r="B401" s="30"/>
      <c r="C401" s="30"/>
      <c r="U401" s="39"/>
    </row>
    <row r="402" spans="1:21" ht="15.75" customHeight="1" x14ac:dyDescent="0.35">
      <c r="A402" s="30"/>
      <c r="B402" s="30"/>
      <c r="C402" s="30"/>
      <c r="U402" s="39"/>
    </row>
    <row r="403" spans="1:21" ht="15.75" customHeight="1" x14ac:dyDescent="0.35">
      <c r="A403" s="30"/>
      <c r="B403" s="30"/>
      <c r="C403" s="30"/>
      <c r="U403" s="39"/>
    </row>
    <row r="404" spans="1:21" ht="15.75" customHeight="1" x14ac:dyDescent="0.35">
      <c r="A404" s="30"/>
      <c r="B404" s="30"/>
      <c r="C404" s="30"/>
      <c r="U404" s="39"/>
    </row>
    <row r="405" spans="1:21" ht="15.75" customHeight="1" x14ac:dyDescent="0.35">
      <c r="A405" s="30"/>
      <c r="B405" s="30"/>
      <c r="C405" s="30"/>
      <c r="U405" s="39"/>
    </row>
    <row r="406" spans="1:21" ht="15.75" customHeight="1" x14ac:dyDescent="0.35">
      <c r="A406" s="30"/>
      <c r="B406" s="30"/>
      <c r="C406" s="30"/>
      <c r="U406" s="39"/>
    </row>
    <row r="407" spans="1:21" ht="15.75" customHeight="1" x14ac:dyDescent="0.35">
      <c r="A407" s="30"/>
      <c r="B407" s="30"/>
      <c r="C407" s="30"/>
      <c r="U407" s="39"/>
    </row>
    <row r="408" spans="1:21" ht="15.75" customHeight="1" x14ac:dyDescent="0.35">
      <c r="A408" s="30"/>
      <c r="B408" s="30"/>
      <c r="C408" s="30"/>
      <c r="U408" s="39"/>
    </row>
    <row r="409" spans="1:21" ht="15.75" customHeight="1" x14ac:dyDescent="0.35">
      <c r="A409" s="30"/>
      <c r="B409" s="30"/>
      <c r="C409" s="30"/>
      <c r="U409" s="39"/>
    </row>
    <row r="410" spans="1:21" ht="15.75" customHeight="1" x14ac:dyDescent="0.35">
      <c r="A410" s="30"/>
      <c r="B410" s="30"/>
      <c r="C410" s="30"/>
      <c r="U410" s="39"/>
    </row>
    <row r="411" spans="1:21" ht="15.75" customHeight="1" x14ac:dyDescent="0.35">
      <c r="A411" s="30"/>
      <c r="B411" s="30"/>
      <c r="C411" s="30"/>
      <c r="U411" s="39"/>
    </row>
    <row r="412" spans="1:21" ht="15.75" customHeight="1" x14ac:dyDescent="0.35">
      <c r="A412" s="30"/>
      <c r="B412" s="30"/>
      <c r="C412" s="30"/>
      <c r="U412" s="39"/>
    </row>
    <row r="413" spans="1:21" ht="15.75" customHeight="1" x14ac:dyDescent="0.35">
      <c r="A413" s="30"/>
      <c r="B413" s="30"/>
      <c r="C413" s="30"/>
      <c r="U413" s="39"/>
    </row>
    <row r="414" spans="1:21" ht="15.75" customHeight="1" x14ac:dyDescent="0.35">
      <c r="A414" s="30"/>
      <c r="B414" s="30"/>
      <c r="C414" s="30"/>
      <c r="U414" s="39"/>
    </row>
    <row r="415" spans="1:21" ht="15.75" customHeight="1" x14ac:dyDescent="0.35">
      <c r="A415" s="30"/>
      <c r="B415" s="30"/>
      <c r="C415" s="30"/>
      <c r="U415" s="39"/>
    </row>
    <row r="416" spans="1:21" ht="15.75" customHeight="1" x14ac:dyDescent="0.35">
      <c r="A416" s="30"/>
      <c r="B416" s="30"/>
      <c r="C416" s="30"/>
      <c r="U416" s="39"/>
    </row>
    <row r="417" spans="1:21" ht="15.75" customHeight="1" x14ac:dyDescent="0.35">
      <c r="A417" s="30"/>
      <c r="B417" s="30"/>
      <c r="C417" s="30"/>
      <c r="U417" s="39"/>
    </row>
    <row r="418" spans="1:21" ht="15.75" customHeight="1" x14ac:dyDescent="0.35">
      <c r="A418" s="30"/>
      <c r="B418" s="30"/>
      <c r="C418" s="30"/>
      <c r="U418" s="39"/>
    </row>
    <row r="419" spans="1:21" ht="15.75" customHeight="1" x14ac:dyDescent="0.35">
      <c r="A419" s="30"/>
      <c r="B419" s="30"/>
      <c r="C419" s="30"/>
      <c r="U419" s="39"/>
    </row>
    <row r="420" spans="1:21" ht="15.75" customHeight="1" x14ac:dyDescent="0.35">
      <c r="A420" s="30"/>
      <c r="B420" s="30"/>
      <c r="C420" s="30"/>
      <c r="U420" s="39"/>
    </row>
    <row r="421" spans="1:21" ht="15.75" customHeight="1" x14ac:dyDescent="0.35">
      <c r="A421" s="30"/>
      <c r="B421" s="30"/>
      <c r="C421" s="30"/>
      <c r="U421" s="39"/>
    </row>
    <row r="422" spans="1:21" ht="15.75" customHeight="1" x14ac:dyDescent="0.35">
      <c r="A422" s="30"/>
      <c r="B422" s="30"/>
      <c r="C422" s="30"/>
      <c r="U422" s="39"/>
    </row>
    <row r="423" spans="1:21" ht="15.75" customHeight="1" x14ac:dyDescent="0.35">
      <c r="A423" s="30"/>
      <c r="B423" s="30"/>
      <c r="C423" s="30"/>
      <c r="U423" s="39"/>
    </row>
    <row r="424" spans="1:21" ht="15.75" customHeight="1" x14ac:dyDescent="0.35">
      <c r="A424" s="30"/>
      <c r="B424" s="30"/>
      <c r="C424" s="30"/>
      <c r="U424" s="39"/>
    </row>
    <row r="425" spans="1:21" ht="15.75" customHeight="1" x14ac:dyDescent="0.35">
      <c r="A425" s="30"/>
      <c r="B425" s="30"/>
      <c r="C425" s="30"/>
      <c r="U425" s="39"/>
    </row>
    <row r="426" spans="1:21" ht="15.75" customHeight="1" x14ac:dyDescent="0.35">
      <c r="A426" s="30"/>
      <c r="B426" s="30"/>
      <c r="C426" s="30"/>
      <c r="U426" s="39"/>
    </row>
    <row r="427" spans="1:21" ht="15.75" customHeight="1" x14ac:dyDescent="0.35">
      <c r="A427" s="30"/>
      <c r="B427" s="30"/>
      <c r="C427" s="30"/>
      <c r="U427" s="39"/>
    </row>
    <row r="428" spans="1:21" ht="15.75" customHeight="1" x14ac:dyDescent="0.35">
      <c r="A428" s="30"/>
      <c r="B428" s="30"/>
      <c r="C428" s="30"/>
      <c r="U428" s="39"/>
    </row>
    <row r="429" spans="1:21" ht="15.75" customHeight="1" x14ac:dyDescent="0.35">
      <c r="A429" s="30"/>
      <c r="B429" s="30"/>
      <c r="C429" s="30"/>
      <c r="U429" s="39"/>
    </row>
    <row r="430" spans="1:21" ht="15.75" customHeight="1" x14ac:dyDescent="0.35">
      <c r="A430" s="30"/>
      <c r="B430" s="30"/>
      <c r="C430" s="30"/>
      <c r="U430" s="39"/>
    </row>
    <row r="431" spans="1:21" ht="15.75" customHeight="1" x14ac:dyDescent="0.35">
      <c r="A431" s="30"/>
      <c r="B431" s="30"/>
      <c r="C431" s="30"/>
      <c r="U431" s="39"/>
    </row>
    <row r="432" spans="1:21" ht="15.75" customHeight="1" x14ac:dyDescent="0.35">
      <c r="A432" s="30"/>
      <c r="B432" s="30"/>
      <c r="C432" s="30"/>
      <c r="U432" s="39"/>
    </row>
    <row r="433" spans="1:21" ht="15.75" customHeight="1" x14ac:dyDescent="0.35">
      <c r="A433" s="30"/>
      <c r="B433" s="30"/>
      <c r="C433" s="30"/>
      <c r="U433" s="39"/>
    </row>
    <row r="434" spans="1:21" ht="15.75" customHeight="1" x14ac:dyDescent="0.35">
      <c r="A434" s="30"/>
      <c r="B434" s="30"/>
      <c r="C434" s="30"/>
      <c r="U434" s="39"/>
    </row>
    <row r="435" spans="1:21" ht="15.75" customHeight="1" x14ac:dyDescent="0.35">
      <c r="A435" s="30"/>
      <c r="B435" s="30"/>
      <c r="C435" s="30"/>
      <c r="U435" s="39"/>
    </row>
    <row r="436" spans="1:21" ht="15.75" customHeight="1" x14ac:dyDescent="0.35">
      <c r="A436" s="30"/>
      <c r="B436" s="30"/>
      <c r="C436" s="30"/>
      <c r="U436" s="39"/>
    </row>
    <row r="437" spans="1:21" ht="15.75" customHeight="1" x14ac:dyDescent="0.35">
      <c r="A437" s="30"/>
      <c r="B437" s="30"/>
      <c r="C437" s="30"/>
      <c r="U437" s="39"/>
    </row>
    <row r="438" spans="1:21" ht="15.75" customHeight="1" x14ac:dyDescent="0.35">
      <c r="A438" s="30"/>
      <c r="B438" s="30"/>
      <c r="C438" s="30"/>
      <c r="U438" s="39"/>
    </row>
    <row r="439" spans="1:21" ht="15.75" customHeight="1" x14ac:dyDescent="0.35">
      <c r="A439" s="30"/>
      <c r="B439" s="30"/>
      <c r="C439" s="30"/>
      <c r="U439" s="39"/>
    </row>
    <row r="440" spans="1:21" ht="15.75" customHeight="1" x14ac:dyDescent="0.35">
      <c r="A440" s="30"/>
      <c r="B440" s="30"/>
      <c r="C440" s="30"/>
      <c r="U440" s="39"/>
    </row>
    <row r="441" spans="1:21" ht="15.75" customHeight="1" x14ac:dyDescent="0.35">
      <c r="A441" s="30"/>
      <c r="B441" s="30"/>
      <c r="C441" s="30"/>
      <c r="U441" s="39"/>
    </row>
    <row r="442" spans="1:21" ht="15.75" customHeight="1" x14ac:dyDescent="0.35">
      <c r="A442" s="30"/>
      <c r="B442" s="30"/>
      <c r="C442" s="30"/>
      <c r="U442" s="39"/>
    </row>
    <row r="443" spans="1:21" ht="15.75" customHeight="1" x14ac:dyDescent="0.35">
      <c r="A443" s="30"/>
      <c r="B443" s="30"/>
      <c r="C443" s="30"/>
      <c r="U443" s="39"/>
    </row>
    <row r="444" spans="1:21" ht="15.75" customHeight="1" x14ac:dyDescent="0.35">
      <c r="A444" s="30"/>
      <c r="B444" s="30"/>
      <c r="C444" s="30"/>
      <c r="U444" s="39"/>
    </row>
    <row r="445" spans="1:21" ht="15.75" customHeight="1" x14ac:dyDescent="0.35">
      <c r="A445" s="30"/>
      <c r="B445" s="30"/>
      <c r="C445" s="30"/>
      <c r="U445" s="39"/>
    </row>
    <row r="446" spans="1:21" ht="15.75" customHeight="1" x14ac:dyDescent="0.35">
      <c r="A446" s="30"/>
      <c r="B446" s="30"/>
      <c r="C446" s="30"/>
      <c r="U446" s="39"/>
    </row>
    <row r="447" spans="1:21" ht="15.75" customHeight="1" x14ac:dyDescent="0.35">
      <c r="A447" s="30"/>
      <c r="B447" s="30"/>
      <c r="C447" s="30"/>
      <c r="U447" s="39"/>
    </row>
    <row r="448" spans="1:21" ht="15.75" customHeight="1" x14ac:dyDescent="0.35">
      <c r="A448" s="30"/>
      <c r="B448" s="30"/>
      <c r="C448" s="30"/>
      <c r="U448" s="39"/>
    </row>
    <row r="449" spans="1:21" ht="15.75" customHeight="1" x14ac:dyDescent="0.35">
      <c r="A449" s="30"/>
      <c r="B449" s="30"/>
      <c r="C449" s="30"/>
      <c r="U449" s="39"/>
    </row>
    <row r="450" spans="1:21" ht="15.75" customHeight="1" x14ac:dyDescent="0.35">
      <c r="A450" s="30"/>
      <c r="B450" s="30"/>
      <c r="C450" s="30"/>
      <c r="U450" s="39"/>
    </row>
    <row r="451" spans="1:21" ht="15.75" customHeight="1" x14ac:dyDescent="0.35">
      <c r="A451" s="30"/>
      <c r="B451" s="30"/>
      <c r="C451" s="30"/>
      <c r="U451" s="39"/>
    </row>
    <row r="452" spans="1:21" ht="15.75" customHeight="1" x14ac:dyDescent="0.35">
      <c r="A452" s="30"/>
      <c r="B452" s="30"/>
      <c r="C452" s="30"/>
      <c r="U452" s="39"/>
    </row>
    <row r="453" spans="1:21" ht="15.75" customHeight="1" x14ac:dyDescent="0.35">
      <c r="A453" s="30"/>
      <c r="B453" s="30"/>
      <c r="C453" s="30"/>
      <c r="U453" s="39"/>
    </row>
    <row r="454" spans="1:21" ht="15.75" customHeight="1" x14ac:dyDescent="0.35">
      <c r="A454" s="30"/>
      <c r="B454" s="30"/>
      <c r="C454" s="30"/>
      <c r="U454" s="39"/>
    </row>
    <row r="455" spans="1:21" ht="15.75" customHeight="1" x14ac:dyDescent="0.35">
      <c r="A455" s="30"/>
      <c r="B455" s="30"/>
      <c r="C455" s="30"/>
      <c r="U455" s="39"/>
    </row>
    <row r="456" spans="1:21" ht="15.75" customHeight="1" x14ac:dyDescent="0.35">
      <c r="A456" s="30"/>
      <c r="B456" s="30"/>
      <c r="C456" s="30"/>
      <c r="U456" s="39"/>
    </row>
    <row r="457" spans="1:21" ht="15.75" customHeight="1" x14ac:dyDescent="0.35">
      <c r="A457" s="30"/>
      <c r="B457" s="30"/>
      <c r="C457" s="30"/>
      <c r="U457" s="39"/>
    </row>
    <row r="458" spans="1:21" ht="15.75" customHeight="1" x14ac:dyDescent="0.35">
      <c r="A458" s="30"/>
      <c r="B458" s="30"/>
      <c r="C458" s="30"/>
      <c r="U458" s="39"/>
    </row>
    <row r="459" spans="1:21" ht="15.75" customHeight="1" x14ac:dyDescent="0.35">
      <c r="A459" s="30"/>
      <c r="B459" s="30"/>
      <c r="C459" s="30"/>
      <c r="U459" s="39"/>
    </row>
    <row r="460" spans="1:21" ht="15.75" customHeight="1" x14ac:dyDescent="0.35">
      <c r="A460" s="30"/>
      <c r="B460" s="30"/>
      <c r="C460" s="30"/>
      <c r="U460" s="39"/>
    </row>
    <row r="461" spans="1:21" ht="15.75" customHeight="1" x14ac:dyDescent="0.35">
      <c r="A461" s="30"/>
      <c r="B461" s="30"/>
      <c r="C461" s="30"/>
      <c r="U461" s="39"/>
    </row>
    <row r="462" spans="1:21" ht="15.75" customHeight="1" x14ac:dyDescent="0.35">
      <c r="A462" s="30"/>
      <c r="B462" s="30"/>
      <c r="C462" s="30"/>
      <c r="U462" s="39"/>
    </row>
    <row r="463" spans="1:21" ht="15.75" customHeight="1" x14ac:dyDescent="0.35">
      <c r="A463" s="30"/>
      <c r="B463" s="30"/>
      <c r="C463" s="30"/>
      <c r="U463" s="39"/>
    </row>
    <row r="464" spans="1:21" ht="15.75" customHeight="1" x14ac:dyDescent="0.35">
      <c r="A464" s="30"/>
      <c r="B464" s="30"/>
      <c r="C464" s="30"/>
      <c r="U464" s="39"/>
    </row>
    <row r="465" spans="1:21" ht="15.75" customHeight="1" x14ac:dyDescent="0.35">
      <c r="A465" s="30"/>
      <c r="B465" s="30"/>
      <c r="C465" s="30"/>
      <c r="U465" s="39"/>
    </row>
    <row r="466" spans="1:21" ht="15.75" customHeight="1" x14ac:dyDescent="0.35">
      <c r="A466" s="30"/>
      <c r="B466" s="30"/>
      <c r="C466" s="30"/>
      <c r="U466" s="39"/>
    </row>
    <row r="467" spans="1:21" ht="15.75" customHeight="1" x14ac:dyDescent="0.35">
      <c r="A467" s="30"/>
      <c r="B467" s="30"/>
      <c r="C467" s="30"/>
      <c r="U467" s="39"/>
    </row>
    <row r="468" spans="1:21" ht="15.75" customHeight="1" x14ac:dyDescent="0.35">
      <c r="A468" s="30"/>
      <c r="B468" s="30"/>
      <c r="C468" s="30"/>
      <c r="U468" s="39"/>
    </row>
    <row r="469" spans="1:21" ht="15.75" customHeight="1" x14ac:dyDescent="0.35">
      <c r="A469" s="30"/>
      <c r="B469" s="30"/>
      <c r="C469" s="30"/>
      <c r="U469" s="39"/>
    </row>
    <row r="470" spans="1:21" ht="15.75" customHeight="1" x14ac:dyDescent="0.35">
      <c r="A470" s="30"/>
      <c r="B470" s="30"/>
      <c r="C470" s="30"/>
      <c r="U470" s="39"/>
    </row>
    <row r="471" spans="1:21" ht="15.75" customHeight="1" x14ac:dyDescent="0.35">
      <c r="A471" s="30"/>
      <c r="B471" s="30"/>
      <c r="C471" s="30"/>
      <c r="U471" s="39"/>
    </row>
    <row r="472" spans="1:21" ht="15.75" customHeight="1" x14ac:dyDescent="0.35">
      <c r="A472" s="30"/>
      <c r="B472" s="30"/>
      <c r="C472" s="30"/>
      <c r="U472" s="39"/>
    </row>
    <row r="473" spans="1:21" ht="15.75" customHeight="1" x14ac:dyDescent="0.35">
      <c r="A473" s="30"/>
      <c r="B473" s="30"/>
      <c r="C473" s="30"/>
      <c r="U473" s="39"/>
    </row>
    <row r="474" spans="1:21" ht="15.75" customHeight="1" x14ac:dyDescent="0.35">
      <c r="A474" s="30"/>
      <c r="B474" s="30"/>
      <c r="C474" s="30"/>
      <c r="U474" s="39"/>
    </row>
    <row r="475" spans="1:21" ht="15.75" customHeight="1" x14ac:dyDescent="0.35">
      <c r="A475" s="30"/>
      <c r="B475" s="30"/>
      <c r="C475" s="30"/>
      <c r="U475" s="39"/>
    </row>
    <row r="476" spans="1:21" ht="15.75" customHeight="1" x14ac:dyDescent="0.35">
      <c r="A476" s="30"/>
      <c r="B476" s="30"/>
      <c r="C476" s="30"/>
      <c r="U476" s="39"/>
    </row>
    <row r="477" spans="1:21" ht="15.75" customHeight="1" x14ac:dyDescent="0.35">
      <c r="A477" s="30"/>
      <c r="B477" s="30"/>
      <c r="C477" s="30"/>
      <c r="U477" s="39"/>
    </row>
    <row r="478" spans="1:21" ht="15.75" customHeight="1" x14ac:dyDescent="0.35">
      <c r="A478" s="30"/>
      <c r="B478" s="30"/>
      <c r="C478" s="30"/>
      <c r="U478" s="39"/>
    </row>
    <row r="479" spans="1:21" ht="15.75" customHeight="1" x14ac:dyDescent="0.35">
      <c r="A479" s="30"/>
      <c r="B479" s="30"/>
      <c r="C479" s="30"/>
      <c r="U479" s="39"/>
    </row>
    <row r="480" spans="1:21" ht="15.75" customHeight="1" x14ac:dyDescent="0.35">
      <c r="A480" s="30"/>
      <c r="B480" s="30"/>
      <c r="C480" s="30"/>
      <c r="U480" s="39"/>
    </row>
    <row r="481" spans="1:21" ht="15.75" customHeight="1" x14ac:dyDescent="0.35">
      <c r="A481" s="30"/>
      <c r="B481" s="30"/>
      <c r="C481" s="30"/>
      <c r="U481" s="39"/>
    </row>
    <row r="482" spans="1:21" ht="15.75" customHeight="1" x14ac:dyDescent="0.35">
      <c r="A482" s="30"/>
      <c r="B482" s="30"/>
      <c r="C482" s="30"/>
      <c r="U482" s="39"/>
    </row>
    <row r="483" spans="1:21" ht="15.75" customHeight="1" x14ac:dyDescent="0.35">
      <c r="A483" s="30"/>
      <c r="B483" s="30"/>
      <c r="C483" s="30"/>
      <c r="U483" s="39"/>
    </row>
    <row r="484" spans="1:21" ht="15.75" customHeight="1" x14ac:dyDescent="0.35">
      <c r="A484" s="30"/>
      <c r="B484" s="30"/>
      <c r="C484" s="30"/>
      <c r="U484" s="39"/>
    </row>
    <row r="485" spans="1:21" ht="15.75" customHeight="1" x14ac:dyDescent="0.35">
      <c r="A485" s="30"/>
      <c r="B485" s="30"/>
      <c r="C485" s="30"/>
      <c r="U485" s="39"/>
    </row>
    <row r="486" spans="1:21" ht="15.75" customHeight="1" x14ac:dyDescent="0.35">
      <c r="A486" s="30"/>
      <c r="B486" s="30"/>
      <c r="C486" s="30"/>
      <c r="U486" s="39"/>
    </row>
    <row r="487" spans="1:21" ht="15.75" customHeight="1" x14ac:dyDescent="0.35">
      <c r="A487" s="30"/>
      <c r="B487" s="30"/>
      <c r="C487" s="30"/>
      <c r="U487" s="39"/>
    </row>
    <row r="488" spans="1:21" ht="15.75" customHeight="1" x14ac:dyDescent="0.35">
      <c r="A488" s="30"/>
      <c r="B488" s="30"/>
      <c r="C488" s="30"/>
      <c r="U488" s="39"/>
    </row>
    <row r="489" spans="1:21" ht="15.75" customHeight="1" x14ac:dyDescent="0.35">
      <c r="A489" s="30"/>
      <c r="B489" s="30"/>
      <c r="C489" s="30"/>
      <c r="U489" s="39"/>
    </row>
    <row r="490" spans="1:21" ht="15.75" customHeight="1" x14ac:dyDescent="0.35">
      <c r="A490" s="30"/>
      <c r="B490" s="30"/>
      <c r="C490" s="30"/>
      <c r="U490" s="39"/>
    </row>
    <row r="491" spans="1:21" ht="15.75" customHeight="1" x14ac:dyDescent="0.35">
      <c r="A491" s="30"/>
      <c r="B491" s="30"/>
      <c r="C491" s="30"/>
      <c r="U491" s="39"/>
    </row>
    <row r="492" spans="1:21" ht="15.75" customHeight="1" x14ac:dyDescent="0.35">
      <c r="A492" s="30"/>
      <c r="B492" s="30"/>
      <c r="C492" s="30"/>
      <c r="U492" s="39"/>
    </row>
    <row r="493" spans="1:21" ht="15.75" customHeight="1" x14ac:dyDescent="0.35">
      <c r="A493" s="30"/>
      <c r="B493" s="30"/>
      <c r="C493" s="30"/>
      <c r="U493" s="39"/>
    </row>
    <row r="494" spans="1:21" ht="15.75" customHeight="1" x14ac:dyDescent="0.35">
      <c r="A494" s="30"/>
      <c r="B494" s="30"/>
      <c r="C494" s="30"/>
      <c r="U494" s="39"/>
    </row>
    <row r="495" spans="1:21" ht="15.75" customHeight="1" x14ac:dyDescent="0.35">
      <c r="A495" s="30"/>
      <c r="B495" s="30"/>
      <c r="C495" s="30"/>
      <c r="U495" s="39"/>
    </row>
    <row r="496" spans="1:21" ht="15.75" customHeight="1" x14ac:dyDescent="0.35">
      <c r="A496" s="30"/>
      <c r="B496" s="30"/>
      <c r="C496" s="30"/>
      <c r="U496" s="39"/>
    </row>
    <row r="497" spans="1:21" ht="15.75" customHeight="1" x14ac:dyDescent="0.35">
      <c r="A497" s="30"/>
      <c r="B497" s="30"/>
      <c r="C497" s="30"/>
      <c r="U497" s="39"/>
    </row>
    <row r="498" spans="1:21" ht="15.75" customHeight="1" x14ac:dyDescent="0.35">
      <c r="A498" s="30"/>
      <c r="B498" s="30"/>
      <c r="C498" s="30"/>
      <c r="U498" s="39"/>
    </row>
    <row r="499" spans="1:21" ht="15.75" customHeight="1" x14ac:dyDescent="0.35">
      <c r="A499" s="30"/>
      <c r="B499" s="30"/>
      <c r="C499" s="30"/>
      <c r="U499" s="39"/>
    </row>
    <row r="500" spans="1:21" ht="15.75" customHeight="1" x14ac:dyDescent="0.35">
      <c r="A500" s="30"/>
      <c r="B500" s="30"/>
      <c r="C500" s="30"/>
      <c r="U500" s="39"/>
    </row>
    <row r="501" spans="1:21" ht="15.75" customHeight="1" x14ac:dyDescent="0.35">
      <c r="A501" s="30"/>
      <c r="B501" s="30"/>
      <c r="C501" s="30"/>
      <c r="U501" s="39"/>
    </row>
    <row r="502" spans="1:21" ht="15.75" customHeight="1" x14ac:dyDescent="0.35">
      <c r="A502" s="30"/>
      <c r="B502" s="30"/>
      <c r="C502" s="30"/>
      <c r="U502" s="39"/>
    </row>
    <row r="503" spans="1:21" ht="15.75" customHeight="1" x14ac:dyDescent="0.35">
      <c r="A503" s="30"/>
      <c r="B503" s="30"/>
      <c r="C503" s="30"/>
      <c r="U503" s="39"/>
    </row>
    <row r="504" spans="1:21" ht="15.75" customHeight="1" x14ac:dyDescent="0.35">
      <c r="A504" s="30"/>
      <c r="B504" s="30"/>
      <c r="C504" s="30"/>
      <c r="U504" s="39"/>
    </row>
    <row r="505" spans="1:21" ht="15.75" customHeight="1" x14ac:dyDescent="0.35">
      <c r="A505" s="30"/>
      <c r="B505" s="30"/>
      <c r="C505" s="30"/>
      <c r="U505" s="39"/>
    </row>
    <row r="506" spans="1:21" ht="15.75" customHeight="1" x14ac:dyDescent="0.35">
      <c r="A506" s="30"/>
      <c r="B506" s="30"/>
      <c r="C506" s="30"/>
      <c r="U506" s="39"/>
    </row>
    <row r="507" spans="1:21" ht="15.75" customHeight="1" x14ac:dyDescent="0.35">
      <c r="A507" s="30"/>
      <c r="B507" s="30"/>
      <c r="C507" s="30"/>
      <c r="U507" s="39"/>
    </row>
    <row r="508" spans="1:21" ht="15.75" customHeight="1" x14ac:dyDescent="0.35">
      <c r="A508" s="30"/>
      <c r="B508" s="30"/>
      <c r="C508" s="30"/>
      <c r="U508" s="39"/>
    </row>
    <row r="509" spans="1:21" ht="15.75" customHeight="1" x14ac:dyDescent="0.35">
      <c r="A509" s="30"/>
      <c r="B509" s="30"/>
      <c r="C509" s="30"/>
      <c r="U509" s="39"/>
    </row>
    <row r="510" spans="1:21" ht="15.75" customHeight="1" x14ac:dyDescent="0.35">
      <c r="A510" s="30"/>
      <c r="B510" s="30"/>
      <c r="C510" s="30"/>
      <c r="U510" s="39"/>
    </row>
    <row r="511" spans="1:21" ht="15.75" customHeight="1" x14ac:dyDescent="0.35">
      <c r="A511" s="30"/>
      <c r="B511" s="30"/>
      <c r="C511" s="30"/>
      <c r="U511" s="39"/>
    </row>
    <row r="512" spans="1:21" ht="15.75" customHeight="1" x14ac:dyDescent="0.35">
      <c r="A512" s="30"/>
      <c r="B512" s="30"/>
      <c r="C512" s="30"/>
      <c r="U512" s="39"/>
    </row>
    <row r="513" spans="1:21" ht="15.75" customHeight="1" x14ac:dyDescent="0.35">
      <c r="A513" s="30"/>
      <c r="B513" s="30"/>
      <c r="C513" s="30"/>
      <c r="U513" s="39"/>
    </row>
    <row r="514" spans="1:21" ht="15.75" customHeight="1" x14ac:dyDescent="0.35">
      <c r="A514" s="30"/>
      <c r="B514" s="30"/>
      <c r="C514" s="30"/>
      <c r="U514" s="39"/>
    </row>
    <row r="515" spans="1:21" ht="15.75" customHeight="1" x14ac:dyDescent="0.35">
      <c r="A515" s="30"/>
      <c r="B515" s="30"/>
      <c r="C515" s="30"/>
      <c r="U515" s="39"/>
    </row>
    <row r="516" spans="1:21" ht="15.75" customHeight="1" x14ac:dyDescent="0.35">
      <c r="A516" s="30"/>
      <c r="B516" s="30"/>
      <c r="C516" s="30"/>
      <c r="U516" s="39"/>
    </row>
    <row r="517" spans="1:21" ht="15.75" customHeight="1" x14ac:dyDescent="0.35">
      <c r="A517" s="30"/>
      <c r="B517" s="30"/>
      <c r="C517" s="30"/>
      <c r="U517" s="39"/>
    </row>
    <row r="518" spans="1:21" ht="15.75" customHeight="1" x14ac:dyDescent="0.35">
      <c r="A518" s="30"/>
      <c r="B518" s="30"/>
      <c r="C518" s="30"/>
      <c r="U518" s="39"/>
    </row>
    <row r="519" spans="1:21" ht="15.75" customHeight="1" x14ac:dyDescent="0.35">
      <c r="A519" s="30"/>
      <c r="B519" s="30"/>
      <c r="C519" s="30"/>
      <c r="U519" s="39"/>
    </row>
    <row r="520" spans="1:21" ht="15.75" customHeight="1" x14ac:dyDescent="0.35">
      <c r="A520" s="30"/>
      <c r="B520" s="30"/>
      <c r="C520" s="30"/>
      <c r="U520" s="39"/>
    </row>
    <row r="521" spans="1:21" ht="15.75" customHeight="1" x14ac:dyDescent="0.35">
      <c r="A521" s="30"/>
      <c r="B521" s="30"/>
      <c r="C521" s="30"/>
      <c r="U521" s="39"/>
    </row>
    <row r="522" spans="1:21" ht="15.75" customHeight="1" x14ac:dyDescent="0.35">
      <c r="A522" s="30"/>
      <c r="B522" s="30"/>
      <c r="C522" s="30"/>
      <c r="U522" s="39"/>
    </row>
    <row r="523" spans="1:21" ht="15.75" customHeight="1" x14ac:dyDescent="0.35">
      <c r="A523" s="30"/>
      <c r="B523" s="30"/>
      <c r="C523" s="30"/>
      <c r="U523" s="39"/>
    </row>
    <row r="524" spans="1:21" ht="15.75" customHeight="1" x14ac:dyDescent="0.35">
      <c r="A524" s="30"/>
      <c r="B524" s="30"/>
      <c r="C524" s="30"/>
      <c r="U524" s="39"/>
    </row>
    <row r="525" spans="1:21" ht="15.75" customHeight="1" x14ac:dyDescent="0.35">
      <c r="A525" s="30"/>
      <c r="B525" s="30"/>
      <c r="C525" s="30"/>
      <c r="U525" s="39"/>
    </row>
    <row r="526" spans="1:21" ht="15.75" customHeight="1" x14ac:dyDescent="0.35">
      <c r="A526" s="30"/>
      <c r="B526" s="30"/>
      <c r="C526" s="30"/>
      <c r="U526" s="39"/>
    </row>
    <row r="527" spans="1:21" ht="15.75" customHeight="1" x14ac:dyDescent="0.35">
      <c r="A527" s="30"/>
      <c r="B527" s="30"/>
      <c r="C527" s="30"/>
      <c r="U527" s="39"/>
    </row>
    <row r="528" spans="1:21" ht="15.75" customHeight="1" x14ac:dyDescent="0.35">
      <c r="A528" s="30"/>
      <c r="B528" s="30"/>
      <c r="C528" s="30"/>
      <c r="U528" s="39"/>
    </row>
    <row r="529" spans="1:21" ht="15.75" customHeight="1" x14ac:dyDescent="0.35">
      <c r="A529" s="30"/>
      <c r="B529" s="30"/>
      <c r="C529" s="30"/>
      <c r="U529" s="39"/>
    </row>
    <row r="530" spans="1:21" ht="15.75" customHeight="1" x14ac:dyDescent="0.35">
      <c r="A530" s="30"/>
      <c r="B530" s="30"/>
      <c r="C530" s="30"/>
      <c r="U530" s="39"/>
    </row>
    <row r="531" spans="1:21" ht="15.75" customHeight="1" x14ac:dyDescent="0.35">
      <c r="A531" s="30"/>
      <c r="B531" s="30"/>
      <c r="C531" s="30"/>
      <c r="U531" s="39"/>
    </row>
    <row r="532" spans="1:21" ht="15.75" customHeight="1" x14ac:dyDescent="0.35">
      <c r="A532" s="30"/>
      <c r="B532" s="30"/>
      <c r="C532" s="30"/>
      <c r="U532" s="39"/>
    </row>
    <row r="533" spans="1:21" ht="15.75" customHeight="1" x14ac:dyDescent="0.35">
      <c r="A533" s="30"/>
      <c r="B533" s="30"/>
      <c r="C533" s="30"/>
      <c r="U533" s="39"/>
    </row>
    <row r="534" spans="1:21" ht="15.75" customHeight="1" x14ac:dyDescent="0.35">
      <c r="A534" s="30"/>
      <c r="B534" s="30"/>
      <c r="C534" s="30"/>
      <c r="U534" s="39"/>
    </row>
    <row r="535" spans="1:21" ht="15.75" customHeight="1" x14ac:dyDescent="0.35">
      <c r="A535" s="30"/>
      <c r="B535" s="30"/>
      <c r="C535" s="30"/>
      <c r="U535" s="39"/>
    </row>
    <row r="536" spans="1:21" ht="15.75" customHeight="1" x14ac:dyDescent="0.35">
      <c r="A536" s="30"/>
      <c r="B536" s="30"/>
      <c r="C536" s="30"/>
      <c r="U536" s="39"/>
    </row>
    <row r="537" spans="1:21" ht="15.75" customHeight="1" x14ac:dyDescent="0.35">
      <c r="A537" s="30"/>
      <c r="B537" s="30"/>
      <c r="C537" s="30"/>
      <c r="U537" s="39"/>
    </row>
    <row r="538" spans="1:21" ht="15.75" customHeight="1" x14ac:dyDescent="0.35">
      <c r="A538" s="30"/>
      <c r="B538" s="30"/>
      <c r="C538" s="30"/>
      <c r="U538" s="39"/>
    </row>
    <row r="539" spans="1:21" ht="15.75" customHeight="1" x14ac:dyDescent="0.35">
      <c r="A539" s="30"/>
      <c r="B539" s="30"/>
      <c r="C539" s="30"/>
      <c r="U539" s="39"/>
    </row>
    <row r="540" spans="1:21" ht="15.75" customHeight="1" x14ac:dyDescent="0.35">
      <c r="A540" s="30"/>
      <c r="B540" s="30"/>
      <c r="C540" s="30"/>
      <c r="U540" s="39"/>
    </row>
    <row r="541" spans="1:21" ht="15.75" customHeight="1" x14ac:dyDescent="0.35">
      <c r="A541" s="30"/>
      <c r="B541" s="30"/>
      <c r="C541" s="30"/>
      <c r="U541" s="39"/>
    </row>
    <row r="542" spans="1:21" ht="15.75" customHeight="1" x14ac:dyDescent="0.35">
      <c r="A542" s="30"/>
      <c r="B542" s="30"/>
      <c r="C542" s="30"/>
      <c r="U542" s="39"/>
    </row>
    <row r="543" spans="1:21" ht="15.75" customHeight="1" x14ac:dyDescent="0.35">
      <c r="A543" s="30"/>
      <c r="B543" s="30"/>
      <c r="C543" s="30"/>
      <c r="U543" s="39"/>
    </row>
    <row r="544" spans="1:21" ht="15.75" customHeight="1" x14ac:dyDescent="0.35">
      <c r="A544" s="30"/>
      <c r="B544" s="30"/>
      <c r="C544" s="30"/>
      <c r="U544" s="39"/>
    </row>
    <row r="545" spans="1:21" ht="15.75" customHeight="1" x14ac:dyDescent="0.35">
      <c r="A545" s="30"/>
      <c r="B545" s="30"/>
      <c r="C545" s="30"/>
      <c r="U545" s="39"/>
    </row>
    <row r="546" spans="1:21" ht="15.75" customHeight="1" x14ac:dyDescent="0.35">
      <c r="A546" s="30"/>
      <c r="B546" s="30"/>
      <c r="C546" s="30"/>
      <c r="U546" s="39"/>
    </row>
    <row r="547" spans="1:21" ht="15.75" customHeight="1" x14ac:dyDescent="0.35">
      <c r="A547" s="30"/>
      <c r="B547" s="30"/>
      <c r="C547" s="30"/>
      <c r="U547" s="39"/>
    </row>
    <row r="548" spans="1:21" ht="15.75" customHeight="1" x14ac:dyDescent="0.35">
      <c r="A548" s="30"/>
      <c r="B548" s="30"/>
      <c r="C548" s="30"/>
      <c r="U548" s="39"/>
    </row>
    <row r="549" spans="1:21" ht="15.75" customHeight="1" x14ac:dyDescent="0.35">
      <c r="A549" s="30"/>
      <c r="B549" s="30"/>
      <c r="C549" s="30"/>
      <c r="U549" s="39"/>
    </row>
    <row r="550" spans="1:21" ht="15.75" customHeight="1" x14ac:dyDescent="0.35">
      <c r="A550" s="30"/>
      <c r="B550" s="30"/>
      <c r="C550" s="30"/>
      <c r="U550" s="39"/>
    </row>
    <row r="551" spans="1:21" ht="15.75" customHeight="1" x14ac:dyDescent="0.35">
      <c r="A551" s="30"/>
      <c r="B551" s="30"/>
      <c r="C551" s="30"/>
      <c r="U551" s="39"/>
    </row>
    <row r="552" spans="1:21" ht="15.75" customHeight="1" x14ac:dyDescent="0.35">
      <c r="A552" s="30"/>
      <c r="B552" s="30"/>
      <c r="C552" s="30"/>
      <c r="U552" s="39"/>
    </row>
    <row r="553" spans="1:21" ht="15.75" customHeight="1" x14ac:dyDescent="0.35">
      <c r="A553" s="30"/>
      <c r="B553" s="30"/>
      <c r="C553" s="30"/>
      <c r="U553" s="39"/>
    </row>
    <row r="554" spans="1:21" ht="15.75" customHeight="1" x14ac:dyDescent="0.35">
      <c r="A554" s="30"/>
      <c r="B554" s="30"/>
      <c r="C554" s="30"/>
      <c r="U554" s="39"/>
    </row>
    <row r="555" spans="1:21" ht="15.75" customHeight="1" x14ac:dyDescent="0.35">
      <c r="A555" s="30"/>
      <c r="B555" s="30"/>
      <c r="C555" s="30"/>
      <c r="U555" s="39"/>
    </row>
    <row r="556" spans="1:21" ht="15.75" customHeight="1" x14ac:dyDescent="0.35">
      <c r="A556" s="30"/>
      <c r="B556" s="30"/>
      <c r="C556" s="30"/>
      <c r="U556" s="39"/>
    </row>
    <row r="557" spans="1:21" ht="15.75" customHeight="1" x14ac:dyDescent="0.35">
      <c r="A557" s="30"/>
      <c r="B557" s="30"/>
      <c r="C557" s="30"/>
      <c r="U557" s="39"/>
    </row>
    <row r="558" spans="1:21" ht="15.75" customHeight="1" x14ac:dyDescent="0.35">
      <c r="A558" s="30"/>
      <c r="B558" s="30"/>
      <c r="C558" s="30"/>
      <c r="U558" s="39"/>
    </row>
    <row r="559" spans="1:21" ht="15.75" customHeight="1" x14ac:dyDescent="0.35">
      <c r="A559" s="30"/>
      <c r="B559" s="30"/>
      <c r="C559" s="30"/>
      <c r="U559" s="39"/>
    </row>
    <row r="560" spans="1:21" ht="15.75" customHeight="1" x14ac:dyDescent="0.35">
      <c r="A560" s="30"/>
      <c r="B560" s="30"/>
      <c r="C560" s="30"/>
      <c r="U560" s="39"/>
    </row>
    <row r="561" spans="1:21" ht="15.75" customHeight="1" x14ac:dyDescent="0.35">
      <c r="A561" s="30"/>
      <c r="B561" s="30"/>
      <c r="C561" s="30"/>
      <c r="U561" s="39"/>
    </row>
    <row r="562" spans="1:21" ht="15.75" customHeight="1" x14ac:dyDescent="0.35">
      <c r="A562" s="30"/>
      <c r="B562" s="30"/>
      <c r="C562" s="30"/>
      <c r="U562" s="39"/>
    </row>
    <row r="563" spans="1:21" ht="15.75" customHeight="1" x14ac:dyDescent="0.35">
      <c r="A563" s="30"/>
      <c r="B563" s="30"/>
      <c r="C563" s="30"/>
      <c r="U563" s="39"/>
    </row>
    <row r="564" spans="1:21" ht="15.75" customHeight="1" x14ac:dyDescent="0.35">
      <c r="A564" s="30"/>
      <c r="B564" s="30"/>
      <c r="C564" s="30"/>
      <c r="U564" s="39"/>
    </row>
    <row r="565" spans="1:21" ht="15.75" customHeight="1" x14ac:dyDescent="0.35">
      <c r="A565" s="30"/>
      <c r="B565" s="30"/>
      <c r="C565" s="30"/>
      <c r="U565" s="39"/>
    </row>
    <row r="566" spans="1:21" ht="15.75" customHeight="1" x14ac:dyDescent="0.35">
      <c r="A566" s="30"/>
      <c r="B566" s="30"/>
      <c r="C566" s="30"/>
      <c r="U566" s="39"/>
    </row>
    <row r="567" spans="1:21" ht="15.75" customHeight="1" x14ac:dyDescent="0.35">
      <c r="A567" s="30"/>
      <c r="B567" s="30"/>
      <c r="C567" s="30"/>
      <c r="U567" s="39"/>
    </row>
    <row r="568" spans="1:21" ht="15.75" customHeight="1" x14ac:dyDescent="0.35">
      <c r="A568" s="30"/>
      <c r="B568" s="30"/>
      <c r="C568" s="30"/>
      <c r="U568" s="39"/>
    </row>
    <row r="569" spans="1:21" ht="15.75" customHeight="1" x14ac:dyDescent="0.35">
      <c r="A569" s="30"/>
      <c r="B569" s="30"/>
      <c r="C569" s="30"/>
      <c r="U569" s="39"/>
    </row>
    <row r="570" spans="1:21" ht="15.75" customHeight="1" x14ac:dyDescent="0.35">
      <c r="A570" s="30"/>
      <c r="B570" s="30"/>
      <c r="C570" s="30"/>
      <c r="U570" s="39"/>
    </row>
    <row r="571" spans="1:21" ht="15.75" customHeight="1" x14ac:dyDescent="0.35">
      <c r="A571" s="30"/>
      <c r="B571" s="30"/>
      <c r="C571" s="30"/>
      <c r="U571" s="39"/>
    </row>
    <row r="572" spans="1:21" ht="15.75" customHeight="1" x14ac:dyDescent="0.35">
      <c r="A572" s="30"/>
      <c r="B572" s="30"/>
      <c r="C572" s="30"/>
      <c r="U572" s="39"/>
    </row>
    <row r="573" spans="1:21" ht="15.75" customHeight="1" x14ac:dyDescent="0.35">
      <c r="A573" s="30"/>
      <c r="B573" s="30"/>
      <c r="C573" s="30"/>
      <c r="U573" s="39"/>
    </row>
    <row r="574" spans="1:21" ht="15.75" customHeight="1" x14ac:dyDescent="0.35">
      <c r="A574" s="30"/>
      <c r="B574" s="30"/>
      <c r="C574" s="30"/>
      <c r="U574" s="39"/>
    </row>
    <row r="575" spans="1:21" ht="15.75" customHeight="1" x14ac:dyDescent="0.35">
      <c r="A575" s="30"/>
      <c r="B575" s="30"/>
      <c r="C575" s="30"/>
      <c r="U575" s="39"/>
    </row>
    <row r="576" spans="1:21" ht="15.75" customHeight="1" x14ac:dyDescent="0.35">
      <c r="A576" s="30"/>
      <c r="B576" s="30"/>
      <c r="C576" s="30"/>
      <c r="U576" s="39"/>
    </row>
    <row r="577" spans="1:21" ht="15.75" customHeight="1" x14ac:dyDescent="0.35">
      <c r="A577" s="30"/>
      <c r="B577" s="30"/>
      <c r="C577" s="30"/>
      <c r="U577" s="39"/>
    </row>
    <row r="578" spans="1:21" ht="15.75" customHeight="1" x14ac:dyDescent="0.35">
      <c r="A578" s="30"/>
      <c r="B578" s="30"/>
      <c r="C578" s="30"/>
      <c r="U578" s="39"/>
    </row>
    <row r="579" spans="1:21" ht="15.75" customHeight="1" x14ac:dyDescent="0.35">
      <c r="A579" s="30"/>
      <c r="B579" s="30"/>
      <c r="C579" s="30"/>
      <c r="U579" s="39"/>
    </row>
    <row r="580" spans="1:21" ht="15.75" customHeight="1" x14ac:dyDescent="0.35">
      <c r="A580" s="30"/>
      <c r="B580" s="30"/>
      <c r="C580" s="30"/>
      <c r="U580" s="39"/>
    </row>
    <row r="581" spans="1:21" ht="15.75" customHeight="1" x14ac:dyDescent="0.35">
      <c r="A581" s="30"/>
      <c r="B581" s="30"/>
      <c r="C581" s="30"/>
      <c r="U581" s="39"/>
    </row>
    <row r="582" spans="1:21" ht="15.75" customHeight="1" x14ac:dyDescent="0.35">
      <c r="A582" s="30"/>
      <c r="B582" s="30"/>
      <c r="C582" s="30"/>
      <c r="U582" s="39"/>
    </row>
    <row r="583" spans="1:21" ht="15.75" customHeight="1" x14ac:dyDescent="0.35">
      <c r="A583" s="30"/>
      <c r="B583" s="30"/>
      <c r="C583" s="30"/>
      <c r="U583" s="39"/>
    </row>
    <row r="584" spans="1:21" ht="15.75" customHeight="1" x14ac:dyDescent="0.35">
      <c r="A584" s="30"/>
      <c r="B584" s="30"/>
      <c r="C584" s="30"/>
      <c r="U584" s="39"/>
    </row>
    <row r="585" spans="1:21" ht="15.75" customHeight="1" x14ac:dyDescent="0.35">
      <c r="A585" s="30"/>
      <c r="B585" s="30"/>
      <c r="C585" s="30"/>
      <c r="U585" s="39"/>
    </row>
    <row r="586" spans="1:21" ht="15.75" customHeight="1" x14ac:dyDescent="0.35">
      <c r="A586" s="30"/>
      <c r="B586" s="30"/>
      <c r="C586" s="30"/>
      <c r="U586" s="39"/>
    </row>
    <row r="587" spans="1:21" ht="15.75" customHeight="1" x14ac:dyDescent="0.35">
      <c r="A587" s="30"/>
      <c r="B587" s="30"/>
      <c r="C587" s="30"/>
      <c r="U587" s="39"/>
    </row>
    <row r="588" spans="1:21" ht="15.75" customHeight="1" x14ac:dyDescent="0.35">
      <c r="A588" s="30"/>
      <c r="B588" s="30"/>
      <c r="C588" s="30"/>
      <c r="U588" s="39"/>
    </row>
    <row r="589" spans="1:21" ht="15.75" customHeight="1" x14ac:dyDescent="0.35">
      <c r="A589" s="30"/>
      <c r="B589" s="30"/>
      <c r="C589" s="30"/>
      <c r="U589" s="39"/>
    </row>
    <row r="590" spans="1:21" ht="15.75" customHeight="1" x14ac:dyDescent="0.35">
      <c r="A590" s="30"/>
      <c r="B590" s="30"/>
      <c r="C590" s="30"/>
      <c r="U590" s="39"/>
    </row>
    <row r="591" spans="1:21" ht="15.75" customHeight="1" x14ac:dyDescent="0.35">
      <c r="A591" s="30"/>
      <c r="B591" s="30"/>
      <c r="C591" s="30"/>
      <c r="U591" s="39"/>
    </row>
    <row r="592" spans="1:21" ht="15.75" customHeight="1" x14ac:dyDescent="0.35">
      <c r="A592" s="30"/>
      <c r="B592" s="30"/>
      <c r="C592" s="30"/>
      <c r="U592" s="39"/>
    </row>
    <row r="593" spans="1:21" ht="15.75" customHeight="1" x14ac:dyDescent="0.35">
      <c r="A593" s="30"/>
      <c r="B593" s="30"/>
      <c r="C593" s="30"/>
      <c r="U593" s="39"/>
    </row>
    <row r="594" spans="1:21" ht="15.75" customHeight="1" x14ac:dyDescent="0.35">
      <c r="A594" s="30"/>
      <c r="B594" s="30"/>
      <c r="C594" s="30"/>
      <c r="U594" s="39"/>
    </row>
    <row r="595" spans="1:21" ht="15.75" customHeight="1" x14ac:dyDescent="0.35">
      <c r="A595" s="30"/>
      <c r="B595" s="30"/>
      <c r="C595" s="30"/>
      <c r="U595" s="39"/>
    </row>
    <row r="596" spans="1:21" ht="15.75" customHeight="1" x14ac:dyDescent="0.35">
      <c r="A596" s="30"/>
      <c r="B596" s="30"/>
      <c r="C596" s="30"/>
      <c r="U596" s="39"/>
    </row>
    <row r="597" spans="1:21" ht="15.75" customHeight="1" x14ac:dyDescent="0.35">
      <c r="A597" s="30"/>
      <c r="B597" s="30"/>
      <c r="C597" s="30"/>
      <c r="U597" s="39"/>
    </row>
    <row r="598" spans="1:21" ht="15.75" customHeight="1" x14ac:dyDescent="0.35">
      <c r="A598" s="30"/>
      <c r="B598" s="30"/>
      <c r="C598" s="30"/>
      <c r="U598" s="39"/>
    </row>
    <row r="599" spans="1:21" ht="15.75" customHeight="1" x14ac:dyDescent="0.35">
      <c r="A599" s="30"/>
      <c r="B599" s="30"/>
      <c r="C599" s="30"/>
      <c r="U599" s="39"/>
    </row>
    <row r="600" spans="1:21" ht="15.75" customHeight="1" x14ac:dyDescent="0.35">
      <c r="A600" s="30"/>
      <c r="B600" s="30"/>
      <c r="C600" s="30"/>
      <c r="U600" s="39"/>
    </row>
    <row r="601" spans="1:21" ht="15.75" customHeight="1" x14ac:dyDescent="0.35">
      <c r="A601" s="30"/>
      <c r="B601" s="30"/>
      <c r="C601" s="30"/>
      <c r="U601" s="39"/>
    </row>
    <row r="602" spans="1:21" ht="15.75" customHeight="1" x14ac:dyDescent="0.35">
      <c r="A602" s="30"/>
      <c r="B602" s="30"/>
      <c r="C602" s="30"/>
      <c r="U602" s="39"/>
    </row>
    <row r="603" spans="1:21" ht="15.75" customHeight="1" x14ac:dyDescent="0.35">
      <c r="A603" s="30"/>
      <c r="B603" s="30"/>
      <c r="C603" s="30"/>
      <c r="U603" s="39"/>
    </row>
    <row r="604" spans="1:21" ht="15.75" customHeight="1" x14ac:dyDescent="0.35">
      <c r="A604" s="30"/>
      <c r="B604" s="30"/>
      <c r="C604" s="30"/>
      <c r="U604" s="39"/>
    </row>
    <row r="605" spans="1:21" ht="15.75" customHeight="1" x14ac:dyDescent="0.35">
      <c r="A605" s="30"/>
      <c r="B605" s="30"/>
      <c r="C605" s="30"/>
      <c r="U605" s="39"/>
    </row>
    <row r="606" spans="1:21" ht="15.75" customHeight="1" x14ac:dyDescent="0.35">
      <c r="A606" s="30"/>
      <c r="B606" s="30"/>
      <c r="C606" s="30"/>
      <c r="U606" s="39"/>
    </row>
    <row r="607" spans="1:21" ht="15.75" customHeight="1" x14ac:dyDescent="0.35">
      <c r="A607" s="30"/>
      <c r="B607" s="30"/>
      <c r="C607" s="30"/>
      <c r="U607" s="39"/>
    </row>
    <row r="608" spans="1:21" ht="15.75" customHeight="1" x14ac:dyDescent="0.35">
      <c r="A608" s="30"/>
      <c r="B608" s="30"/>
      <c r="C608" s="30"/>
      <c r="U608" s="39"/>
    </row>
    <row r="609" spans="1:21" ht="15.75" customHeight="1" x14ac:dyDescent="0.35">
      <c r="A609" s="30"/>
      <c r="B609" s="30"/>
      <c r="C609" s="30"/>
      <c r="U609" s="39"/>
    </row>
    <row r="610" spans="1:21" ht="15.75" customHeight="1" x14ac:dyDescent="0.35">
      <c r="A610" s="30"/>
      <c r="B610" s="30"/>
      <c r="C610" s="30"/>
      <c r="U610" s="39"/>
    </row>
    <row r="611" spans="1:21" ht="15.75" customHeight="1" x14ac:dyDescent="0.35">
      <c r="A611" s="30"/>
      <c r="B611" s="30"/>
      <c r="C611" s="30"/>
      <c r="U611" s="39"/>
    </row>
    <row r="612" spans="1:21" ht="15.75" customHeight="1" x14ac:dyDescent="0.35">
      <c r="A612" s="30"/>
      <c r="B612" s="30"/>
      <c r="C612" s="30"/>
      <c r="U612" s="39"/>
    </row>
    <row r="613" spans="1:21" ht="15.75" customHeight="1" x14ac:dyDescent="0.35">
      <c r="A613" s="30"/>
      <c r="B613" s="30"/>
      <c r="C613" s="30"/>
      <c r="U613" s="39"/>
    </row>
    <row r="614" spans="1:21" ht="15.75" customHeight="1" x14ac:dyDescent="0.35">
      <c r="A614" s="30"/>
      <c r="B614" s="30"/>
      <c r="C614" s="30"/>
      <c r="U614" s="39"/>
    </row>
    <row r="615" spans="1:21" ht="15.75" customHeight="1" x14ac:dyDescent="0.35">
      <c r="A615" s="30"/>
      <c r="B615" s="30"/>
      <c r="C615" s="30"/>
      <c r="U615" s="39"/>
    </row>
    <row r="616" spans="1:21" ht="15.75" customHeight="1" x14ac:dyDescent="0.35">
      <c r="A616" s="30"/>
      <c r="B616" s="30"/>
      <c r="C616" s="30"/>
      <c r="U616" s="39"/>
    </row>
    <row r="617" spans="1:21" ht="15.75" customHeight="1" x14ac:dyDescent="0.35">
      <c r="A617" s="30"/>
      <c r="B617" s="30"/>
      <c r="C617" s="30"/>
      <c r="U617" s="39"/>
    </row>
    <row r="618" spans="1:21" ht="15.75" customHeight="1" x14ac:dyDescent="0.35">
      <c r="A618" s="30"/>
      <c r="B618" s="30"/>
      <c r="C618" s="30"/>
      <c r="U618" s="39"/>
    </row>
    <row r="619" spans="1:21" ht="15.75" customHeight="1" x14ac:dyDescent="0.35">
      <c r="A619" s="30"/>
      <c r="B619" s="30"/>
      <c r="C619" s="30"/>
      <c r="U619" s="39"/>
    </row>
    <row r="620" spans="1:21" ht="15.75" customHeight="1" x14ac:dyDescent="0.35">
      <c r="A620" s="30"/>
      <c r="B620" s="30"/>
      <c r="C620" s="30"/>
      <c r="U620" s="39"/>
    </row>
    <row r="621" spans="1:21" ht="15.75" customHeight="1" x14ac:dyDescent="0.35">
      <c r="A621" s="30"/>
      <c r="B621" s="30"/>
      <c r="C621" s="30"/>
      <c r="U621" s="39"/>
    </row>
    <row r="622" spans="1:21" ht="15.75" customHeight="1" x14ac:dyDescent="0.35">
      <c r="A622" s="30"/>
      <c r="B622" s="30"/>
      <c r="C622" s="30"/>
      <c r="U622" s="39"/>
    </row>
    <row r="623" spans="1:21" ht="15.75" customHeight="1" x14ac:dyDescent="0.35">
      <c r="A623" s="30"/>
      <c r="B623" s="30"/>
      <c r="C623" s="30"/>
      <c r="U623" s="39"/>
    </row>
    <row r="624" spans="1:21" ht="15.75" customHeight="1" x14ac:dyDescent="0.35">
      <c r="A624" s="30"/>
      <c r="B624" s="30"/>
      <c r="C624" s="30"/>
      <c r="U624" s="39"/>
    </row>
    <row r="625" spans="1:21" ht="15.75" customHeight="1" x14ac:dyDescent="0.35">
      <c r="A625" s="30"/>
      <c r="B625" s="30"/>
      <c r="C625" s="30"/>
      <c r="U625" s="39"/>
    </row>
    <row r="626" spans="1:21" ht="15.75" customHeight="1" x14ac:dyDescent="0.35">
      <c r="A626" s="30"/>
      <c r="B626" s="30"/>
      <c r="C626" s="30"/>
      <c r="U626" s="39"/>
    </row>
    <row r="627" spans="1:21" ht="15.75" customHeight="1" x14ac:dyDescent="0.35">
      <c r="A627" s="30"/>
      <c r="B627" s="30"/>
      <c r="C627" s="30"/>
      <c r="U627" s="39"/>
    </row>
    <row r="628" spans="1:21" ht="15.75" customHeight="1" x14ac:dyDescent="0.35">
      <c r="A628" s="30"/>
      <c r="B628" s="30"/>
      <c r="C628" s="30"/>
      <c r="U628" s="39"/>
    </row>
    <row r="629" spans="1:21" ht="15.75" customHeight="1" x14ac:dyDescent="0.35">
      <c r="A629" s="30"/>
      <c r="B629" s="30"/>
      <c r="C629" s="30"/>
      <c r="U629" s="39"/>
    </row>
    <row r="630" spans="1:21" ht="15.75" customHeight="1" x14ac:dyDescent="0.35">
      <c r="A630" s="30"/>
      <c r="B630" s="30"/>
      <c r="C630" s="30"/>
      <c r="U630" s="39"/>
    </row>
    <row r="631" spans="1:21" ht="15.75" customHeight="1" x14ac:dyDescent="0.35">
      <c r="A631" s="30"/>
      <c r="B631" s="30"/>
      <c r="C631" s="30"/>
      <c r="U631" s="39"/>
    </row>
    <row r="632" spans="1:21" ht="15.75" customHeight="1" x14ac:dyDescent="0.35">
      <c r="A632" s="30"/>
      <c r="B632" s="30"/>
      <c r="C632" s="30"/>
      <c r="U632" s="39"/>
    </row>
    <row r="633" spans="1:21" ht="15.75" customHeight="1" x14ac:dyDescent="0.35">
      <c r="A633" s="30"/>
      <c r="B633" s="30"/>
      <c r="C633" s="30"/>
      <c r="U633" s="39"/>
    </row>
    <row r="634" spans="1:21" ht="15.75" customHeight="1" x14ac:dyDescent="0.35">
      <c r="A634" s="30"/>
      <c r="B634" s="30"/>
      <c r="C634" s="30"/>
      <c r="U634" s="39"/>
    </row>
    <row r="635" spans="1:21" ht="15.75" customHeight="1" x14ac:dyDescent="0.35">
      <c r="A635" s="30"/>
      <c r="B635" s="30"/>
      <c r="C635" s="30"/>
      <c r="U635" s="39"/>
    </row>
    <row r="636" spans="1:21" ht="15.75" customHeight="1" x14ac:dyDescent="0.35">
      <c r="A636" s="30"/>
      <c r="B636" s="30"/>
      <c r="C636" s="30"/>
      <c r="U636" s="39"/>
    </row>
    <row r="637" spans="1:21" ht="15.75" customHeight="1" x14ac:dyDescent="0.35">
      <c r="A637" s="30"/>
      <c r="B637" s="30"/>
      <c r="C637" s="30"/>
      <c r="U637" s="39"/>
    </row>
    <row r="638" spans="1:21" ht="15.75" customHeight="1" x14ac:dyDescent="0.35">
      <c r="A638" s="30"/>
      <c r="B638" s="30"/>
      <c r="C638" s="30"/>
      <c r="U638" s="39"/>
    </row>
    <row r="639" spans="1:21" ht="15.75" customHeight="1" x14ac:dyDescent="0.35">
      <c r="A639" s="30"/>
      <c r="B639" s="30"/>
      <c r="C639" s="30"/>
      <c r="U639" s="39"/>
    </row>
    <row r="640" spans="1:21" ht="15.75" customHeight="1" x14ac:dyDescent="0.35">
      <c r="A640" s="30"/>
      <c r="B640" s="30"/>
      <c r="C640" s="30"/>
      <c r="U640" s="39"/>
    </row>
    <row r="641" spans="1:21" ht="15.75" customHeight="1" x14ac:dyDescent="0.35">
      <c r="A641" s="30"/>
      <c r="B641" s="30"/>
      <c r="C641" s="30"/>
      <c r="U641" s="39"/>
    </row>
    <row r="642" spans="1:21" ht="15.75" customHeight="1" x14ac:dyDescent="0.35">
      <c r="A642" s="30"/>
      <c r="B642" s="30"/>
      <c r="C642" s="30"/>
      <c r="U642" s="39"/>
    </row>
    <row r="643" spans="1:21" ht="15.75" customHeight="1" x14ac:dyDescent="0.35">
      <c r="A643" s="30"/>
      <c r="B643" s="30"/>
      <c r="C643" s="30"/>
      <c r="U643" s="39"/>
    </row>
    <row r="644" spans="1:21" ht="15.75" customHeight="1" x14ac:dyDescent="0.35">
      <c r="A644" s="30"/>
      <c r="B644" s="30"/>
      <c r="C644" s="30"/>
      <c r="U644" s="39"/>
    </row>
    <row r="645" spans="1:21" ht="15.75" customHeight="1" x14ac:dyDescent="0.35">
      <c r="A645" s="30"/>
      <c r="B645" s="30"/>
      <c r="C645" s="30"/>
      <c r="U645" s="39"/>
    </row>
    <row r="646" spans="1:21" ht="15.75" customHeight="1" x14ac:dyDescent="0.35">
      <c r="A646" s="30"/>
      <c r="B646" s="30"/>
      <c r="C646" s="30"/>
      <c r="U646" s="39"/>
    </row>
    <row r="647" spans="1:21" ht="15.75" customHeight="1" x14ac:dyDescent="0.35">
      <c r="A647" s="30"/>
      <c r="B647" s="30"/>
      <c r="C647" s="30"/>
      <c r="U647" s="39"/>
    </row>
    <row r="648" spans="1:21" ht="15.75" customHeight="1" x14ac:dyDescent="0.35">
      <c r="A648" s="30"/>
      <c r="B648" s="30"/>
      <c r="C648" s="30"/>
      <c r="U648" s="39"/>
    </row>
    <row r="649" spans="1:21" ht="15.75" customHeight="1" x14ac:dyDescent="0.35">
      <c r="A649" s="30"/>
      <c r="B649" s="30"/>
      <c r="C649" s="30"/>
      <c r="U649" s="39"/>
    </row>
    <row r="650" spans="1:21" ht="15.75" customHeight="1" x14ac:dyDescent="0.35">
      <c r="A650" s="30"/>
      <c r="B650" s="30"/>
      <c r="C650" s="30"/>
      <c r="U650" s="39"/>
    </row>
    <row r="651" spans="1:21" ht="15.75" customHeight="1" x14ac:dyDescent="0.35">
      <c r="A651" s="30"/>
      <c r="B651" s="30"/>
      <c r="C651" s="30"/>
      <c r="U651" s="39"/>
    </row>
    <row r="652" spans="1:21" ht="15.75" customHeight="1" x14ac:dyDescent="0.35">
      <c r="A652" s="30"/>
      <c r="B652" s="30"/>
      <c r="C652" s="30"/>
      <c r="U652" s="39"/>
    </row>
    <row r="653" spans="1:21" ht="15.75" customHeight="1" x14ac:dyDescent="0.35">
      <c r="A653" s="30"/>
      <c r="B653" s="30"/>
      <c r="C653" s="30"/>
      <c r="U653" s="39"/>
    </row>
    <row r="654" spans="1:21" ht="15.75" customHeight="1" x14ac:dyDescent="0.35">
      <c r="A654" s="30"/>
      <c r="B654" s="30"/>
      <c r="C654" s="30"/>
      <c r="U654" s="39"/>
    </row>
    <row r="655" spans="1:21" ht="15.75" customHeight="1" x14ac:dyDescent="0.35">
      <c r="A655" s="30"/>
      <c r="B655" s="30"/>
      <c r="C655" s="30"/>
      <c r="U655" s="39"/>
    </row>
    <row r="656" spans="1:21" ht="15.75" customHeight="1" x14ac:dyDescent="0.35">
      <c r="A656" s="30"/>
      <c r="B656" s="30"/>
      <c r="C656" s="30"/>
      <c r="U656" s="39"/>
    </row>
    <row r="657" spans="1:21" ht="15.75" customHeight="1" x14ac:dyDescent="0.35">
      <c r="A657" s="30"/>
      <c r="B657" s="30"/>
      <c r="C657" s="30"/>
      <c r="U657" s="39"/>
    </row>
    <row r="658" spans="1:21" ht="15.75" customHeight="1" x14ac:dyDescent="0.35">
      <c r="A658" s="30"/>
      <c r="B658" s="30"/>
      <c r="C658" s="30"/>
      <c r="U658" s="39"/>
    </row>
    <row r="659" spans="1:21" ht="15.75" customHeight="1" x14ac:dyDescent="0.35">
      <c r="A659" s="30"/>
      <c r="B659" s="30"/>
      <c r="C659" s="30"/>
      <c r="U659" s="39"/>
    </row>
    <row r="660" spans="1:21" ht="15.75" customHeight="1" x14ac:dyDescent="0.35">
      <c r="A660" s="30"/>
      <c r="B660" s="30"/>
      <c r="C660" s="30"/>
      <c r="U660" s="39"/>
    </row>
    <row r="661" spans="1:21" ht="15.75" customHeight="1" x14ac:dyDescent="0.35">
      <c r="A661" s="30"/>
      <c r="B661" s="30"/>
      <c r="C661" s="30"/>
      <c r="U661" s="39"/>
    </row>
    <row r="662" spans="1:21" ht="15.75" customHeight="1" x14ac:dyDescent="0.35">
      <c r="A662" s="30"/>
      <c r="B662" s="30"/>
      <c r="C662" s="30"/>
      <c r="U662" s="39"/>
    </row>
    <row r="663" spans="1:21" ht="15.75" customHeight="1" x14ac:dyDescent="0.35">
      <c r="A663" s="30"/>
      <c r="B663" s="30"/>
      <c r="C663" s="30"/>
      <c r="U663" s="39"/>
    </row>
    <row r="664" spans="1:21" ht="15.75" customHeight="1" x14ac:dyDescent="0.35">
      <c r="A664" s="30"/>
      <c r="B664" s="30"/>
      <c r="C664" s="30"/>
      <c r="U664" s="39"/>
    </row>
    <row r="665" spans="1:21" ht="15.75" customHeight="1" x14ac:dyDescent="0.35">
      <c r="A665" s="30"/>
      <c r="B665" s="30"/>
      <c r="C665" s="30"/>
      <c r="U665" s="39"/>
    </row>
    <row r="666" spans="1:21" ht="15.75" customHeight="1" x14ac:dyDescent="0.35">
      <c r="A666" s="30"/>
      <c r="B666" s="30"/>
      <c r="C666" s="30"/>
      <c r="U666" s="39"/>
    </row>
    <row r="667" spans="1:21" ht="15.75" customHeight="1" x14ac:dyDescent="0.35">
      <c r="A667" s="30"/>
      <c r="B667" s="30"/>
      <c r="C667" s="30"/>
      <c r="U667" s="39"/>
    </row>
    <row r="668" spans="1:21" ht="15.75" customHeight="1" x14ac:dyDescent="0.35">
      <c r="A668" s="30"/>
      <c r="B668" s="30"/>
      <c r="C668" s="30"/>
      <c r="U668" s="39"/>
    </row>
    <row r="669" spans="1:21" ht="15.75" customHeight="1" x14ac:dyDescent="0.35">
      <c r="A669" s="30"/>
      <c r="B669" s="30"/>
      <c r="C669" s="30"/>
      <c r="U669" s="39"/>
    </row>
    <row r="670" spans="1:21" ht="15.75" customHeight="1" x14ac:dyDescent="0.35">
      <c r="A670" s="30"/>
      <c r="B670" s="30"/>
      <c r="C670" s="30"/>
      <c r="U670" s="39"/>
    </row>
    <row r="671" spans="1:21" ht="15.75" customHeight="1" x14ac:dyDescent="0.35">
      <c r="A671" s="30"/>
      <c r="B671" s="30"/>
      <c r="C671" s="30"/>
      <c r="U671" s="39"/>
    </row>
    <row r="672" spans="1:21" ht="15.75" customHeight="1" x14ac:dyDescent="0.35">
      <c r="A672" s="30"/>
      <c r="B672" s="30"/>
      <c r="C672" s="30"/>
      <c r="U672" s="39"/>
    </row>
    <row r="673" spans="1:21" ht="15.75" customHeight="1" x14ac:dyDescent="0.35">
      <c r="A673" s="30"/>
      <c r="B673" s="30"/>
      <c r="C673" s="30"/>
      <c r="U673" s="39"/>
    </row>
    <row r="674" spans="1:21" ht="15.75" customHeight="1" x14ac:dyDescent="0.35">
      <c r="A674" s="30"/>
      <c r="B674" s="30"/>
      <c r="C674" s="30"/>
      <c r="U674" s="39"/>
    </row>
    <row r="675" spans="1:21" ht="15.75" customHeight="1" x14ac:dyDescent="0.35">
      <c r="A675" s="30"/>
      <c r="B675" s="30"/>
      <c r="C675" s="30"/>
      <c r="U675" s="39"/>
    </row>
    <row r="676" spans="1:21" ht="15.75" customHeight="1" x14ac:dyDescent="0.35">
      <c r="A676" s="30"/>
      <c r="B676" s="30"/>
      <c r="C676" s="30"/>
      <c r="U676" s="39"/>
    </row>
    <row r="677" spans="1:21" ht="15.75" customHeight="1" x14ac:dyDescent="0.35">
      <c r="A677" s="30"/>
      <c r="B677" s="30"/>
      <c r="C677" s="30"/>
      <c r="U677" s="39"/>
    </row>
    <row r="678" spans="1:21" ht="15.75" customHeight="1" x14ac:dyDescent="0.35">
      <c r="A678" s="30"/>
      <c r="B678" s="30"/>
      <c r="C678" s="30"/>
      <c r="U678" s="39"/>
    </row>
    <row r="679" spans="1:21" ht="15.75" customHeight="1" x14ac:dyDescent="0.35">
      <c r="A679" s="30"/>
      <c r="B679" s="30"/>
      <c r="C679" s="30"/>
      <c r="U679" s="39"/>
    </row>
    <row r="680" spans="1:21" ht="15.75" customHeight="1" x14ac:dyDescent="0.35">
      <c r="A680" s="30"/>
      <c r="B680" s="30"/>
      <c r="C680" s="30"/>
      <c r="U680" s="39"/>
    </row>
    <row r="681" spans="1:21" ht="15.75" customHeight="1" x14ac:dyDescent="0.35">
      <c r="A681" s="30"/>
      <c r="B681" s="30"/>
      <c r="C681" s="30"/>
      <c r="U681" s="39"/>
    </row>
    <row r="682" spans="1:21" ht="15.75" customHeight="1" x14ac:dyDescent="0.35">
      <c r="A682" s="30"/>
      <c r="B682" s="30"/>
      <c r="C682" s="30"/>
      <c r="U682" s="39"/>
    </row>
    <row r="683" spans="1:21" ht="15.75" customHeight="1" x14ac:dyDescent="0.35">
      <c r="A683" s="30"/>
      <c r="B683" s="30"/>
      <c r="C683" s="30"/>
      <c r="U683" s="39"/>
    </row>
    <row r="684" spans="1:21" ht="15.75" customHeight="1" x14ac:dyDescent="0.35">
      <c r="A684" s="30"/>
      <c r="B684" s="30"/>
      <c r="C684" s="30"/>
      <c r="U684" s="39"/>
    </row>
    <row r="685" spans="1:21" ht="15.75" customHeight="1" x14ac:dyDescent="0.35">
      <c r="A685" s="30"/>
      <c r="B685" s="30"/>
      <c r="C685" s="30"/>
      <c r="U685" s="39"/>
    </row>
    <row r="686" spans="1:21" ht="15.75" customHeight="1" x14ac:dyDescent="0.35">
      <c r="A686" s="30"/>
      <c r="B686" s="30"/>
      <c r="C686" s="30"/>
      <c r="U686" s="39"/>
    </row>
    <row r="687" spans="1:21" ht="15.75" customHeight="1" x14ac:dyDescent="0.35">
      <c r="A687" s="30"/>
      <c r="B687" s="30"/>
      <c r="C687" s="30"/>
      <c r="U687" s="39"/>
    </row>
    <row r="688" spans="1:21" ht="15.75" customHeight="1" x14ac:dyDescent="0.35">
      <c r="A688" s="30"/>
      <c r="B688" s="30"/>
      <c r="C688" s="30"/>
      <c r="U688" s="39"/>
    </row>
    <row r="689" spans="1:21" ht="15.75" customHeight="1" x14ac:dyDescent="0.35">
      <c r="A689" s="30"/>
      <c r="B689" s="30"/>
      <c r="C689" s="30"/>
      <c r="U689" s="39"/>
    </row>
    <row r="690" spans="1:21" ht="15.75" customHeight="1" x14ac:dyDescent="0.35">
      <c r="A690" s="30"/>
      <c r="B690" s="30"/>
      <c r="C690" s="30"/>
      <c r="U690" s="39"/>
    </row>
    <row r="691" spans="1:21" ht="15.75" customHeight="1" x14ac:dyDescent="0.35">
      <c r="A691" s="30"/>
      <c r="B691" s="30"/>
      <c r="C691" s="30"/>
      <c r="U691" s="39"/>
    </row>
    <row r="692" spans="1:21" ht="15.75" customHeight="1" x14ac:dyDescent="0.35">
      <c r="A692" s="30"/>
      <c r="B692" s="30"/>
      <c r="C692" s="30"/>
      <c r="U692" s="39"/>
    </row>
    <row r="693" spans="1:21" ht="15.75" customHeight="1" x14ac:dyDescent="0.35">
      <c r="A693" s="30"/>
      <c r="B693" s="30"/>
      <c r="C693" s="30"/>
      <c r="U693" s="39"/>
    </row>
    <row r="694" spans="1:21" ht="15.75" customHeight="1" x14ac:dyDescent="0.35">
      <c r="A694" s="30"/>
      <c r="B694" s="30"/>
      <c r="C694" s="30"/>
      <c r="U694" s="39"/>
    </row>
    <row r="695" spans="1:21" ht="15.75" customHeight="1" x14ac:dyDescent="0.35">
      <c r="A695" s="30"/>
      <c r="B695" s="30"/>
      <c r="C695" s="30"/>
      <c r="U695" s="39"/>
    </row>
    <row r="696" spans="1:21" ht="15.75" customHeight="1" x14ac:dyDescent="0.35">
      <c r="A696" s="30"/>
      <c r="B696" s="30"/>
      <c r="C696" s="30"/>
      <c r="U696" s="39"/>
    </row>
    <row r="697" spans="1:21" ht="15.75" customHeight="1" x14ac:dyDescent="0.35">
      <c r="A697" s="30"/>
      <c r="B697" s="30"/>
      <c r="C697" s="30"/>
      <c r="U697" s="39"/>
    </row>
    <row r="698" spans="1:21" ht="15.75" customHeight="1" x14ac:dyDescent="0.35">
      <c r="A698" s="30"/>
      <c r="B698" s="30"/>
      <c r="C698" s="30"/>
      <c r="U698" s="39"/>
    </row>
    <row r="699" spans="1:21" ht="15.75" customHeight="1" x14ac:dyDescent="0.35">
      <c r="A699" s="30"/>
      <c r="B699" s="30"/>
      <c r="C699" s="30"/>
      <c r="U699" s="39"/>
    </row>
    <row r="700" spans="1:21" ht="15.75" customHeight="1" x14ac:dyDescent="0.35">
      <c r="A700" s="30"/>
      <c r="B700" s="30"/>
      <c r="C700" s="30"/>
      <c r="U700" s="39"/>
    </row>
    <row r="701" spans="1:21" ht="15.75" customHeight="1" x14ac:dyDescent="0.35">
      <c r="A701" s="30"/>
      <c r="B701" s="30"/>
      <c r="C701" s="30"/>
      <c r="U701" s="39"/>
    </row>
    <row r="702" spans="1:21" ht="15.75" customHeight="1" x14ac:dyDescent="0.35">
      <c r="A702" s="30"/>
      <c r="B702" s="30"/>
      <c r="C702" s="30"/>
      <c r="U702" s="39"/>
    </row>
    <row r="703" spans="1:21" ht="15.75" customHeight="1" x14ac:dyDescent="0.35">
      <c r="A703" s="30"/>
      <c r="B703" s="30"/>
      <c r="C703" s="30"/>
      <c r="U703" s="39"/>
    </row>
    <row r="704" spans="1:21" ht="15.75" customHeight="1" x14ac:dyDescent="0.35">
      <c r="A704" s="30"/>
      <c r="B704" s="30"/>
      <c r="C704" s="30"/>
      <c r="U704" s="39"/>
    </row>
    <row r="705" spans="1:21" ht="15.75" customHeight="1" x14ac:dyDescent="0.35">
      <c r="A705" s="30"/>
      <c r="B705" s="30"/>
      <c r="C705" s="30"/>
      <c r="U705" s="39"/>
    </row>
    <row r="706" spans="1:21" ht="15.75" customHeight="1" x14ac:dyDescent="0.35">
      <c r="A706" s="30"/>
      <c r="B706" s="30"/>
      <c r="C706" s="30"/>
      <c r="U706" s="39"/>
    </row>
    <row r="707" spans="1:21" ht="15.75" customHeight="1" x14ac:dyDescent="0.35">
      <c r="A707" s="30"/>
      <c r="B707" s="30"/>
      <c r="C707" s="30"/>
      <c r="U707" s="39"/>
    </row>
    <row r="708" spans="1:21" ht="15.75" customHeight="1" x14ac:dyDescent="0.35">
      <c r="A708" s="30"/>
      <c r="B708" s="30"/>
      <c r="C708" s="30"/>
      <c r="U708" s="39"/>
    </row>
    <row r="709" spans="1:21" ht="15.75" customHeight="1" x14ac:dyDescent="0.35">
      <c r="A709" s="30"/>
      <c r="B709" s="30"/>
      <c r="C709" s="30"/>
      <c r="U709" s="39"/>
    </row>
    <row r="710" spans="1:21" ht="15.75" customHeight="1" x14ac:dyDescent="0.35">
      <c r="A710" s="30"/>
      <c r="B710" s="30"/>
      <c r="C710" s="30"/>
      <c r="U710" s="39"/>
    </row>
    <row r="711" spans="1:21" ht="15.75" customHeight="1" x14ac:dyDescent="0.35">
      <c r="A711" s="30"/>
      <c r="B711" s="30"/>
      <c r="C711" s="30"/>
      <c r="U711" s="39"/>
    </row>
    <row r="712" spans="1:21" ht="15.75" customHeight="1" x14ac:dyDescent="0.35">
      <c r="A712" s="30"/>
      <c r="B712" s="30"/>
      <c r="C712" s="30"/>
      <c r="U712" s="39"/>
    </row>
    <row r="713" spans="1:21" ht="15.75" customHeight="1" x14ac:dyDescent="0.35">
      <c r="A713" s="30"/>
      <c r="B713" s="30"/>
      <c r="C713" s="30"/>
      <c r="U713" s="39"/>
    </row>
    <row r="714" spans="1:21" ht="15.75" customHeight="1" x14ac:dyDescent="0.35">
      <c r="A714" s="30"/>
      <c r="B714" s="30"/>
      <c r="C714" s="30"/>
      <c r="U714" s="39"/>
    </row>
    <row r="715" spans="1:21" ht="15.75" customHeight="1" x14ac:dyDescent="0.35">
      <c r="A715" s="30"/>
      <c r="B715" s="30"/>
      <c r="C715" s="30"/>
      <c r="U715" s="39"/>
    </row>
    <row r="716" spans="1:21" ht="15.75" customHeight="1" x14ac:dyDescent="0.35">
      <c r="A716" s="30"/>
      <c r="B716" s="30"/>
      <c r="C716" s="30"/>
      <c r="U716" s="39"/>
    </row>
    <row r="717" spans="1:21" ht="15.75" customHeight="1" x14ac:dyDescent="0.35">
      <c r="A717" s="30"/>
      <c r="B717" s="30"/>
      <c r="C717" s="30"/>
      <c r="U717" s="39"/>
    </row>
    <row r="718" spans="1:21" ht="15.75" customHeight="1" x14ac:dyDescent="0.35">
      <c r="A718" s="30"/>
      <c r="B718" s="30"/>
      <c r="C718" s="30"/>
      <c r="U718" s="39"/>
    </row>
    <row r="719" spans="1:21" ht="15.75" customHeight="1" x14ac:dyDescent="0.35">
      <c r="A719" s="30"/>
      <c r="B719" s="30"/>
      <c r="C719" s="30"/>
      <c r="U719" s="39"/>
    </row>
    <row r="720" spans="1:21" ht="15.75" customHeight="1" x14ac:dyDescent="0.35">
      <c r="A720" s="30"/>
      <c r="B720" s="30"/>
      <c r="C720" s="30"/>
      <c r="U720" s="39"/>
    </row>
    <row r="721" spans="1:21" ht="15.75" customHeight="1" x14ac:dyDescent="0.35">
      <c r="A721" s="30"/>
      <c r="B721" s="30"/>
      <c r="C721" s="30"/>
      <c r="U721" s="39"/>
    </row>
    <row r="722" spans="1:21" ht="15.75" customHeight="1" x14ac:dyDescent="0.35">
      <c r="A722" s="30"/>
      <c r="B722" s="30"/>
      <c r="C722" s="30"/>
      <c r="U722" s="39"/>
    </row>
    <row r="723" spans="1:21" ht="15.75" customHeight="1" x14ac:dyDescent="0.35">
      <c r="A723" s="30"/>
      <c r="B723" s="30"/>
      <c r="C723" s="30"/>
      <c r="U723" s="39"/>
    </row>
    <row r="724" spans="1:21" ht="15.75" customHeight="1" x14ac:dyDescent="0.35">
      <c r="A724" s="30"/>
      <c r="B724" s="30"/>
      <c r="C724" s="30"/>
      <c r="U724" s="39"/>
    </row>
    <row r="725" spans="1:21" ht="15.75" customHeight="1" x14ac:dyDescent="0.35">
      <c r="A725" s="30"/>
      <c r="B725" s="30"/>
      <c r="C725" s="30"/>
      <c r="U725" s="39"/>
    </row>
    <row r="726" spans="1:21" ht="15.75" customHeight="1" x14ac:dyDescent="0.35">
      <c r="A726" s="30"/>
      <c r="B726" s="30"/>
      <c r="C726" s="30"/>
      <c r="U726" s="39"/>
    </row>
    <row r="727" spans="1:21" ht="15.75" customHeight="1" x14ac:dyDescent="0.35">
      <c r="A727" s="30"/>
      <c r="B727" s="30"/>
      <c r="C727" s="30"/>
      <c r="U727" s="39"/>
    </row>
    <row r="728" spans="1:21" ht="15.75" customHeight="1" x14ac:dyDescent="0.35">
      <c r="A728" s="30"/>
      <c r="B728" s="30"/>
      <c r="C728" s="30"/>
      <c r="U728" s="39"/>
    </row>
    <row r="729" spans="1:21" ht="15.75" customHeight="1" x14ac:dyDescent="0.35">
      <c r="A729" s="30"/>
      <c r="B729" s="30"/>
      <c r="C729" s="30"/>
      <c r="U729" s="39"/>
    </row>
    <row r="730" spans="1:21" ht="15.75" customHeight="1" x14ac:dyDescent="0.35">
      <c r="A730" s="30"/>
      <c r="B730" s="30"/>
      <c r="C730" s="30"/>
      <c r="U730" s="39"/>
    </row>
    <row r="731" spans="1:21" ht="15.75" customHeight="1" x14ac:dyDescent="0.35">
      <c r="A731" s="30"/>
      <c r="B731" s="30"/>
      <c r="C731" s="30"/>
      <c r="U731" s="39"/>
    </row>
    <row r="732" spans="1:21" ht="15.75" customHeight="1" x14ac:dyDescent="0.35">
      <c r="A732" s="30"/>
      <c r="B732" s="30"/>
      <c r="C732" s="30"/>
      <c r="U732" s="39"/>
    </row>
    <row r="733" spans="1:21" ht="15.75" customHeight="1" x14ac:dyDescent="0.35">
      <c r="A733" s="30"/>
      <c r="B733" s="30"/>
      <c r="C733" s="30"/>
      <c r="U733" s="39"/>
    </row>
    <row r="734" spans="1:21" ht="15.75" customHeight="1" x14ac:dyDescent="0.35">
      <c r="A734" s="30"/>
      <c r="B734" s="30"/>
      <c r="C734" s="30"/>
      <c r="U734" s="39"/>
    </row>
    <row r="735" spans="1:21" ht="15.75" customHeight="1" x14ac:dyDescent="0.35">
      <c r="A735" s="30"/>
      <c r="B735" s="30"/>
      <c r="C735" s="30"/>
      <c r="U735" s="39"/>
    </row>
    <row r="736" spans="1:21" ht="15.75" customHeight="1" x14ac:dyDescent="0.35">
      <c r="A736" s="30"/>
      <c r="B736" s="30"/>
      <c r="C736" s="30"/>
      <c r="U736" s="39"/>
    </row>
    <row r="737" spans="1:21" ht="15.75" customHeight="1" x14ac:dyDescent="0.35">
      <c r="A737" s="30"/>
      <c r="B737" s="30"/>
      <c r="C737" s="30"/>
      <c r="U737" s="39"/>
    </row>
    <row r="738" spans="1:21" ht="15.75" customHeight="1" x14ac:dyDescent="0.35">
      <c r="A738" s="30"/>
      <c r="B738" s="30"/>
      <c r="C738" s="30"/>
      <c r="U738" s="39"/>
    </row>
    <row r="739" spans="1:21" ht="15.75" customHeight="1" x14ac:dyDescent="0.35">
      <c r="A739" s="30"/>
      <c r="B739" s="30"/>
      <c r="C739" s="30"/>
      <c r="U739" s="39"/>
    </row>
    <row r="740" spans="1:21" ht="15.75" customHeight="1" x14ac:dyDescent="0.35">
      <c r="A740" s="30"/>
      <c r="B740" s="30"/>
      <c r="C740" s="30"/>
      <c r="U740" s="39"/>
    </row>
    <row r="741" spans="1:21" ht="15.75" customHeight="1" x14ac:dyDescent="0.35">
      <c r="A741" s="30"/>
      <c r="B741" s="30"/>
      <c r="C741" s="30"/>
      <c r="U741" s="39"/>
    </row>
    <row r="742" spans="1:21" ht="15.75" customHeight="1" x14ac:dyDescent="0.35">
      <c r="A742" s="30"/>
      <c r="B742" s="30"/>
      <c r="C742" s="30"/>
      <c r="U742" s="39"/>
    </row>
    <row r="743" spans="1:21" ht="15.75" customHeight="1" x14ac:dyDescent="0.35">
      <c r="A743" s="30"/>
      <c r="B743" s="30"/>
      <c r="C743" s="30"/>
      <c r="U743" s="39"/>
    </row>
    <row r="744" spans="1:21" ht="15.75" customHeight="1" x14ac:dyDescent="0.35">
      <c r="A744" s="30"/>
      <c r="B744" s="30"/>
      <c r="C744" s="30"/>
      <c r="U744" s="39"/>
    </row>
    <row r="745" spans="1:21" ht="15.75" customHeight="1" x14ac:dyDescent="0.35">
      <c r="A745" s="30"/>
      <c r="B745" s="30"/>
      <c r="C745" s="30"/>
      <c r="U745" s="39"/>
    </row>
    <row r="746" spans="1:21" ht="15.75" customHeight="1" x14ac:dyDescent="0.35">
      <c r="A746" s="30"/>
      <c r="B746" s="30"/>
      <c r="C746" s="30"/>
      <c r="U746" s="39"/>
    </row>
    <row r="747" spans="1:21" ht="15.75" customHeight="1" x14ac:dyDescent="0.35">
      <c r="A747" s="30"/>
      <c r="B747" s="30"/>
      <c r="C747" s="30"/>
      <c r="U747" s="39"/>
    </row>
    <row r="748" spans="1:21" ht="15.75" customHeight="1" x14ac:dyDescent="0.35">
      <c r="A748" s="30"/>
      <c r="B748" s="30"/>
      <c r="C748" s="30"/>
      <c r="U748" s="39"/>
    </row>
    <row r="749" spans="1:21" ht="15.75" customHeight="1" x14ac:dyDescent="0.35">
      <c r="A749" s="30"/>
      <c r="B749" s="30"/>
      <c r="C749" s="30"/>
      <c r="U749" s="39"/>
    </row>
    <row r="750" spans="1:21" ht="15.75" customHeight="1" x14ac:dyDescent="0.35">
      <c r="A750" s="30"/>
      <c r="B750" s="30"/>
      <c r="C750" s="30"/>
      <c r="U750" s="39"/>
    </row>
    <row r="751" spans="1:21" ht="15.75" customHeight="1" x14ac:dyDescent="0.35">
      <c r="A751" s="30"/>
      <c r="B751" s="30"/>
      <c r="C751" s="30"/>
      <c r="U751" s="39"/>
    </row>
    <row r="752" spans="1:21" ht="15.75" customHeight="1" x14ac:dyDescent="0.35">
      <c r="A752" s="30"/>
      <c r="B752" s="30"/>
      <c r="C752" s="30"/>
      <c r="U752" s="39"/>
    </row>
    <row r="753" spans="1:21" ht="15.75" customHeight="1" x14ac:dyDescent="0.35">
      <c r="A753" s="30"/>
      <c r="B753" s="30"/>
      <c r="C753" s="30"/>
      <c r="U753" s="39"/>
    </row>
    <row r="754" spans="1:21" ht="15.75" customHeight="1" x14ac:dyDescent="0.35">
      <c r="A754" s="30"/>
      <c r="B754" s="30"/>
      <c r="C754" s="30"/>
      <c r="U754" s="39"/>
    </row>
    <row r="755" spans="1:21" ht="15.75" customHeight="1" x14ac:dyDescent="0.35">
      <c r="A755" s="30"/>
      <c r="B755" s="30"/>
      <c r="C755" s="30"/>
      <c r="U755" s="39"/>
    </row>
    <row r="756" spans="1:21" ht="15.75" customHeight="1" x14ac:dyDescent="0.35">
      <c r="A756" s="30"/>
      <c r="B756" s="30"/>
      <c r="C756" s="30"/>
      <c r="U756" s="39"/>
    </row>
    <row r="757" spans="1:21" ht="15.75" customHeight="1" x14ac:dyDescent="0.35">
      <c r="A757" s="30"/>
      <c r="B757" s="30"/>
      <c r="C757" s="30"/>
      <c r="U757" s="39"/>
    </row>
    <row r="758" spans="1:21" ht="15.75" customHeight="1" x14ac:dyDescent="0.35">
      <c r="A758" s="30"/>
      <c r="B758" s="30"/>
      <c r="C758" s="30"/>
      <c r="U758" s="39"/>
    </row>
    <row r="759" spans="1:21" ht="15.75" customHeight="1" x14ac:dyDescent="0.35">
      <c r="A759" s="30"/>
      <c r="B759" s="30"/>
      <c r="C759" s="30"/>
      <c r="U759" s="39"/>
    </row>
    <row r="760" spans="1:21" ht="15.75" customHeight="1" x14ac:dyDescent="0.35">
      <c r="A760" s="30"/>
      <c r="B760" s="30"/>
      <c r="C760" s="30"/>
      <c r="U760" s="39"/>
    </row>
    <row r="761" spans="1:21" ht="15.75" customHeight="1" x14ac:dyDescent="0.35">
      <c r="A761" s="30"/>
      <c r="B761" s="30"/>
      <c r="C761" s="30"/>
      <c r="U761" s="39"/>
    </row>
    <row r="762" spans="1:21" ht="15.75" customHeight="1" x14ac:dyDescent="0.35">
      <c r="A762" s="30"/>
      <c r="B762" s="30"/>
      <c r="C762" s="30"/>
      <c r="U762" s="39"/>
    </row>
    <row r="763" spans="1:21" ht="15.75" customHeight="1" x14ac:dyDescent="0.35">
      <c r="A763" s="30"/>
      <c r="B763" s="30"/>
      <c r="C763" s="30"/>
      <c r="U763" s="39"/>
    </row>
    <row r="764" spans="1:21" ht="15.75" customHeight="1" x14ac:dyDescent="0.35">
      <c r="A764" s="30"/>
      <c r="B764" s="30"/>
      <c r="C764" s="30"/>
      <c r="U764" s="39"/>
    </row>
    <row r="765" spans="1:21" ht="15.75" customHeight="1" x14ac:dyDescent="0.35">
      <c r="A765" s="30"/>
      <c r="B765" s="30"/>
      <c r="C765" s="30"/>
      <c r="U765" s="39"/>
    </row>
    <row r="766" spans="1:21" ht="15.75" customHeight="1" x14ac:dyDescent="0.35">
      <c r="A766" s="30"/>
      <c r="B766" s="30"/>
      <c r="C766" s="30"/>
      <c r="U766" s="39"/>
    </row>
    <row r="767" spans="1:21" ht="15.75" customHeight="1" x14ac:dyDescent="0.35">
      <c r="A767" s="30"/>
      <c r="B767" s="30"/>
      <c r="C767" s="30"/>
      <c r="U767" s="39"/>
    </row>
    <row r="768" spans="1:21" ht="15.75" customHeight="1" x14ac:dyDescent="0.35">
      <c r="A768" s="30"/>
      <c r="B768" s="30"/>
      <c r="C768" s="30"/>
      <c r="U768" s="39"/>
    </row>
    <row r="769" spans="1:21" ht="15.75" customHeight="1" x14ac:dyDescent="0.35">
      <c r="A769" s="30"/>
      <c r="B769" s="30"/>
      <c r="C769" s="30"/>
      <c r="U769" s="39"/>
    </row>
    <row r="770" spans="1:21" ht="15.75" customHeight="1" x14ac:dyDescent="0.35">
      <c r="A770" s="30"/>
      <c r="B770" s="30"/>
      <c r="C770" s="30"/>
      <c r="U770" s="39"/>
    </row>
    <row r="771" spans="1:21" ht="15.75" customHeight="1" x14ac:dyDescent="0.35">
      <c r="A771" s="30"/>
      <c r="B771" s="30"/>
      <c r="C771" s="30"/>
      <c r="U771" s="39"/>
    </row>
    <row r="772" spans="1:21" ht="15.75" customHeight="1" x14ac:dyDescent="0.35">
      <c r="A772" s="30"/>
      <c r="B772" s="30"/>
      <c r="C772" s="30"/>
      <c r="U772" s="39"/>
    </row>
    <row r="773" spans="1:21" ht="15.75" customHeight="1" x14ac:dyDescent="0.35">
      <c r="A773" s="30"/>
      <c r="B773" s="30"/>
      <c r="C773" s="30"/>
      <c r="U773" s="39"/>
    </row>
    <row r="774" spans="1:21" ht="15.75" customHeight="1" x14ac:dyDescent="0.35">
      <c r="A774" s="30"/>
      <c r="B774" s="30"/>
      <c r="C774" s="30"/>
      <c r="U774" s="39"/>
    </row>
    <row r="775" spans="1:21" ht="15.75" customHeight="1" x14ac:dyDescent="0.35">
      <c r="A775" s="30"/>
      <c r="B775" s="30"/>
      <c r="C775" s="30"/>
      <c r="U775" s="39"/>
    </row>
    <row r="776" spans="1:21" ht="15.75" customHeight="1" x14ac:dyDescent="0.35">
      <c r="A776" s="30"/>
      <c r="B776" s="30"/>
      <c r="C776" s="30"/>
      <c r="U776" s="39"/>
    </row>
    <row r="777" spans="1:21" ht="15.75" customHeight="1" x14ac:dyDescent="0.35">
      <c r="A777" s="30"/>
      <c r="B777" s="30"/>
      <c r="C777" s="30"/>
      <c r="U777" s="39"/>
    </row>
    <row r="778" spans="1:21" ht="15.75" customHeight="1" x14ac:dyDescent="0.35">
      <c r="A778" s="30"/>
      <c r="B778" s="30"/>
      <c r="C778" s="30"/>
      <c r="U778" s="39"/>
    </row>
    <row r="779" spans="1:21" ht="15.75" customHeight="1" x14ac:dyDescent="0.35">
      <c r="A779" s="30"/>
      <c r="B779" s="30"/>
      <c r="C779" s="30"/>
      <c r="U779" s="39"/>
    </row>
    <row r="780" spans="1:21" ht="15.75" customHeight="1" x14ac:dyDescent="0.35">
      <c r="A780" s="30"/>
      <c r="B780" s="30"/>
      <c r="C780" s="30"/>
      <c r="U780" s="39"/>
    </row>
    <row r="781" spans="1:21" ht="15.75" customHeight="1" x14ac:dyDescent="0.35">
      <c r="A781" s="30"/>
      <c r="B781" s="30"/>
      <c r="C781" s="30"/>
      <c r="U781" s="39"/>
    </row>
    <row r="782" spans="1:21" ht="15.75" customHeight="1" x14ac:dyDescent="0.35">
      <c r="A782" s="30"/>
      <c r="B782" s="30"/>
      <c r="C782" s="30"/>
      <c r="U782" s="39"/>
    </row>
    <row r="783" spans="1:21" ht="15.75" customHeight="1" x14ac:dyDescent="0.35">
      <c r="A783" s="30"/>
      <c r="B783" s="30"/>
      <c r="C783" s="30"/>
      <c r="U783" s="39"/>
    </row>
    <row r="784" spans="1:21" ht="15.75" customHeight="1" x14ac:dyDescent="0.35">
      <c r="A784" s="30"/>
      <c r="B784" s="30"/>
      <c r="C784" s="30"/>
      <c r="U784" s="39"/>
    </row>
    <row r="785" spans="1:21" ht="15.75" customHeight="1" x14ac:dyDescent="0.35">
      <c r="A785" s="30"/>
      <c r="B785" s="30"/>
      <c r="C785" s="30"/>
      <c r="U785" s="39"/>
    </row>
    <row r="786" spans="1:21" ht="15.75" customHeight="1" x14ac:dyDescent="0.35">
      <c r="A786" s="30"/>
      <c r="B786" s="30"/>
      <c r="C786" s="30"/>
      <c r="U786" s="39"/>
    </row>
    <row r="787" spans="1:21" ht="15.75" customHeight="1" x14ac:dyDescent="0.35">
      <c r="A787" s="30"/>
      <c r="B787" s="30"/>
      <c r="C787" s="30"/>
      <c r="U787" s="39"/>
    </row>
    <row r="788" spans="1:21" ht="15.75" customHeight="1" x14ac:dyDescent="0.35">
      <c r="A788" s="30"/>
      <c r="B788" s="30"/>
      <c r="C788" s="30"/>
      <c r="U788" s="39"/>
    </row>
    <row r="789" spans="1:21" ht="15.75" customHeight="1" x14ac:dyDescent="0.35">
      <c r="A789" s="30"/>
      <c r="B789" s="30"/>
      <c r="C789" s="30"/>
      <c r="U789" s="39"/>
    </row>
    <row r="790" spans="1:21" ht="15.75" customHeight="1" x14ac:dyDescent="0.35">
      <c r="A790" s="30"/>
      <c r="B790" s="30"/>
      <c r="C790" s="30"/>
      <c r="U790" s="39"/>
    </row>
    <row r="791" spans="1:21" ht="15.75" customHeight="1" x14ac:dyDescent="0.35">
      <c r="A791" s="30"/>
      <c r="B791" s="30"/>
      <c r="C791" s="30"/>
      <c r="U791" s="39"/>
    </row>
    <row r="792" spans="1:21" ht="15.75" customHeight="1" x14ac:dyDescent="0.35">
      <c r="A792" s="30"/>
      <c r="B792" s="30"/>
      <c r="C792" s="30"/>
      <c r="U792" s="39"/>
    </row>
    <row r="793" spans="1:21" ht="15.75" customHeight="1" x14ac:dyDescent="0.35">
      <c r="A793" s="30"/>
      <c r="B793" s="30"/>
      <c r="C793" s="30"/>
      <c r="U793" s="39"/>
    </row>
    <row r="794" spans="1:21" ht="15.75" customHeight="1" x14ac:dyDescent="0.35">
      <c r="A794" s="30"/>
      <c r="B794" s="30"/>
      <c r="C794" s="30"/>
      <c r="U794" s="39"/>
    </row>
    <row r="795" spans="1:21" ht="15.75" customHeight="1" x14ac:dyDescent="0.35">
      <c r="A795" s="30"/>
      <c r="B795" s="30"/>
      <c r="C795" s="30"/>
      <c r="U795" s="39"/>
    </row>
    <row r="796" spans="1:21" ht="15.75" customHeight="1" x14ac:dyDescent="0.35">
      <c r="A796" s="30"/>
      <c r="B796" s="30"/>
      <c r="C796" s="30"/>
      <c r="U796" s="39"/>
    </row>
    <row r="797" spans="1:21" ht="15.75" customHeight="1" x14ac:dyDescent="0.35">
      <c r="A797" s="30"/>
      <c r="B797" s="30"/>
      <c r="C797" s="30"/>
      <c r="U797" s="39"/>
    </row>
    <row r="798" spans="1:21" ht="15.75" customHeight="1" x14ac:dyDescent="0.35">
      <c r="A798" s="30"/>
      <c r="B798" s="30"/>
      <c r="C798" s="30"/>
      <c r="U798" s="39"/>
    </row>
    <row r="799" spans="1:21" ht="15.75" customHeight="1" x14ac:dyDescent="0.35">
      <c r="A799" s="30"/>
      <c r="B799" s="30"/>
      <c r="C799" s="30"/>
      <c r="U799" s="39"/>
    </row>
    <row r="800" spans="1:21" ht="15.75" customHeight="1" x14ac:dyDescent="0.35">
      <c r="A800" s="30"/>
      <c r="B800" s="30"/>
      <c r="C800" s="30"/>
      <c r="U800" s="39"/>
    </row>
    <row r="801" spans="1:21" ht="15.75" customHeight="1" x14ac:dyDescent="0.35">
      <c r="A801" s="30"/>
      <c r="B801" s="30"/>
      <c r="C801" s="30"/>
      <c r="U801" s="39"/>
    </row>
    <row r="802" spans="1:21" ht="15.75" customHeight="1" x14ac:dyDescent="0.35">
      <c r="A802" s="30"/>
      <c r="B802" s="30"/>
      <c r="C802" s="30"/>
      <c r="U802" s="39"/>
    </row>
    <row r="803" spans="1:21" ht="15.75" customHeight="1" x14ac:dyDescent="0.35">
      <c r="A803" s="30"/>
      <c r="B803" s="30"/>
      <c r="C803" s="30"/>
      <c r="U803" s="39"/>
    </row>
    <row r="804" spans="1:21" ht="15.75" customHeight="1" x14ac:dyDescent="0.35">
      <c r="A804" s="30"/>
      <c r="B804" s="30"/>
      <c r="C804" s="30"/>
      <c r="U804" s="39"/>
    </row>
    <row r="805" spans="1:21" ht="15.75" customHeight="1" x14ac:dyDescent="0.35">
      <c r="A805" s="30"/>
      <c r="B805" s="30"/>
      <c r="C805" s="30"/>
      <c r="U805" s="39"/>
    </row>
    <row r="806" spans="1:21" ht="15.75" customHeight="1" x14ac:dyDescent="0.35">
      <c r="A806" s="30"/>
      <c r="B806" s="30"/>
      <c r="C806" s="30"/>
      <c r="U806" s="39"/>
    </row>
    <row r="807" spans="1:21" ht="15.75" customHeight="1" x14ac:dyDescent="0.35">
      <c r="A807" s="30"/>
      <c r="B807" s="30"/>
      <c r="C807" s="30"/>
      <c r="U807" s="39"/>
    </row>
    <row r="808" spans="1:21" ht="15.75" customHeight="1" x14ac:dyDescent="0.35">
      <c r="A808" s="30"/>
      <c r="B808" s="30"/>
      <c r="C808" s="30"/>
      <c r="U808" s="39"/>
    </row>
    <row r="809" spans="1:21" ht="15.75" customHeight="1" x14ac:dyDescent="0.35">
      <c r="A809" s="30"/>
      <c r="B809" s="30"/>
      <c r="C809" s="30"/>
      <c r="U809" s="39"/>
    </row>
    <row r="810" spans="1:21" ht="15.75" customHeight="1" x14ac:dyDescent="0.35">
      <c r="A810" s="30"/>
      <c r="B810" s="30"/>
      <c r="C810" s="30"/>
      <c r="U810" s="39"/>
    </row>
    <row r="811" spans="1:21" ht="15.75" customHeight="1" x14ac:dyDescent="0.35">
      <c r="A811" s="30"/>
      <c r="B811" s="30"/>
      <c r="C811" s="30"/>
      <c r="U811" s="39"/>
    </row>
    <row r="812" spans="1:21" ht="15.75" customHeight="1" x14ac:dyDescent="0.35">
      <c r="A812" s="30"/>
      <c r="B812" s="30"/>
      <c r="C812" s="30"/>
      <c r="U812" s="39"/>
    </row>
    <row r="813" spans="1:21" ht="15.75" customHeight="1" x14ac:dyDescent="0.35">
      <c r="A813" s="30"/>
      <c r="B813" s="30"/>
      <c r="C813" s="30"/>
      <c r="U813" s="39"/>
    </row>
    <row r="814" spans="1:21" ht="15.75" customHeight="1" x14ac:dyDescent="0.35">
      <c r="A814" s="30"/>
      <c r="B814" s="30"/>
      <c r="C814" s="30"/>
      <c r="U814" s="39"/>
    </row>
    <row r="815" spans="1:21" ht="15.75" customHeight="1" x14ac:dyDescent="0.35">
      <c r="A815" s="30"/>
      <c r="B815" s="30"/>
      <c r="C815" s="30"/>
      <c r="U815" s="39"/>
    </row>
    <row r="816" spans="1:21" ht="15.75" customHeight="1" x14ac:dyDescent="0.35">
      <c r="A816" s="30"/>
      <c r="B816" s="30"/>
      <c r="C816" s="30"/>
      <c r="U816" s="39"/>
    </row>
    <row r="817" spans="1:21" ht="15.75" customHeight="1" x14ac:dyDescent="0.35">
      <c r="A817" s="30"/>
      <c r="B817" s="30"/>
      <c r="C817" s="30"/>
      <c r="U817" s="39"/>
    </row>
    <row r="818" spans="1:21" ht="15.75" customHeight="1" x14ac:dyDescent="0.35">
      <c r="A818" s="30"/>
      <c r="B818" s="30"/>
      <c r="C818" s="30"/>
      <c r="U818" s="39"/>
    </row>
    <row r="819" spans="1:21" ht="15.75" customHeight="1" x14ac:dyDescent="0.35">
      <c r="A819" s="30"/>
      <c r="B819" s="30"/>
      <c r="C819" s="30"/>
      <c r="U819" s="39"/>
    </row>
    <row r="820" spans="1:21" ht="15.75" customHeight="1" x14ac:dyDescent="0.35">
      <c r="A820" s="30"/>
      <c r="B820" s="30"/>
      <c r="C820" s="30"/>
      <c r="U820" s="39"/>
    </row>
    <row r="821" spans="1:21" ht="15.75" customHeight="1" x14ac:dyDescent="0.35">
      <c r="A821" s="30"/>
      <c r="B821" s="30"/>
      <c r="C821" s="30"/>
      <c r="U821" s="39"/>
    </row>
    <row r="822" spans="1:21" ht="15.75" customHeight="1" x14ac:dyDescent="0.35">
      <c r="A822" s="30"/>
      <c r="B822" s="30"/>
      <c r="C822" s="30"/>
      <c r="U822" s="39"/>
    </row>
    <row r="823" spans="1:21" ht="15.75" customHeight="1" x14ac:dyDescent="0.35">
      <c r="A823" s="30"/>
      <c r="B823" s="30"/>
      <c r="C823" s="30"/>
      <c r="U823" s="39"/>
    </row>
    <row r="824" spans="1:21" ht="15.75" customHeight="1" x14ac:dyDescent="0.35">
      <c r="A824" s="30"/>
      <c r="B824" s="30"/>
      <c r="C824" s="30"/>
      <c r="U824" s="39"/>
    </row>
    <row r="825" spans="1:21" ht="15.75" customHeight="1" x14ac:dyDescent="0.35">
      <c r="A825" s="30"/>
      <c r="B825" s="30"/>
      <c r="C825" s="30"/>
      <c r="U825" s="39"/>
    </row>
    <row r="826" spans="1:21" ht="15.75" customHeight="1" x14ac:dyDescent="0.35">
      <c r="A826" s="30"/>
      <c r="B826" s="30"/>
      <c r="C826" s="30"/>
      <c r="U826" s="39"/>
    </row>
    <row r="827" spans="1:21" ht="15.75" customHeight="1" x14ac:dyDescent="0.35">
      <c r="A827" s="30"/>
      <c r="B827" s="30"/>
      <c r="C827" s="30"/>
      <c r="U827" s="39"/>
    </row>
    <row r="828" spans="1:21" ht="15.75" customHeight="1" x14ac:dyDescent="0.35">
      <c r="A828" s="30"/>
      <c r="B828" s="30"/>
      <c r="C828" s="30"/>
      <c r="U828" s="39"/>
    </row>
    <row r="829" spans="1:21" ht="15.75" customHeight="1" x14ac:dyDescent="0.35">
      <c r="A829" s="30"/>
      <c r="B829" s="30"/>
      <c r="C829" s="30"/>
      <c r="U829" s="39"/>
    </row>
    <row r="830" spans="1:21" ht="15.75" customHeight="1" x14ac:dyDescent="0.35">
      <c r="A830" s="30"/>
      <c r="B830" s="30"/>
      <c r="C830" s="30"/>
      <c r="U830" s="39"/>
    </row>
    <row r="831" spans="1:21" ht="15.75" customHeight="1" x14ac:dyDescent="0.35">
      <c r="A831" s="30"/>
      <c r="B831" s="30"/>
      <c r="C831" s="30"/>
      <c r="U831" s="39"/>
    </row>
    <row r="832" spans="1:21" ht="15.75" customHeight="1" x14ac:dyDescent="0.35">
      <c r="A832" s="30"/>
      <c r="B832" s="30"/>
      <c r="C832" s="30"/>
      <c r="U832" s="39"/>
    </row>
    <row r="833" spans="1:21" ht="15.75" customHeight="1" x14ac:dyDescent="0.35">
      <c r="A833" s="30"/>
      <c r="B833" s="30"/>
      <c r="C833" s="30"/>
      <c r="U833" s="39"/>
    </row>
    <row r="834" spans="1:21" ht="15.75" customHeight="1" x14ac:dyDescent="0.35">
      <c r="A834" s="30"/>
      <c r="B834" s="30"/>
      <c r="C834" s="30"/>
      <c r="U834" s="39"/>
    </row>
    <row r="835" spans="1:21" ht="15.75" customHeight="1" x14ac:dyDescent="0.35">
      <c r="A835" s="30"/>
      <c r="B835" s="30"/>
      <c r="C835" s="30"/>
      <c r="U835" s="39"/>
    </row>
    <row r="836" spans="1:21" ht="15.75" customHeight="1" x14ac:dyDescent="0.35">
      <c r="A836" s="30"/>
      <c r="B836" s="30"/>
      <c r="C836" s="30"/>
      <c r="U836" s="39"/>
    </row>
    <row r="837" spans="1:21" ht="15.75" customHeight="1" x14ac:dyDescent="0.35">
      <c r="A837" s="30"/>
      <c r="B837" s="30"/>
      <c r="C837" s="30"/>
      <c r="U837" s="39"/>
    </row>
    <row r="838" spans="1:21" ht="15.75" customHeight="1" x14ac:dyDescent="0.35">
      <c r="A838" s="30"/>
      <c r="B838" s="30"/>
      <c r="C838" s="30"/>
      <c r="U838" s="39"/>
    </row>
    <row r="839" spans="1:21" ht="15.75" customHeight="1" x14ac:dyDescent="0.35">
      <c r="A839" s="30"/>
      <c r="B839" s="30"/>
      <c r="C839" s="30"/>
      <c r="U839" s="39"/>
    </row>
    <row r="840" spans="1:21" ht="15.75" customHeight="1" x14ac:dyDescent="0.35">
      <c r="A840" s="30"/>
      <c r="B840" s="30"/>
      <c r="C840" s="30"/>
      <c r="U840" s="39"/>
    </row>
    <row r="841" spans="1:21" ht="15.75" customHeight="1" x14ac:dyDescent="0.35">
      <c r="A841" s="30"/>
      <c r="B841" s="30"/>
      <c r="C841" s="30"/>
      <c r="U841" s="39"/>
    </row>
    <row r="842" spans="1:21" ht="15.75" customHeight="1" x14ac:dyDescent="0.35">
      <c r="A842" s="30"/>
      <c r="B842" s="30"/>
      <c r="C842" s="30"/>
      <c r="U842" s="39"/>
    </row>
    <row r="843" spans="1:21" ht="15.75" customHeight="1" x14ac:dyDescent="0.35">
      <c r="A843" s="30"/>
      <c r="B843" s="30"/>
      <c r="C843" s="30"/>
      <c r="U843" s="39"/>
    </row>
    <row r="844" spans="1:21" ht="15.75" customHeight="1" x14ac:dyDescent="0.35">
      <c r="A844" s="30"/>
      <c r="B844" s="30"/>
      <c r="C844" s="30"/>
      <c r="U844" s="39"/>
    </row>
    <row r="845" spans="1:21" ht="15.75" customHeight="1" x14ac:dyDescent="0.35">
      <c r="A845" s="30"/>
      <c r="B845" s="30"/>
      <c r="C845" s="30"/>
      <c r="U845" s="39"/>
    </row>
    <row r="846" spans="1:21" ht="15.75" customHeight="1" x14ac:dyDescent="0.35">
      <c r="A846" s="30"/>
      <c r="B846" s="30"/>
      <c r="C846" s="30"/>
      <c r="U846" s="39"/>
    </row>
    <row r="847" spans="1:21" ht="15.75" customHeight="1" x14ac:dyDescent="0.35">
      <c r="A847" s="30"/>
      <c r="B847" s="30"/>
      <c r="C847" s="30"/>
      <c r="U847" s="39"/>
    </row>
    <row r="848" spans="1:21" ht="15.75" customHeight="1" x14ac:dyDescent="0.35">
      <c r="A848" s="30"/>
      <c r="B848" s="30"/>
      <c r="C848" s="30"/>
      <c r="U848" s="39"/>
    </row>
    <row r="849" spans="1:21" ht="15.75" customHeight="1" x14ac:dyDescent="0.35">
      <c r="A849" s="30"/>
      <c r="B849" s="30"/>
      <c r="C849" s="30"/>
      <c r="U849" s="39"/>
    </row>
    <row r="850" spans="1:21" ht="15.75" customHeight="1" x14ac:dyDescent="0.35">
      <c r="A850" s="30"/>
      <c r="B850" s="30"/>
      <c r="C850" s="30"/>
      <c r="U850" s="39"/>
    </row>
    <row r="851" spans="1:21" ht="15.75" customHeight="1" x14ac:dyDescent="0.35">
      <c r="A851" s="30"/>
      <c r="B851" s="30"/>
      <c r="C851" s="30"/>
      <c r="U851" s="39"/>
    </row>
    <row r="852" spans="1:21" ht="15.75" customHeight="1" x14ac:dyDescent="0.35">
      <c r="A852" s="30"/>
      <c r="B852" s="30"/>
      <c r="C852" s="30"/>
      <c r="U852" s="39"/>
    </row>
    <row r="853" spans="1:21" ht="15.75" customHeight="1" x14ac:dyDescent="0.35">
      <c r="A853" s="30"/>
      <c r="B853" s="30"/>
      <c r="C853" s="30"/>
      <c r="U853" s="39"/>
    </row>
    <row r="854" spans="1:21" ht="15.75" customHeight="1" x14ac:dyDescent="0.35">
      <c r="A854" s="30"/>
      <c r="B854" s="30"/>
      <c r="C854" s="30"/>
      <c r="U854" s="39"/>
    </row>
    <row r="855" spans="1:21" ht="15.75" customHeight="1" x14ac:dyDescent="0.35">
      <c r="A855" s="30"/>
      <c r="B855" s="30"/>
      <c r="C855" s="30"/>
      <c r="U855" s="39"/>
    </row>
    <row r="856" spans="1:21" ht="15.75" customHeight="1" x14ac:dyDescent="0.35">
      <c r="A856" s="30"/>
      <c r="B856" s="30"/>
      <c r="C856" s="30"/>
      <c r="U856" s="39"/>
    </row>
    <row r="857" spans="1:21" ht="15.75" customHeight="1" x14ac:dyDescent="0.35">
      <c r="A857" s="30"/>
      <c r="B857" s="30"/>
      <c r="C857" s="30"/>
      <c r="U857" s="39"/>
    </row>
    <row r="858" spans="1:21" ht="15.75" customHeight="1" x14ac:dyDescent="0.35">
      <c r="A858" s="30"/>
      <c r="B858" s="30"/>
      <c r="C858" s="30"/>
      <c r="U858" s="39"/>
    </row>
    <row r="859" spans="1:21" ht="15.75" customHeight="1" x14ac:dyDescent="0.35">
      <c r="A859" s="30"/>
      <c r="B859" s="30"/>
      <c r="C859" s="30"/>
      <c r="U859" s="39"/>
    </row>
    <row r="860" spans="1:21" ht="15.75" customHeight="1" x14ac:dyDescent="0.35">
      <c r="A860" s="30"/>
      <c r="B860" s="30"/>
      <c r="C860" s="30"/>
      <c r="U860" s="39"/>
    </row>
    <row r="861" spans="1:21" ht="15.75" customHeight="1" x14ac:dyDescent="0.35">
      <c r="A861" s="30"/>
      <c r="B861" s="30"/>
      <c r="C861" s="30"/>
      <c r="U861" s="39"/>
    </row>
    <row r="862" spans="1:21" ht="15.75" customHeight="1" x14ac:dyDescent="0.35">
      <c r="A862" s="30"/>
      <c r="B862" s="30"/>
      <c r="C862" s="30"/>
      <c r="U862" s="39"/>
    </row>
    <row r="863" spans="1:21" ht="15.75" customHeight="1" x14ac:dyDescent="0.35">
      <c r="A863" s="30"/>
      <c r="B863" s="30"/>
      <c r="C863" s="30"/>
      <c r="U863" s="39"/>
    </row>
    <row r="864" spans="1:21" ht="15.75" customHeight="1" x14ac:dyDescent="0.35">
      <c r="A864" s="30"/>
      <c r="B864" s="30"/>
      <c r="C864" s="30"/>
      <c r="U864" s="39"/>
    </row>
    <row r="865" spans="1:21" ht="15.75" customHeight="1" x14ac:dyDescent="0.35">
      <c r="A865" s="30"/>
      <c r="B865" s="30"/>
      <c r="C865" s="30"/>
      <c r="U865" s="39"/>
    </row>
    <row r="866" spans="1:21" ht="15.75" customHeight="1" x14ac:dyDescent="0.35">
      <c r="A866" s="30"/>
      <c r="B866" s="30"/>
      <c r="C866" s="30"/>
      <c r="U866" s="39"/>
    </row>
    <row r="867" spans="1:21" ht="15.75" customHeight="1" x14ac:dyDescent="0.35">
      <c r="A867" s="30"/>
      <c r="B867" s="30"/>
      <c r="C867" s="30"/>
      <c r="U867" s="39"/>
    </row>
    <row r="868" spans="1:21" ht="15.75" customHeight="1" x14ac:dyDescent="0.35">
      <c r="A868" s="30"/>
      <c r="B868" s="30"/>
      <c r="C868" s="30"/>
      <c r="U868" s="39"/>
    </row>
    <row r="869" spans="1:21" ht="15.75" customHeight="1" x14ac:dyDescent="0.35">
      <c r="A869" s="30"/>
      <c r="B869" s="30"/>
      <c r="C869" s="30"/>
      <c r="U869" s="39"/>
    </row>
    <row r="870" spans="1:21" ht="15.75" customHeight="1" x14ac:dyDescent="0.35">
      <c r="A870" s="30"/>
      <c r="B870" s="30"/>
      <c r="C870" s="30"/>
      <c r="U870" s="39"/>
    </row>
    <row r="871" spans="1:21" ht="15.75" customHeight="1" x14ac:dyDescent="0.35">
      <c r="A871" s="30"/>
      <c r="B871" s="30"/>
      <c r="C871" s="30"/>
      <c r="U871" s="39"/>
    </row>
    <row r="872" spans="1:21" ht="15.75" customHeight="1" x14ac:dyDescent="0.35">
      <c r="A872" s="30"/>
      <c r="B872" s="30"/>
      <c r="C872" s="30"/>
      <c r="U872" s="39"/>
    </row>
    <row r="873" spans="1:21" ht="15.75" customHeight="1" x14ac:dyDescent="0.35">
      <c r="A873" s="30"/>
      <c r="B873" s="30"/>
      <c r="C873" s="30"/>
      <c r="U873" s="39"/>
    </row>
    <row r="874" spans="1:21" ht="15.75" customHeight="1" x14ac:dyDescent="0.35">
      <c r="A874" s="30"/>
      <c r="B874" s="30"/>
      <c r="C874" s="30"/>
      <c r="U874" s="39"/>
    </row>
    <row r="875" spans="1:21" ht="15.75" customHeight="1" x14ac:dyDescent="0.35">
      <c r="A875" s="30"/>
      <c r="B875" s="30"/>
      <c r="C875" s="30"/>
      <c r="U875" s="39"/>
    </row>
    <row r="876" spans="1:21" ht="15.75" customHeight="1" x14ac:dyDescent="0.35">
      <c r="A876" s="30"/>
      <c r="B876" s="30"/>
      <c r="C876" s="30"/>
      <c r="U876" s="39"/>
    </row>
    <row r="877" spans="1:21" ht="15.75" customHeight="1" x14ac:dyDescent="0.35">
      <c r="A877" s="30"/>
      <c r="B877" s="30"/>
      <c r="C877" s="30"/>
      <c r="U877" s="39"/>
    </row>
    <row r="878" spans="1:21" ht="15.75" customHeight="1" x14ac:dyDescent="0.35">
      <c r="A878" s="30"/>
      <c r="B878" s="30"/>
      <c r="C878" s="30"/>
      <c r="U878" s="39"/>
    </row>
    <row r="879" spans="1:21" ht="15.75" customHeight="1" x14ac:dyDescent="0.35">
      <c r="A879" s="30"/>
      <c r="B879" s="30"/>
      <c r="C879" s="30"/>
      <c r="U879" s="39"/>
    </row>
    <row r="880" spans="1:21" ht="15.75" customHeight="1" x14ac:dyDescent="0.35">
      <c r="A880" s="30"/>
      <c r="B880" s="30"/>
      <c r="C880" s="30"/>
      <c r="U880" s="39"/>
    </row>
    <row r="881" spans="1:21" ht="15.75" customHeight="1" x14ac:dyDescent="0.35">
      <c r="A881" s="30"/>
      <c r="B881" s="30"/>
      <c r="C881" s="30"/>
      <c r="U881" s="39"/>
    </row>
    <row r="882" spans="1:21" ht="15.75" customHeight="1" x14ac:dyDescent="0.35">
      <c r="A882" s="30"/>
      <c r="B882" s="30"/>
      <c r="C882" s="30"/>
      <c r="U882" s="39"/>
    </row>
    <row r="883" spans="1:21" ht="15.75" customHeight="1" x14ac:dyDescent="0.35">
      <c r="A883" s="30"/>
      <c r="B883" s="30"/>
      <c r="C883" s="30"/>
      <c r="U883" s="39"/>
    </row>
    <row r="884" spans="1:21" ht="15.75" customHeight="1" x14ac:dyDescent="0.35">
      <c r="A884" s="30"/>
      <c r="B884" s="30"/>
      <c r="C884" s="30"/>
      <c r="U884" s="39"/>
    </row>
    <row r="885" spans="1:21" ht="15.75" customHeight="1" x14ac:dyDescent="0.35">
      <c r="A885" s="30"/>
      <c r="B885" s="30"/>
      <c r="C885" s="30"/>
      <c r="U885" s="39"/>
    </row>
    <row r="886" spans="1:21" ht="15.75" customHeight="1" x14ac:dyDescent="0.35">
      <c r="A886" s="30"/>
      <c r="B886" s="30"/>
      <c r="C886" s="30"/>
      <c r="U886" s="39"/>
    </row>
    <row r="887" spans="1:21" ht="15.75" customHeight="1" x14ac:dyDescent="0.35">
      <c r="A887" s="30"/>
      <c r="B887" s="30"/>
      <c r="C887" s="30"/>
      <c r="U887" s="39"/>
    </row>
    <row r="888" spans="1:21" ht="15.75" customHeight="1" x14ac:dyDescent="0.35">
      <c r="A888" s="30"/>
      <c r="B888" s="30"/>
      <c r="C888" s="30"/>
      <c r="U888" s="39"/>
    </row>
    <row r="889" spans="1:21" ht="15.75" customHeight="1" x14ac:dyDescent="0.35">
      <c r="A889" s="30"/>
      <c r="B889" s="30"/>
      <c r="C889" s="30"/>
      <c r="U889" s="39"/>
    </row>
    <row r="890" spans="1:21" ht="15.75" customHeight="1" x14ac:dyDescent="0.35">
      <c r="A890" s="30"/>
      <c r="B890" s="30"/>
      <c r="C890" s="30"/>
      <c r="U890" s="39"/>
    </row>
    <row r="891" spans="1:21" ht="15.75" customHeight="1" x14ac:dyDescent="0.35">
      <c r="A891" s="30"/>
      <c r="B891" s="30"/>
      <c r="C891" s="30"/>
      <c r="U891" s="39"/>
    </row>
    <row r="892" spans="1:21" ht="15.75" customHeight="1" x14ac:dyDescent="0.35">
      <c r="A892" s="30"/>
      <c r="B892" s="30"/>
      <c r="C892" s="30"/>
      <c r="U892" s="39"/>
    </row>
    <row r="893" spans="1:21" ht="15.75" customHeight="1" x14ac:dyDescent="0.35">
      <c r="A893" s="30"/>
      <c r="B893" s="30"/>
      <c r="C893" s="30"/>
      <c r="U893" s="39"/>
    </row>
    <row r="894" spans="1:21" ht="15.75" customHeight="1" x14ac:dyDescent="0.35">
      <c r="A894" s="30"/>
      <c r="B894" s="30"/>
      <c r="C894" s="30"/>
      <c r="U894" s="39"/>
    </row>
    <row r="895" spans="1:21" ht="15.75" customHeight="1" x14ac:dyDescent="0.35">
      <c r="A895" s="30"/>
      <c r="B895" s="30"/>
      <c r="C895" s="30"/>
      <c r="U895" s="39"/>
    </row>
    <row r="896" spans="1:21" ht="15.75" customHeight="1" x14ac:dyDescent="0.35">
      <c r="A896" s="30"/>
      <c r="B896" s="30"/>
      <c r="C896" s="30"/>
      <c r="U896" s="39"/>
    </row>
    <row r="897" spans="1:21" ht="15.75" customHeight="1" x14ac:dyDescent="0.35">
      <c r="A897" s="30"/>
      <c r="B897" s="30"/>
      <c r="C897" s="30"/>
      <c r="U897" s="39"/>
    </row>
    <row r="898" spans="1:21" ht="15.75" customHeight="1" x14ac:dyDescent="0.35">
      <c r="A898" s="30"/>
      <c r="B898" s="30"/>
      <c r="C898" s="30"/>
      <c r="U898" s="39"/>
    </row>
    <row r="899" spans="1:21" ht="15.75" customHeight="1" x14ac:dyDescent="0.35">
      <c r="A899" s="30"/>
      <c r="B899" s="30"/>
      <c r="C899" s="30"/>
      <c r="U899" s="39"/>
    </row>
    <row r="900" spans="1:21" ht="15.75" customHeight="1" x14ac:dyDescent="0.35">
      <c r="A900" s="30"/>
      <c r="B900" s="30"/>
      <c r="C900" s="30"/>
      <c r="U900" s="39"/>
    </row>
    <row r="901" spans="1:21" ht="15.75" customHeight="1" x14ac:dyDescent="0.35">
      <c r="A901" s="30"/>
      <c r="B901" s="30"/>
      <c r="C901" s="30"/>
      <c r="U901" s="39"/>
    </row>
    <row r="902" spans="1:21" ht="15.75" customHeight="1" x14ac:dyDescent="0.35">
      <c r="A902" s="30"/>
      <c r="B902" s="30"/>
      <c r="C902" s="30"/>
      <c r="U902" s="39"/>
    </row>
    <row r="903" spans="1:21" ht="15.75" customHeight="1" x14ac:dyDescent="0.35">
      <c r="A903" s="30"/>
      <c r="B903" s="30"/>
      <c r="C903" s="30"/>
      <c r="U903" s="39"/>
    </row>
    <row r="904" spans="1:21" ht="15.75" customHeight="1" x14ac:dyDescent="0.35">
      <c r="A904" s="30"/>
      <c r="B904" s="30"/>
      <c r="C904" s="30"/>
      <c r="U904" s="39"/>
    </row>
    <row r="905" spans="1:21" ht="15.75" customHeight="1" x14ac:dyDescent="0.35">
      <c r="A905" s="30"/>
      <c r="B905" s="30"/>
      <c r="C905" s="30"/>
      <c r="U905" s="39"/>
    </row>
    <row r="906" spans="1:21" ht="15.75" customHeight="1" x14ac:dyDescent="0.35">
      <c r="A906" s="30"/>
      <c r="B906" s="30"/>
      <c r="C906" s="30"/>
      <c r="U906" s="39"/>
    </row>
    <row r="907" spans="1:21" ht="15.75" customHeight="1" x14ac:dyDescent="0.35">
      <c r="A907" s="30"/>
      <c r="B907" s="30"/>
      <c r="C907" s="30"/>
      <c r="U907" s="39"/>
    </row>
    <row r="908" spans="1:21" ht="15.75" customHeight="1" x14ac:dyDescent="0.35">
      <c r="A908" s="30"/>
      <c r="B908" s="30"/>
      <c r="C908" s="30"/>
      <c r="U908" s="39"/>
    </row>
    <row r="909" spans="1:21" ht="15.75" customHeight="1" x14ac:dyDescent="0.35">
      <c r="A909" s="30"/>
      <c r="B909" s="30"/>
      <c r="C909" s="30"/>
      <c r="U909" s="39"/>
    </row>
    <row r="910" spans="1:21" ht="15.75" customHeight="1" x14ac:dyDescent="0.35">
      <c r="A910" s="30"/>
      <c r="B910" s="30"/>
      <c r="C910" s="30"/>
      <c r="U910" s="39"/>
    </row>
    <row r="911" spans="1:21" ht="15.75" customHeight="1" x14ac:dyDescent="0.35">
      <c r="A911" s="30"/>
      <c r="B911" s="30"/>
      <c r="C911" s="30"/>
      <c r="U911" s="39"/>
    </row>
    <row r="912" spans="1:21" ht="15.75" customHeight="1" x14ac:dyDescent="0.35">
      <c r="A912" s="30"/>
      <c r="B912" s="30"/>
      <c r="C912" s="30"/>
      <c r="U912" s="39"/>
    </row>
    <row r="913" spans="1:21" ht="15.75" customHeight="1" x14ac:dyDescent="0.35">
      <c r="A913" s="30"/>
      <c r="B913" s="30"/>
      <c r="C913" s="30"/>
      <c r="U913" s="39"/>
    </row>
    <row r="914" spans="1:21" ht="15.75" customHeight="1" x14ac:dyDescent="0.35">
      <c r="A914" s="30"/>
      <c r="B914" s="30"/>
      <c r="C914" s="30"/>
      <c r="U914" s="39"/>
    </row>
    <row r="915" spans="1:21" ht="15.75" customHeight="1" x14ac:dyDescent="0.35">
      <c r="A915" s="30"/>
      <c r="B915" s="30"/>
      <c r="C915" s="30"/>
      <c r="U915" s="39"/>
    </row>
    <row r="916" spans="1:21" ht="15.75" customHeight="1" x14ac:dyDescent="0.35">
      <c r="A916" s="30"/>
      <c r="B916" s="30"/>
      <c r="C916" s="30"/>
      <c r="U916" s="39"/>
    </row>
    <row r="917" spans="1:21" ht="15.75" customHeight="1" x14ac:dyDescent="0.35">
      <c r="A917" s="30"/>
      <c r="B917" s="30"/>
      <c r="C917" s="30"/>
      <c r="U917" s="39"/>
    </row>
    <row r="918" spans="1:21" ht="15.75" customHeight="1" x14ac:dyDescent="0.35">
      <c r="A918" s="30"/>
      <c r="B918" s="30"/>
      <c r="C918" s="30"/>
      <c r="U918" s="39"/>
    </row>
    <row r="919" spans="1:21" ht="15.75" customHeight="1" x14ac:dyDescent="0.35">
      <c r="A919" s="30"/>
      <c r="B919" s="30"/>
      <c r="C919" s="30"/>
      <c r="U919" s="39"/>
    </row>
    <row r="920" spans="1:21" ht="15.75" customHeight="1" x14ac:dyDescent="0.35">
      <c r="A920" s="30"/>
      <c r="B920" s="30"/>
      <c r="C920" s="30"/>
      <c r="U920" s="39"/>
    </row>
    <row r="921" spans="1:21" ht="15.75" customHeight="1" x14ac:dyDescent="0.35">
      <c r="A921" s="30"/>
      <c r="B921" s="30"/>
      <c r="C921" s="30"/>
      <c r="U921" s="39"/>
    </row>
    <row r="922" spans="1:21" ht="15.75" customHeight="1" x14ac:dyDescent="0.35">
      <c r="A922" s="30"/>
      <c r="B922" s="30"/>
      <c r="C922" s="30"/>
      <c r="U922" s="39"/>
    </row>
    <row r="923" spans="1:21" ht="15.75" customHeight="1" x14ac:dyDescent="0.35">
      <c r="A923" s="30"/>
      <c r="B923" s="30"/>
      <c r="C923" s="30"/>
      <c r="U923" s="39"/>
    </row>
    <row r="924" spans="1:21" ht="15.75" customHeight="1" x14ac:dyDescent="0.35">
      <c r="A924" s="30"/>
      <c r="B924" s="30"/>
      <c r="C924" s="30"/>
      <c r="U924" s="39"/>
    </row>
    <row r="925" spans="1:21" ht="15.75" customHeight="1" x14ac:dyDescent="0.35">
      <c r="A925" s="30"/>
      <c r="B925" s="30"/>
      <c r="C925" s="30"/>
      <c r="U925" s="39"/>
    </row>
    <row r="926" spans="1:21" ht="15.75" customHeight="1" x14ac:dyDescent="0.35">
      <c r="A926" s="30"/>
      <c r="B926" s="30"/>
      <c r="C926" s="30"/>
      <c r="U926" s="39"/>
    </row>
    <row r="927" spans="1:21" ht="15.75" customHeight="1" x14ac:dyDescent="0.35">
      <c r="A927" s="30"/>
      <c r="B927" s="30"/>
      <c r="C927" s="30"/>
      <c r="U927" s="39"/>
    </row>
    <row r="928" spans="1:21" ht="15.75" customHeight="1" x14ac:dyDescent="0.35">
      <c r="A928" s="30"/>
      <c r="B928" s="30"/>
      <c r="C928" s="30"/>
      <c r="U928" s="39"/>
    </row>
    <row r="929" spans="1:21" ht="15.75" customHeight="1" x14ac:dyDescent="0.35">
      <c r="A929" s="30"/>
      <c r="B929" s="30"/>
      <c r="C929" s="30"/>
      <c r="U929" s="39"/>
    </row>
    <row r="930" spans="1:21" ht="15.75" customHeight="1" x14ac:dyDescent="0.35">
      <c r="A930" s="30"/>
      <c r="B930" s="30"/>
      <c r="C930" s="30"/>
      <c r="U930" s="39"/>
    </row>
    <row r="931" spans="1:21" ht="15.75" customHeight="1" x14ac:dyDescent="0.35">
      <c r="A931" s="30"/>
      <c r="B931" s="30"/>
      <c r="C931" s="30"/>
      <c r="U931" s="39"/>
    </row>
    <row r="932" spans="1:21" ht="15.75" customHeight="1" x14ac:dyDescent="0.35">
      <c r="A932" s="30"/>
      <c r="B932" s="30"/>
      <c r="C932" s="30"/>
      <c r="U932" s="39"/>
    </row>
    <row r="933" spans="1:21" ht="15.75" customHeight="1" x14ac:dyDescent="0.35">
      <c r="A933" s="30"/>
      <c r="B933" s="30"/>
      <c r="C933" s="30"/>
      <c r="U933" s="39"/>
    </row>
    <row r="934" spans="1:21" ht="15.75" customHeight="1" x14ac:dyDescent="0.35">
      <c r="A934" s="30"/>
      <c r="B934" s="30"/>
      <c r="C934" s="30"/>
      <c r="U934" s="39"/>
    </row>
    <row r="935" spans="1:21" ht="15.75" customHeight="1" x14ac:dyDescent="0.35">
      <c r="A935" s="30"/>
      <c r="B935" s="30"/>
      <c r="C935" s="30"/>
      <c r="U935" s="39"/>
    </row>
    <row r="936" spans="1:21" ht="15.75" customHeight="1" x14ac:dyDescent="0.35">
      <c r="A936" s="30"/>
      <c r="B936" s="30"/>
      <c r="C936" s="30"/>
      <c r="U936" s="39"/>
    </row>
    <row r="937" spans="1:21" ht="15.75" customHeight="1" x14ac:dyDescent="0.35">
      <c r="A937" s="30"/>
      <c r="B937" s="30"/>
      <c r="C937" s="30"/>
      <c r="U937" s="39"/>
    </row>
    <row r="938" spans="1:21" ht="15.75" customHeight="1" x14ac:dyDescent="0.35">
      <c r="A938" s="30"/>
      <c r="B938" s="30"/>
      <c r="C938" s="30"/>
      <c r="U938" s="39"/>
    </row>
    <row r="939" spans="1:21" ht="15.75" customHeight="1" x14ac:dyDescent="0.35">
      <c r="A939" s="30"/>
      <c r="B939" s="30"/>
      <c r="C939" s="30"/>
      <c r="U939" s="39"/>
    </row>
    <row r="940" spans="1:21" ht="15.75" customHeight="1" x14ac:dyDescent="0.35">
      <c r="A940" s="30"/>
      <c r="B940" s="30"/>
      <c r="C940" s="30"/>
      <c r="U940" s="39"/>
    </row>
    <row r="941" spans="1:21" ht="15.75" customHeight="1" x14ac:dyDescent="0.35">
      <c r="A941" s="30"/>
      <c r="B941" s="30"/>
      <c r="C941" s="30"/>
      <c r="U941" s="39"/>
    </row>
    <row r="942" spans="1:21" ht="15.75" customHeight="1" x14ac:dyDescent="0.35">
      <c r="A942" s="30"/>
      <c r="B942" s="30"/>
      <c r="C942" s="30"/>
      <c r="U942" s="39"/>
    </row>
    <row r="943" spans="1:21" ht="15.75" customHeight="1" x14ac:dyDescent="0.35">
      <c r="A943" s="30"/>
      <c r="B943" s="30"/>
      <c r="C943" s="30"/>
      <c r="U943" s="39"/>
    </row>
    <row r="944" spans="1:21" ht="15.75" customHeight="1" x14ac:dyDescent="0.35">
      <c r="A944" s="30"/>
      <c r="B944" s="30"/>
      <c r="C944" s="30"/>
      <c r="U944" s="39"/>
    </row>
    <row r="945" spans="1:21" ht="15.75" customHeight="1" x14ac:dyDescent="0.35">
      <c r="A945" s="30"/>
      <c r="B945" s="30"/>
      <c r="C945" s="30"/>
      <c r="U945" s="39"/>
    </row>
    <row r="946" spans="1:21" ht="15.75" customHeight="1" x14ac:dyDescent="0.35">
      <c r="A946" s="30"/>
      <c r="B946" s="30"/>
      <c r="C946" s="30"/>
      <c r="U946" s="39"/>
    </row>
    <row r="947" spans="1:21" ht="15.75" customHeight="1" x14ac:dyDescent="0.35">
      <c r="A947" s="30"/>
      <c r="B947" s="30"/>
      <c r="C947" s="30"/>
      <c r="U947" s="39"/>
    </row>
    <row r="948" spans="1:21" ht="15.75" customHeight="1" x14ac:dyDescent="0.35">
      <c r="A948" s="30"/>
      <c r="B948" s="30"/>
      <c r="C948" s="30"/>
      <c r="U948" s="39"/>
    </row>
    <row r="949" spans="1:21" ht="15.75" customHeight="1" x14ac:dyDescent="0.35">
      <c r="A949" s="30"/>
      <c r="B949" s="30"/>
      <c r="C949" s="30"/>
      <c r="U949" s="39"/>
    </row>
    <row r="950" spans="1:21" ht="15.75" customHeight="1" x14ac:dyDescent="0.35">
      <c r="A950" s="30"/>
      <c r="B950" s="30"/>
      <c r="C950" s="30"/>
      <c r="U950" s="39"/>
    </row>
    <row r="951" spans="1:21" ht="15.75" customHeight="1" x14ac:dyDescent="0.35">
      <c r="A951" s="30"/>
      <c r="B951" s="30"/>
      <c r="C951" s="30"/>
      <c r="U951" s="39"/>
    </row>
    <row r="952" spans="1:21" ht="15.75" customHeight="1" x14ac:dyDescent="0.35">
      <c r="A952" s="30"/>
      <c r="B952" s="30"/>
      <c r="C952" s="30"/>
      <c r="U952" s="39"/>
    </row>
    <row r="953" spans="1:21" ht="15.75" customHeight="1" x14ac:dyDescent="0.35">
      <c r="A953" s="30"/>
      <c r="B953" s="30"/>
      <c r="C953" s="30"/>
      <c r="U953" s="39"/>
    </row>
    <row r="954" spans="1:21" ht="15.75" customHeight="1" x14ac:dyDescent="0.35">
      <c r="A954" s="30"/>
      <c r="B954" s="30"/>
      <c r="C954" s="30"/>
      <c r="U954" s="39"/>
    </row>
    <row r="955" spans="1:21" ht="15.75" customHeight="1" x14ac:dyDescent="0.35">
      <c r="A955" s="30"/>
      <c r="B955" s="30"/>
      <c r="C955" s="30"/>
      <c r="U955" s="39"/>
    </row>
    <row r="956" spans="1:21" ht="15.75" customHeight="1" x14ac:dyDescent="0.35">
      <c r="A956" s="30"/>
      <c r="B956" s="30"/>
      <c r="C956" s="30"/>
      <c r="U956" s="39"/>
    </row>
    <row r="957" spans="1:21" ht="15.75" customHeight="1" x14ac:dyDescent="0.35">
      <c r="A957" s="30"/>
      <c r="B957" s="30"/>
      <c r="C957" s="30"/>
      <c r="U957" s="39"/>
    </row>
    <row r="958" spans="1:21" ht="15.75" customHeight="1" x14ac:dyDescent="0.35">
      <c r="A958" s="30"/>
      <c r="B958" s="30"/>
      <c r="C958" s="30"/>
      <c r="U958" s="39"/>
    </row>
    <row r="959" spans="1:21" ht="15.75" customHeight="1" x14ac:dyDescent="0.35">
      <c r="A959" s="30"/>
      <c r="B959" s="30"/>
      <c r="C959" s="30"/>
      <c r="U959" s="39"/>
    </row>
    <row r="960" spans="1:21" ht="15.75" customHeight="1" x14ac:dyDescent="0.35">
      <c r="A960" s="30"/>
      <c r="B960" s="30"/>
      <c r="C960" s="30"/>
      <c r="U960" s="39"/>
    </row>
    <row r="961" spans="1:21" ht="15.75" customHeight="1" x14ac:dyDescent="0.35">
      <c r="A961" s="30"/>
      <c r="B961" s="30"/>
      <c r="C961" s="30"/>
      <c r="U961" s="39"/>
    </row>
    <row r="962" spans="1:21" ht="15.75" customHeight="1" x14ac:dyDescent="0.35">
      <c r="A962" s="30"/>
      <c r="B962" s="30"/>
      <c r="C962" s="30"/>
      <c r="U962" s="39"/>
    </row>
    <row r="963" spans="1:21" ht="15.75" customHeight="1" x14ac:dyDescent="0.35">
      <c r="A963" s="30"/>
      <c r="B963" s="30"/>
      <c r="C963" s="30"/>
      <c r="U963" s="39"/>
    </row>
    <row r="964" spans="1:21" ht="15.75" customHeight="1" x14ac:dyDescent="0.35">
      <c r="A964" s="30"/>
      <c r="B964" s="30"/>
      <c r="C964" s="30"/>
      <c r="U964" s="39"/>
    </row>
    <row r="965" spans="1:21" ht="15.75" customHeight="1" x14ac:dyDescent="0.35">
      <c r="A965" s="30"/>
      <c r="B965" s="30"/>
      <c r="C965" s="30"/>
      <c r="U965" s="39"/>
    </row>
    <row r="966" spans="1:21" ht="15.75" customHeight="1" x14ac:dyDescent="0.35">
      <c r="A966" s="30"/>
      <c r="B966" s="30"/>
      <c r="C966" s="30"/>
      <c r="U966" s="39"/>
    </row>
    <row r="967" spans="1:21" ht="15.75" customHeight="1" x14ac:dyDescent="0.35">
      <c r="A967" s="30"/>
      <c r="B967" s="30"/>
      <c r="C967" s="30"/>
      <c r="U967" s="39"/>
    </row>
    <row r="968" spans="1:21" ht="15.75" customHeight="1" x14ac:dyDescent="0.35">
      <c r="A968" s="30"/>
      <c r="B968" s="30"/>
      <c r="C968" s="30"/>
      <c r="U968" s="39"/>
    </row>
    <row r="969" spans="1:21" ht="15.75" customHeight="1" x14ac:dyDescent="0.35">
      <c r="A969" s="30"/>
      <c r="B969" s="30"/>
      <c r="C969" s="30"/>
      <c r="U969" s="39"/>
    </row>
    <row r="970" spans="1:21" ht="15.75" customHeight="1" x14ac:dyDescent="0.35">
      <c r="A970" s="30"/>
      <c r="B970" s="30"/>
      <c r="C970" s="30"/>
      <c r="U970" s="39"/>
    </row>
    <row r="971" spans="1:21" ht="15.75" customHeight="1" x14ac:dyDescent="0.35">
      <c r="A971" s="30"/>
      <c r="B971" s="30"/>
      <c r="C971" s="30"/>
      <c r="U971" s="39"/>
    </row>
    <row r="972" spans="1:21" ht="15.75" customHeight="1" x14ac:dyDescent="0.35">
      <c r="A972" s="30"/>
      <c r="B972" s="30"/>
      <c r="C972" s="30"/>
      <c r="U972" s="39"/>
    </row>
    <row r="973" spans="1:21" ht="15.75" customHeight="1" x14ac:dyDescent="0.35">
      <c r="A973" s="30"/>
      <c r="B973" s="30"/>
      <c r="C973" s="30"/>
      <c r="U973" s="39"/>
    </row>
    <row r="974" spans="1:21" ht="15.75" customHeight="1" x14ac:dyDescent="0.35">
      <c r="A974" s="30"/>
      <c r="B974" s="30"/>
      <c r="C974" s="30"/>
      <c r="U974" s="39"/>
    </row>
    <row r="975" spans="1:21" ht="15.75" customHeight="1" x14ac:dyDescent="0.35">
      <c r="A975" s="30"/>
      <c r="B975" s="30"/>
      <c r="C975" s="30"/>
      <c r="U975" s="39"/>
    </row>
    <row r="976" spans="1:21" ht="15.75" customHeight="1" x14ac:dyDescent="0.35">
      <c r="A976" s="30"/>
      <c r="B976" s="30"/>
      <c r="C976" s="30"/>
      <c r="U976" s="39"/>
    </row>
    <row r="977" spans="1:21" ht="15.75" customHeight="1" x14ac:dyDescent="0.35">
      <c r="A977" s="30"/>
      <c r="B977" s="30"/>
      <c r="C977" s="30"/>
      <c r="U977" s="39"/>
    </row>
    <row r="978" spans="1:21" ht="15.75" customHeight="1" x14ac:dyDescent="0.35">
      <c r="A978" s="30"/>
      <c r="B978" s="30"/>
      <c r="C978" s="30"/>
      <c r="U978" s="39"/>
    </row>
    <row r="979" spans="1:21" ht="15.75" customHeight="1" x14ac:dyDescent="0.35">
      <c r="A979" s="30"/>
      <c r="B979" s="30"/>
      <c r="C979" s="30"/>
      <c r="U979" s="39"/>
    </row>
    <row r="980" spans="1:21" ht="15.75" customHeight="1" x14ac:dyDescent="0.35">
      <c r="A980" s="30"/>
      <c r="B980" s="30"/>
      <c r="C980" s="30"/>
      <c r="U980" s="39"/>
    </row>
    <row r="981" spans="1:21" ht="15.75" customHeight="1" x14ac:dyDescent="0.35">
      <c r="A981" s="30"/>
      <c r="B981" s="30"/>
      <c r="C981" s="30"/>
      <c r="U981" s="39"/>
    </row>
    <row r="982" spans="1:21" ht="15.75" customHeight="1" x14ac:dyDescent="0.35">
      <c r="A982" s="30"/>
      <c r="B982" s="30"/>
      <c r="C982" s="30"/>
      <c r="U982" s="39"/>
    </row>
    <row r="983" spans="1:21" ht="15.75" customHeight="1" x14ac:dyDescent="0.35">
      <c r="A983" s="30"/>
      <c r="B983" s="30"/>
      <c r="C983" s="30"/>
      <c r="U983" s="39"/>
    </row>
    <row r="984" spans="1:21" ht="15.75" customHeight="1" x14ac:dyDescent="0.35">
      <c r="A984" s="30"/>
      <c r="B984" s="30"/>
      <c r="C984" s="30"/>
      <c r="U984" s="39"/>
    </row>
    <row r="985" spans="1:21" ht="15.75" customHeight="1" x14ac:dyDescent="0.35">
      <c r="A985" s="30"/>
      <c r="B985" s="30"/>
      <c r="C985" s="30"/>
      <c r="U985" s="39"/>
    </row>
    <row r="986" spans="1:21" ht="15.75" customHeight="1" x14ac:dyDescent="0.35">
      <c r="A986" s="30"/>
      <c r="B986" s="30"/>
      <c r="C986" s="30"/>
      <c r="U986" s="39"/>
    </row>
    <row r="987" spans="1:21" ht="15.75" customHeight="1" x14ac:dyDescent="0.35">
      <c r="A987" s="30"/>
      <c r="B987" s="30"/>
      <c r="C987" s="30"/>
      <c r="U987" s="39"/>
    </row>
    <row r="988" spans="1:21" ht="15.75" customHeight="1" x14ac:dyDescent="0.35">
      <c r="A988" s="30"/>
      <c r="B988" s="30"/>
      <c r="C988" s="30"/>
      <c r="U988" s="39"/>
    </row>
    <row r="989" spans="1:21" ht="15.75" customHeight="1" x14ac:dyDescent="0.35">
      <c r="A989" s="30"/>
      <c r="B989" s="30"/>
      <c r="C989" s="30"/>
      <c r="U989" s="39"/>
    </row>
    <row r="990" spans="1:21" ht="15.75" customHeight="1" x14ac:dyDescent="0.35">
      <c r="A990" s="30"/>
      <c r="B990" s="30"/>
      <c r="C990" s="30"/>
      <c r="U990" s="39"/>
    </row>
    <row r="991" spans="1:21" ht="15.75" customHeight="1" x14ac:dyDescent="0.35">
      <c r="A991" s="30"/>
      <c r="B991" s="30"/>
      <c r="C991" s="30"/>
      <c r="U991" s="39"/>
    </row>
    <row r="992" spans="1:21" ht="15.75" customHeight="1" x14ac:dyDescent="0.35">
      <c r="A992" s="30"/>
      <c r="B992" s="30"/>
      <c r="C992" s="30"/>
      <c r="U992" s="39"/>
    </row>
    <row r="993" spans="1:21" ht="15.75" customHeight="1" x14ac:dyDescent="0.35">
      <c r="A993" s="30"/>
      <c r="B993" s="30"/>
      <c r="C993" s="30"/>
      <c r="U993" s="39"/>
    </row>
    <row r="994" spans="1:21" ht="15.75" customHeight="1" x14ac:dyDescent="0.35">
      <c r="A994" s="30"/>
      <c r="B994" s="30"/>
      <c r="C994" s="30"/>
      <c r="U994" s="39"/>
    </row>
    <row r="995" spans="1:21" ht="15.75" customHeight="1" x14ac:dyDescent="0.35">
      <c r="A995" s="30"/>
      <c r="B995" s="30"/>
      <c r="C995" s="30"/>
      <c r="U995" s="39"/>
    </row>
    <row r="996" spans="1:21" ht="15.75" customHeight="1" x14ac:dyDescent="0.35">
      <c r="A996" s="30"/>
      <c r="B996" s="30"/>
      <c r="C996" s="30"/>
      <c r="U996" s="39"/>
    </row>
    <row r="997" spans="1:21" ht="15.75" customHeight="1" x14ac:dyDescent="0.35">
      <c r="A997" s="30"/>
      <c r="B997" s="30"/>
      <c r="C997" s="30"/>
      <c r="U997" s="39"/>
    </row>
    <row r="998" spans="1:21" ht="15.75" customHeight="1" x14ac:dyDescent="0.35">
      <c r="A998" s="30"/>
      <c r="B998" s="30"/>
      <c r="C998" s="30"/>
      <c r="U998" s="39"/>
    </row>
    <row r="999" spans="1:21" ht="15.75" customHeight="1" x14ac:dyDescent="0.35">
      <c r="A999" s="30"/>
      <c r="B999" s="30"/>
      <c r="C999" s="30"/>
      <c r="U999" s="39"/>
    </row>
    <row r="1000" spans="1:21" ht="15.75" customHeight="1" x14ac:dyDescent="0.35">
      <c r="A1000" s="30"/>
      <c r="B1000" s="30"/>
      <c r="C1000" s="30"/>
      <c r="U1000" s="39"/>
    </row>
  </sheetData>
  <pageMargins left="0.25" right="0.25" top="0.75" bottom="0.75" header="0" footer="0"/>
  <pageSetup paperSize="8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98"/>
  <sheetViews>
    <sheetView zoomScale="90" zoomScaleNormal="90" workbookViewId="0">
      <selection activeCell="L5" sqref="L5"/>
    </sheetView>
  </sheetViews>
  <sheetFormatPr defaultColWidth="14.453125" defaultRowHeight="15" customHeight="1" x14ac:dyDescent="0.35"/>
  <cols>
    <col min="1" max="1" width="22" customWidth="1"/>
    <col min="2" max="2" width="5.26953125" customWidth="1"/>
    <col min="3" max="3" width="7.54296875" customWidth="1"/>
    <col min="4" max="9" width="7.7265625" customWidth="1"/>
    <col min="10" max="10" width="9.1796875" customWidth="1"/>
    <col min="11" max="11" width="10.54296875" customWidth="1"/>
    <col min="12" max="12" width="10.26953125" customWidth="1"/>
    <col min="13" max="13" width="9.7265625" customWidth="1"/>
    <col min="14" max="14" width="6.1796875" style="62" customWidth="1"/>
    <col min="15" max="15" width="10.7265625" customWidth="1"/>
    <col min="16" max="24" width="8.7265625" customWidth="1"/>
  </cols>
  <sheetData>
    <row r="1" spans="1:15" ht="44.25" customHeight="1" x14ac:dyDescent="0.35">
      <c r="A1" s="51" t="s">
        <v>125</v>
      </c>
      <c r="B1" s="40"/>
      <c r="C1" s="40"/>
      <c r="D1" s="41"/>
      <c r="E1" s="42"/>
      <c r="F1" s="41"/>
      <c r="G1" s="43"/>
      <c r="H1" s="43"/>
      <c r="I1" s="41"/>
      <c r="J1" s="42"/>
      <c r="L1" s="39"/>
      <c r="M1" s="44"/>
      <c r="N1" s="45"/>
      <c r="O1" s="65" t="s">
        <v>126</v>
      </c>
    </row>
    <row r="2" spans="1:15" ht="42" customHeight="1" x14ac:dyDescent="0.35">
      <c r="A2" s="46" t="s">
        <v>12</v>
      </c>
      <c r="B2" s="46" t="s">
        <v>13</v>
      </c>
      <c r="C2" s="46" t="s">
        <v>14</v>
      </c>
      <c r="D2" s="47" t="s">
        <v>127</v>
      </c>
      <c r="E2" s="47" t="s">
        <v>8</v>
      </c>
      <c r="F2" s="47" t="s">
        <v>9</v>
      </c>
      <c r="G2" s="47" t="s">
        <v>10</v>
      </c>
      <c r="H2" s="47" t="s">
        <v>11</v>
      </c>
      <c r="I2" s="79" t="s">
        <v>128</v>
      </c>
      <c r="J2" s="47" t="s">
        <v>129</v>
      </c>
      <c r="K2" s="47" t="s">
        <v>130</v>
      </c>
      <c r="L2" s="48" t="s">
        <v>143</v>
      </c>
      <c r="M2" s="52" t="s">
        <v>131</v>
      </c>
      <c r="N2" s="63" t="s">
        <v>132</v>
      </c>
      <c r="O2" s="53" t="s">
        <v>133</v>
      </c>
    </row>
    <row r="3" spans="1:15" ht="14.5" x14ac:dyDescent="0.35">
      <c r="A3" s="54" t="s">
        <v>81</v>
      </c>
      <c r="B3" s="55" t="s">
        <v>22</v>
      </c>
      <c r="C3" s="55" t="s">
        <v>59</v>
      </c>
      <c r="D3" s="55">
        <v>100</v>
      </c>
      <c r="E3" s="55">
        <v>100</v>
      </c>
      <c r="F3" s="55">
        <v>100</v>
      </c>
      <c r="G3" s="55"/>
      <c r="H3" s="55"/>
      <c r="I3" s="56"/>
      <c r="J3" s="57">
        <v>99</v>
      </c>
      <c r="K3" s="69">
        <f t="shared" ref="K3:K8" si="0">AVERAGE(D3:I3)</f>
        <v>100</v>
      </c>
      <c r="L3" s="69">
        <f t="shared" ref="L3:L12" si="1">MIN(13.2, MAX(0, 100 - K3) * 0.66)</f>
        <v>0</v>
      </c>
      <c r="M3" s="58">
        <f t="shared" ref="M3:M34" si="2">J3</f>
        <v>99</v>
      </c>
      <c r="N3" s="60">
        <v>12</v>
      </c>
      <c r="O3" s="59">
        <f t="shared" ref="O3:O34" si="3">IF(ISBLANK(J3), 0, J3 + L3)</f>
        <v>99</v>
      </c>
    </row>
    <row r="4" spans="1:15" ht="14.5" x14ac:dyDescent="0.35">
      <c r="A4" s="54" t="s">
        <v>65</v>
      </c>
      <c r="B4" s="55" t="s">
        <v>22</v>
      </c>
      <c r="C4" s="55" t="s">
        <v>59</v>
      </c>
      <c r="D4" s="55">
        <v>98</v>
      </c>
      <c r="E4" s="55"/>
      <c r="F4" s="55">
        <v>100</v>
      </c>
      <c r="G4" s="55"/>
      <c r="H4" s="55"/>
      <c r="I4" s="56"/>
      <c r="J4" s="57">
        <v>98</v>
      </c>
      <c r="K4" s="69">
        <f t="shared" si="0"/>
        <v>99</v>
      </c>
      <c r="L4" s="69">
        <f t="shared" si="1"/>
        <v>0.66</v>
      </c>
      <c r="M4" s="58">
        <f t="shared" si="2"/>
        <v>98</v>
      </c>
      <c r="N4" s="60">
        <v>10</v>
      </c>
      <c r="O4" s="59">
        <f t="shared" si="3"/>
        <v>98.66</v>
      </c>
    </row>
    <row r="5" spans="1:15" ht="14.5" x14ac:dyDescent="0.35">
      <c r="A5" s="54" t="s">
        <v>51</v>
      </c>
      <c r="B5" s="55" t="s">
        <v>22</v>
      </c>
      <c r="C5" s="55" t="s">
        <v>134</v>
      </c>
      <c r="D5" s="55">
        <v>99</v>
      </c>
      <c r="E5" s="55"/>
      <c r="F5" s="55"/>
      <c r="G5" s="55"/>
      <c r="H5" s="55"/>
      <c r="I5" s="56"/>
      <c r="J5" s="57"/>
      <c r="K5" s="69">
        <f t="shared" si="0"/>
        <v>99</v>
      </c>
      <c r="L5" s="69">
        <f t="shared" si="1"/>
        <v>0.66</v>
      </c>
      <c r="M5" s="58">
        <f t="shared" si="2"/>
        <v>0</v>
      </c>
      <c r="N5" s="60"/>
      <c r="O5" s="59">
        <f t="shared" si="3"/>
        <v>0</v>
      </c>
    </row>
    <row r="6" spans="1:15" ht="14.5" x14ac:dyDescent="0.35">
      <c r="A6" s="54" t="s">
        <v>73</v>
      </c>
      <c r="B6" s="55" t="s">
        <v>22</v>
      </c>
      <c r="C6" s="55" t="s">
        <v>59</v>
      </c>
      <c r="D6" s="55"/>
      <c r="E6" s="55">
        <v>97</v>
      </c>
      <c r="F6" s="55">
        <v>100</v>
      </c>
      <c r="G6" s="55"/>
      <c r="H6" s="55"/>
      <c r="I6" s="56"/>
      <c r="J6" s="57"/>
      <c r="K6" s="69">
        <f t="shared" si="0"/>
        <v>98.5</v>
      </c>
      <c r="L6" s="69">
        <f t="shared" si="1"/>
        <v>0.99</v>
      </c>
      <c r="M6" s="58">
        <f t="shared" si="2"/>
        <v>0</v>
      </c>
      <c r="N6" s="60"/>
      <c r="O6" s="59">
        <f t="shared" si="3"/>
        <v>0</v>
      </c>
    </row>
    <row r="7" spans="1:15" ht="14.5" x14ac:dyDescent="0.35">
      <c r="A7" s="54" t="s">
        <v>79</v>
      </c>
      <c r="B7" s="55" t="s">
        <v>28</v>
      </c>
      <c r="C7" s="55" t="s">
        <v>59</v>
      </c>
      <c r="D7" s="55">
        <v>98</v>
      </c>
      <c r="E7" s="55">
        <v>100</v>
      </c>
      <c r="F7" s="55"/>
      <c r="G7" s="55"/>
      <c r="H7" s="55">
        <v>97</v>
      </c>
      <c r="I7" s="56"/>
      <c r="J7" s="57">
        <v>99</v>
      </c>
      <c r="K7" s="69">
        <f t="shared" si="0"/>
        <v>98.333333333333329</v>
      </c>
      <c r="L7" s="69">
        <f t="shared" si="1"/>
        <v>1.1000000000000032</v>
      </c>
      <c r="M7" s="58">
        <f t="shared" si="2"/>
        <v>99</v>
      </c>
      <c r="N7" s="60">
        <v>10</v>
      </c>
      <c r="O7" s="59">
        <f t="shared" si="3"/>
        <v>100.10000000000001</v>
      </c>
    </row>
    <row r="8" spans="1:15" ht="14.5" x14ac:dyDescent="0.35">
      <c r="A8" s="54" t="s">
        <v>108</v>
      </c>
      <c r="B8" s="55" t="s">
        <v>28</v>
      </c>
      <c r="C8" s="55" t="s">
        <v>136</v>
      </c>
      <c r="D8" s="55"/>
      <c r="E8" s="55">
        <v>98</v>
      </c>
      <c r="F8" s="55"/>
      <c r="G8" s="55"/>
      <c r="H8" s="55"/>
      <c r="I8" s="56"/>
      <c r="J8" s="55"/>
      <c r="K8" s="69">
        <f t="shared" si="0"/>
        <v>98</v>
      </c>
      <c r="L8" s="69">
        <f t="shared" si="1"/>
        <v>1.32</v>
      </c>
      <c r="M8" s="58">
        <f t="shared" si="2"/>
        <v>0</v>
      </c>
      <c r="N8" s="64"/>
      <c r="O8" s="59">
        <f t="shared" si="3"/>
        <v>0</v>
      </c>
    </row>
    <row r="9" spans="1:15" ht="14.5" x14ac:dyDescent="0.35">
      <c r="A9" s="54" t="s">
        <v>48</v>
      </c>
      <c r="B9" s="55" t="s">
        <v>22</v>
      </c>
      <c r="C9" s="55" t="s">
        <v>134</v>
      </c>
      <c r="D9" s="55"/>
      <c r="E9" s="55"/>
      <c r="F9" s="55"/>
      <c r="G9" s="55"/>
      <c r="H9" s="55"/>
      <c r="I9" s="56"/>
      <c r="J9" s="57">
        <v>98</v>
      </c>
      <c r="K9" s="69">
        <f>AVERAGE(D9:J9)</f>
        <v>98</v>
      </c>
      <c r="L9" s="69">
        <f t="shared" si="1"/>
        <v>1.32</v>
      </c>
      <c r="M9" s="58">
        <f t="shared" si="2"/>
        <v>98</v>
      </c>
      <c r="N9" s="60">
        <v>5</v>
      </c>
      <c r="O9" s="59">
        <f t="shared" si="3"/>
        <v>99.32</v>
      </c>
    </row>
    <row r="10" spans="1:15" ht="14.5" x14ac:dyDescent="0.35">
      <c r="A10" s="54" t="s">
        <v>32</v>
      </c>
      <c r="B10" s="55" t="s">
        <v>22</v>
      </c>
      <c r="C10" s="55" t="s">
        <v>134</v>
      </c>
      <c r="D10" s="55"/>
      <c r="E10" s="55"/>
      <c r="F10" s="55">
        <v>98</v>
      </c>
      <c r="G10" s="55"/>
      <c r="H10" s="55"/>
      <c r="I10" s="56"/>
      <c r="J10" s="57"/>
      <c r="K10" s="69">
        <f t="shared" ref="K10:K18" si="4">AVERAGE(D10:I10)</f>
        <v>98</v>
      </c>
      <c r="L10" s="69">
        <f t="shared" si="1"/>
        <v>1.32</v>
      </c>
      <c r="M10" s="58">
        <f t="shared" si="2"/>
        <v>0</v>
      </c>
      <c r="N10" s="60"/>
      <c r="O10" s="59">
        <f t="shared" si="3"/>
        <v>0</v>
      </c>
    </row>
    <row r="11" spans="1:15" ht="14.5" x14ac:dyDescent="0.35">
      <c r="A11" s="54" t="s">
        <v>52</v>
      </c>
      <c r="B11" s="55" t="s">
        <v>22</v>
      </c>
      <c r="C11" s="55" t="s">
        <v>134</v>
      </c>
      <c r="D11" s="55">
        <v>98</v>
      </c>
      <c r="E11" s="55"/>
      <c r="F11" s="55"/>
      <c r="G11" s="55"/>
      <c r="H11" s="55"/>
      <c r="I11" s="56"/>
      <c r="J11" s="57"/>
      <c r="K11" s="69">
        <f t="shared" si="4"/>
        <v>98</v>
      </c>
      <c r="L11" s="69">
        <f t="shared" si="1"/>
        <v>1.32</v>
      </c>
      <c r="M11" s="58">
        <f t="shared" si="2"/>
        <v>0</v>
      </c>
      <c r="N11" s="60"/>
      <c r="O11" s="59">
        <f t="shared" si="3"/>
        <v>0</v>
      </c>
    </row>
    <row r="12" spans="1:15" ht="14.5" x14ac:dyDescent="0.35">
      <c r="A12" s="54" t="s">
        <v>39</v>
      </c>
      <c r="B12" s="55" t="s">
        <v>22</v>
      </c>
      <c r="C12" s="55" t="s">
        <v>134</v>
      </c>
      <c r="D12" s="55"/>
      <c r="E12" s="55">
        <v>98</v>
      </c>
      <c r="F12" s="55"/>
      <c r="G12" s="55"/>
      <c r="H12" s="55"/>
      <c r="I12" s="56"/>
      <c r="J12" s="57"/>
      <c r="K12" s="69">
        <f t="shared" si="4"/>
        <v>98</v>
      </c>
      <c r="L12" s="69">
        <f t="shared" si="1"/>
        <v>1.32</v>
      </c>
      <c r="M12" s="58">
        <f t="shared" si="2"/>
        <v>0</v>
      </c>
      <c r="N12" s="60"/>
      <c r="O12" s="59">
        <f t="shared" si="3"/>
        <v>0</v>
      </c>
    </row>
    <row r="13" spans="1:15" ht="14.5" x14ac:dyDescent="0.35">
      <c r="A13" s="54" t="s">
        <v>64</v>
      </c>
      <c r="B13" s="55" t="s">
        <v>58</v>
      </c>
      <c r="C13" s="55" t="s">
        <v>59</v>
      </c>
      <c r="D13" s="55">
        <v>117</v>
      </c>
      <c r="E13" s="55">
        <v>119</v>
      </c>
      <c r="F13" s="55"/>
      <c r="G13" s="55"/>
      <c r="H13" s="55"/>
      <c r="I13" s="56"/>
      <c r="J13" s="57"/>
      <c r="K13" s="69">
        <f t="shared" si="4"/>
        <v>118</v>
      </c>
      <c r="L13" s="69">
        <f>MIN(13.2, MAX(0, 120 - K13) * 0.66)</f>
        <v>1.32</v>
      </c>
      <c r="M13" s="58">
        <f t="shared" si="2"/>
        <v>0</v>
      </c>
      <c r="N13" s="60"/>
      <c r="O13" s="59">
        <f t="shared" si="3"/>
        <v>0</v>
      </c>
    </row>
    <row r="14" spans="1:15" ht="14.5" x14ac:dyDescent="0.35">
      <c r="A14" s="54" t="s">
        <v>57</v>
      </c>
      <c r="B14" s="55" t="s">
        <v>58</v>
      </c>
      <c r="C14" s="55" t="s">
        <v>59</v>
      </c>
      <c r="D14" s="55">
        <v>118</v>
      </c>
      <c r="E14" s="55"/>
      <c r="F14" s="55"/>
      <c r="G14" s="55"/>
      <c r="H14" s="55"/>
      <c r="I14" s="56"/>
      <c r="J14" s="57"/>
      <c r="K14" s="69">
        <f t="shared" si="4"/>
        <v>118</v>
      </c>
      <c r="L14" s="69">
        <f>MIN(13.2, MAX(0, 120 - K14) * 0.66)</f>
        <v>1.32</v>
      </c>
      <c r="M14" s="58">
        <f t="shared" si="2"/>
        <v>0</v>
      </c>
      <c r="N14" s="60"/>
      <c r="O14" s="59">
        <f t="shared" si="3"/>
        <v>0</v>
      </c>
    </row>
    <row r="15" spans="1:15" ht="14.5" x14ac:dyDescent="0.35">
      <c r="A15" s="54" t="s">
        <v>46</v>
      </c>
      <c r="B15" s="55" t="s">
        <v>22</v>
      </c>
      <c r="C15" s="55" t="s">
        <v>134</v>
      </c>
      <c r="D15" s="55">
        <v>100</v>
      </c>
      <c r="E15" s="55">
        <v>99</v>
      </c>
      <c r="F15" s="55">
        <v>100</v>
      </c>
      <c r="G15" s="55">
        <v>93</v>
      </c>
      <c r="H15" s="55">
        <v>95</v>
      </c>
      <c r="I15" s="56"/>
      <c r="J15" s="57"/>
      <c r="K15" s="69">
        <f t="shared" si="4"/>
        <v>97.4</v>
      </c>
      <c r="L15" s="69">
        <f>MIN(13.2, MAX(0, 100 - K15) * 0.66)</f>
        <v>1.7159999999999964</v>
      </c>
      <c r="M15" s="58">
        <f t="shared" si="2"/>
        <v>0</v>
      </c>
      <c r="N15" s="60"/>
      <c r="O15" s="59">
        <f t="shared" si="3"/>
        <v>0</v>
      </c>
    </row>
    <row r="16" spans="1:15" ht="14.5" x14ac:dyDescent="0.35">
      <c r="A16" s="54" t="s">
        <v>98</v>
      </c>
      <c r="B16" s="55" t="s">
        <v>28</v>
      </c>
      <c r="C16" s="55" t="s">
        <v>95</v>
      </c>
      <c r="D16" s="55">
        <v>95</v>
      </c>
      <c r="E16" s="55">
        <v>99</v>
      </c>
      <c r="F16" s="55"/>
      <c r="G16" s="55"/>
      <c r="H16" s="55">
        <v>98</v>
      </c>
      <c r="I16" s="56"/>
      <c r="J16" s="57">
        <v>97</v>
      </c>
      <c r="K16" s="69">
        <f t="shared" si="4"/>
        <v>97.333333333333329</v>
      </c>
      <c r="L16" s="69">
        <f>MIN(13.2, MAX(0, 100 - K16) * 0.66)</f>
        <v>1.7600000000000031</v>
      </c>
      <c r="M16" s="58">
        <f t="shared" si="2"/>
        <v>97</v>
      </c>
      <c r="N16" s="60">
        <v>6</v>
      </c>
      <c r="O16" s="59">
        <f t="shared" si="3"/>
        <v>98.76</v>
      </c>
    </row>
    <row r="17" spans="1:15" ht="14.5" x14ac:dyDescent="0.35">
      <c r="A17" s="54" t="s">
        <v>99</v>
      </c>
      <c r="B17" s="55" t="s">
        <v>28</v>
      </c>
      <c r="C17" s="55" t="s">
        <v>95</v>
      </c>
      <c r="D17" s="55">
        <v>95</v>
      </c>
      <c r="E17" s="55">
        <v>99</v>
      </c>
      <c r="F17" s="55">
        <v>97</v>
      </c>
      <c r="G17" s="55"/>
      <c r="H17" s="55"/>
      <c r="I17" s="56"/>
      <c r="J17" s="57">
        <v>83</v>
      </c>
      <c r="K17" s="69">
        <f t="shared" si="4"/>
        <v>97</v>
      </c>
      <c r="L17" s="69">
        <f>MIN(13.2, MAX(0, 100 - K17) * 0.66)</f>
        <v>1.98</v>
      </c>
      <c r="M17" s="58">
        <f t="shared" si="2"/>
        <v>83</v>
      </c>
      <c r="N17" s="60">
        <v>4</v>
      </c>
      <c r="O17" s="59">
        <f t="shared" si="3"/>
        <v>84.98</v>
      </c>
    </row>
    <row r="18" spans="1:15" ht="14.5" x14ac:dyDescent="0.35">
      <c r="A18" s="54" t="s">
        <v>50</v>
      </c>
      <c r="B18" s="55" t="s">
        <v>22</v>
      </c>
      <c r="C18" s="55" t="s">
        <v>134</v>
      </c>
      <c r="D18" s="55">
        <v>99</v>
      </c>
      <c r="E18" s="55">
        <v>98</v>
      </c>
      <c r="F18" s="55">
        <v>97</v>
      </c>
      <c r="G18" s="55">
        <v>97</v>
      </c>
      <c r="H18" s="55">
        <v>94</v>
      </c>
      <c r="I18" s="56"/>
      <c r="J18" s="57">
        <v>98</v>
      </c>
      <c r="K18" s="69">
        <f t="shared" si="4"/>
        <v>97</v>
      </c>
      <c r="L18" s="69">
        <f>MIN(13.2, MAX(0, 100 - K18) * 0.66)</f>
        <v>1.98</v>
      </c>
      <c r="M18" s="58">
        <f t="shared" si="2"/>
        <v>98</v>
      </c>
      <c r="N18" s="60">
        <v>11</v>
      </c>
      <c r="O18" s="59">
        <f t="shared" si="3"/>
        <v>99.98</v>
      </c>
    </row>
    <row r="19" spans="1:15" ht="15.75" customHeight="1" x14ac:dyDescent="0.35">
      <c r="A19" s="54" t="s">
        <v>25</v>
      </c>
      <c r="B19" s="55" t="s">
        <v>22</v>
      </c>
      <c r="C19" s="55" t="s">
        <v>134</v>
      </c>
      <c r="D19" s="55"/>
      <c r="E19" s="55"/>
      <c r="F19" s="55"/>
      <c r="G19" s="55"/>
      <c r="H19" s="55"/>
      <c r="I19" s="56"/>
      <c r="J19" s="57">
        <v>97</v>
      </c>
      <c r="K19" s="69">
        <f>AVERAGE(D19:J19)</f>
        <v>97</v>
      </c>
      <c r="L19" s="69">
        <f>MIN(13.2, MAX(0, 100 - K19) * 0.66)</f>
        <v>1.98</v>
      </c>
      <c r="M19" s="58">
        <f t="shared" si="2"/>
        <v>97</v>
      </c>
      <c r="N19" s="60">
        <v>4</v>
      </c>
      <c r="O19" s="59">
        <f t="shared" si="3"/>
        <v>98.98</v>
      </c>
    </row>
    <row r="20" spans="1:15" ht="15.75" customHeight="1" x14ac:dyDescent="0.35">
      <c r="A20" s="54" t="s">
        <v>124</v>
      </c>
      <c r="B20" s="55" t="s">
        <v>58</v>
      </c>
      <c r="C20" s="55" t="s">
        <v>136</v>
      </c>
      <c r="D20" s="55"/>
      <c r="E20" s="55"/>
      <c r="F20" s="55"/>
      <c r="G20" s="55"/>
      <c r="H20" s="55">
        <v>117</v>
      </c>
      <c r="I20" s="56"/>
      <c r="J20" s="57"/>
      <c r="K20" s="69">
        <f t="shared" ref="K20:K25" si="5">AVERAGE(D20:I20)</f>
        <v>117</v>
      </c>
      <c r="L20" s="69">
        <f>MIN(13.2, MAX(0, 120 - K20) * 0.66)</f>
        <v>1.98</v>
      </c>
      <c r="M20" s="58">
        <f t="shared" si="2"/>
        <v>0</v>
      </c>
      <c r="N20" s="60"/>
      <c r="O20" s="59">
        <f t="shared" si="3"/>
        <v>0</v>
      </c>
    </row>
    <row r="21" spans="1:15" ht="15.75" customHeight="1" x14ac:dyDescent="0.35">
      <c r="A21" s="54" t="s">
        <v>48</v>
      </c>
      <c r="B21" s="55" t="s">
        <v>22</v>
      </c>
      <c r="C21" s="55" t="s">
        <v>134</v>
      </c>
      <c r="D21" s="55">
        <v>98</v>
      </c>
      <c r="E21" s="55">
        <v>99</v>
      </c>
      <c r="F21" s="55">
        <v>99</v>
      </c>
      <c r="G21" s="55">
        <v>92</v>
      </c>
      <c r="H21" s="55">
        <v>96</v>
      </c>
      <c r="I21" s="56"/>
      <c r="J21" s="57"/>
      <c r="K21" s="69">
        <f t="shared" si="5"/>
        <v>96.8</v>
      </c>
      <c r="L21" s="69">
        <f>MIN(13.2, MAX(0, 100 - K21) * 0.66)</f>
        <v>2.1120000000000019</v>
      </c>
      <c r="M21" s="58">
        <f t="shared" si="2"/>
        <v>0</v>
      </c>
      <c r="N21" s="60"/>
      <c r="O21" s="59">
        <f t="shared" si="3"/>
        <v>0</v>
      </c>
    </row>
    <row r="22" spans="1:15" ht="15.75" customHeight="1" x14ac:dyDescent="0.35">
      <c r="A22" s="54" t="s">
        <v>63</v>
      </c>
      <c r="B22" s="55" t="s">
        <v>58</v>
      </c>
      <c r="C22" s="55" t="s">
        <v>59</v>
      </c>
      <c r="D22" s="55">
        <v>114</v>
      </c>
      <c r="E22" s="55">
        <v>119</v>
      </c>
      <c r="F22" s="55">
        <v>117</v>
      </c>
      <c r="G22" s="55"/>
      <c r="H22" s="55"/>
      <c r="I22" s="56"/>
      <c r="J22" s="57">
        <v>113</v>
      </c>
      <c r="K22" s="69">
        <f t="shared" si="5"/>
        <v>116.66666666666667</v>
      </c>
      <c r="L22" s="69">
        <f>MIN(13.2, MAX(0, 120 - K22) * 0.66)</f>
        <v>2.1999999999999971</v>
      </c>
      <c r="M22" s="58">
        <f t="shared" si="2"/>
        <v>113</v>
      </c>
      <c r="N22" s="60">
        <v>4</v>
      </c>
      <c r="O22" s="59">
        <f t="shared" si="3"/>
        <v>115.2</v>
      </c>
    </row>
    <row r="23" spans="1:15" ht="15.75" customHeight="1" x14ac:dyDescent="0.35">
      <c r="A23" s="54" t="s">
        <v>88</v>
      </c>
      <c r="B23" s="55" t="s">
        <v>28</v>
      </c>
      <c r="C23" s="55" t="s">
        <v>83</v>
      </c>
      <c r="D23" s="55">
        <v>95</v>
      </c>
      <c r="E23" s="55"/>
      <c r="F23" s="55"/>
      <c r="G23" s="55">
        <v>97</v>
      </c>
      <c r="H23" s="55"/>
      <c r="I23" s="56"/>
      <c r="J23" s="57">
        <v>91</v>
      </c>
      <c r="K23" s="69">
        <f t="shared" si="5"/>
        <v>96</v>
      </c>
      <c r="L23" s="69">
        <f>MIN(13.2, MAX(0, 100 - K23) * 0.66)</f>
        <v>2.64</v>
      </c>
      <c r="M23" s="58">
        <f t="shared" si="2"/>
        <v>91</v>
      </c>
      <c r="N23" s="60">
        <v>3</v>
      </c>
      <c r="O23" s="59">
        <f t="shared" si="3"/>
        <v>93.64</v>
      </c>
    </row>
    <row r="24" spans="1:15" ht="15.75" customHeight="1" x14ac:dyDescent="0.35">
      <c r="A24" s="54" t="s">
        <v>27</v>
      </c>
      <c r="B24" s="55" t="s">
        <v>28</v>
      </c>
      <c r="C24" s="55" t="s">
        <v>134</v>
      </c>
      <c r="D24" s="55">
        <v>96</v>
      </c>
      <c r="E24" s="55"/>
      <c r="F24" s="55"/>
      <c r="G24" s="55"/>
      <c r="H24" s="55"/>
      <c r="I24" s="56"/>
      <c r="J24" s="55"/>
      <c r="K24" s="69">
        <f t="shared" si="5"/>
        <v>96</v>
      </c>
      <c r="L24" s="69">
        <f>MIN(13.2, MAX(0, 100 - K24) * 0.66)</f>
        <v>2.64</v>
      </c>
      <c r="M24" s="58">
        <f t="shared" si="2"/>
        <v>0</v>
      </c>
      <c r="N24" s="64"/>
      <c r="O24" s="59">
        <f t="shared" si="3"/>
        <v>0</v>
      </c>
    </row>
    <row r="25" spans="1:15" ht="15.75" customHeight="1" x14ac:dyDescent="0.35">
      <c r="A25" s="54" t="s">
        <v>109</v>
      </c>
      <c r="B25" s="55" t="s">
        <v>28</v>
      </c>
      <c r="C25" s="55" t="s">
        <v>136</v>
      </c>
      <c r="D25" s="55"/>
      <c r="E25" s="55">
        <v>96</v>
      </c>
      <c r="F25" s="55"/>
      <c r="G25" s="55"/>
      <c r="H25" s="55"/>
      <c r="I25" s="56"/>
      <c r="J25" s="55"/>
      <c r="K25" s="69">
        <f t="shared" si="5"/>
        <v>96</v>
      </c>
      <c r="L25" s="69">
        <f>MIN(13.2, MAX(0, 100 - K25) * 0.66)</f>
        <v>2.64</v>
      </c>
      <c r="M25" s="58">
        <f t="shared" si="2"/>
        <v>0</v>
      </c>
      <c r="N25" s="64"/>
      <c r="O25" s="59">
        <f t="shared" si="3"/>
        <v>0</v>
      </c>
    </row>
    <row r="26" spans="1:15" ht="15.75" customHeight="1" x14ac:dyDescent="0.35">
      <c r="A26" s="54" t="s">
        <v>137</v>
      </c>
      <c r="B26" s="55" t="s">
        <v>22</v>
      </c>
      <c r="C26" s="55" t="s">
        <v>59</v>
      </c>
      <c r="D26" s="55"/>
      <c r="E26" s="55"/>
      <c r="F26" s="55"/>
      <c r="G26" s="55"/>
      <c r="H26" s="55"/>
      <c r="I26" s="56"/>
      <c r="J26" s="57">
        <v>96</v>
      </c>
      <c r="K26" s="69">
        <f>AVERAGE(D26:J26)</f>
        <v>96</v>
      </c>
      <c r="L26" s="69">
        <f>MIN(13.2, MAX(0, 100 - K26) * 0.66)</f>
        <v>2.64</v>
      </c>
      <c r="M26" s="58">
        <f t="shared" si="2"/>
        <v>96</v>
      </c>
      <c r="N26" s="60">
        <v>7</v>
      </c>
      <c r="O26" s="59">
        <f t="shared" si="3"/>
        <v>98.64</v>
      </c>
    </row>
    <row r="27" spans="1:15" ht="15.75" customHeight="1" x14ac:dyDescent="0.35">
      <c r="A27" s="54" t="s">
        <v>74</v>
      </c>
      <c r="B27" s="55" t="s">
        <v>58</v>
      </c>
      <c r="C27" s="55" t="s">
        <v>59</v>
      </c>
      <c r="D27" s="55">
        <v>118</v>
      </c>
      <c r="E27" s="55">
        <v>116</v>
      </c>
      <c r="F27" s="55">
        <v>120</v>
      </c>
      <c r="G27" s="55"/>
      <c r="H27" s="55">
        <v>110</v>
      </c>
      <c r="I27" s="56"/>
      <c r="J27" s="57"/>
      <c r="K27" s="69">
        <f t="shared" ref="K27:K32" si="6">AVERAGE(D27:I27)</f>
        <v>116</v>
      </c>
      <c r="L27" s="69">
        <f>MIN(13.2, MAX(0, 120 - K27) * 0.66)</f>
        <v>2.64</v>
      </c>
      <c r="M27" s="58">
        <f t="shared" si="2"/>
        <v>0</v>
      </c>
      <c r="N27" s="60"/>
      <c r="O27" s="59">
        <f t="shared" si="3"/>
        <v>0</v>
      </c>
    </row>
    <row r="28" spans="1:15" ht="15.75" customHeight="1" x14ac:dyDescent="0.35">
      <c r="A28" s="54" t="s">
        <v>122</v>
      </c>
      <c r="B28" s="55" t="s">
        <v>58</v>
      </c>
      <c r="C28" s="55" t="s">
        <v>136</v>
      </c>
      <c r="D28" s="55"/>
      <c r="E28" s="55"/>
      <c r="F28" s="55">
        <v>116</v>
      </c>
      <c r="G28" s="55"/>
      <c r="H28" s="55"/>
      <c r="I28" s="56"/>
      <c r="J28" s="57"/>
      <c r="K28" s="69">
        <f t="shared" si="6"/>
        <v>116</v>
      </c>
      <c r="L28" s="69">
        <f>MIN(13.2, MAX(0, 120 - K28) * 0.66)</f>
        <v>2.64</v>
      </c>
      <c r="M28" s="58">
        <f t="shared" si="2"/>
        <v>0</v>
      </c>
      <c r="N28" s="60"/>
      <c r="O28" s="59">
        <f t="shared" si="3"/>
        <v>0</v>
      </c>
    </row>
    <row r="29" spans="1:15" ht="15.75" customHeight="1" x14ac:dyDescent="0.35">
      <c r="A29" s="54" t="s">
        <v>101</v>
      </c>
      <c r="B29" s="55" t="s">
        <v>58</v>
      </c>
      <c r="C29" s="55" t="s">
        <v>134</v>
      </c>
      <c r="D29" s="55">
        <v>116</v>
      </c>
      <c r="E29" s="55">
        <v>116</v>
      </c>
      <c r="F29" s="55">
        <v>117</v>
      </c>
      <c r="G29" s="55">
        <v>120</v>
      </c>
      <c r="H29" s="55">
        <v>109</v>
      </c>
      <c r="I29" s="56"/>
      <c r="J29" s="57">
        <v>113</v>
      </c>
      <c r="K29" s="69">
        <f t="shared" si="6"/>
        <v>115.6</v>
      </c>
      <c r="L29" s="69">
        <f>MIN(13.2, MAX(0, 120 - K29) * 0.66)</f>
        <v>2.9040000000000039</v>
      </c>
      <c r="M29" s="58">
        <f t="shared" si="2"/>
        <v>113</v>
      </c>
      <c r="N29" s="60">
        <v>5</v>
      </c>
      <c r="O29" s="59">
        <f t="shared" si="3"/>
        <v>115.90400000000001</v>
      </c>
    </row>
    <row r="30" spans="1:15" ht="15.75" customHeight="1" x14ac:dyDescent="0.35">
      <c r="A30" s="54" t="s">
        <v>97</v>
      </c>
      <c r="B30" s="55" t="s">
        <v>28</v>
      </c>
      <c r="C30" s="55" t="s">
        <v>95</v>
      </c>
      <c r="D30" s="55">
        <v>98</v>
      </c>
      <c r="E30" s="55">
        <v>98</v>
      </c>
      <c r="F30" s="55">
        <v>95</v>
      </c>
      <c r="G30" s="55">
        <v>96</v>
      </c>
      <c r="H30" s="55">
        <v>90</v>
      </c>
      <c r="I30" s="56"/>
      <c r="J30" s="57">
        <v>99</v>
      </c>
      <c r="K30" s="69">
        <f t="shared" si="6"/>
        <v>95.4</v>
      </c>
      <c r="L30" s="69">
        <f>MIN(13.2, MAX(0, 100 - K30) * 0.66)</f>
        <v>3.0359999999999965</v>
      </c>
      <c r="M30" s="58">
        <f t="shared" si="2"/>
        <v>99</v>
      </c>
      <c r="N30" s="60">
        <v>8</v>
      </c>
      <c r="O30" s="59">
        <f t="shared" si="3"/>
        <v>102.036</v>
      </c>
    </row>
    <row r="31" spans="1:15" ht="15.75" customHeight="1" x14ac:dyDescent="0.35">
      <c r="A31" s="54" t="s">
        <v>34</v>
      </c>
      <c r="B31" s="55" t="s">
        <v>58</v>
      </c>
      <c r="C31" s="55" t="s">
        <v>134</v>
      </c>
      <c r="D31" s="55">
        <v>119</v>
      </c>
      <c r="E31" s="55"/>
      <c r="F31" s="55"/>
      <c r="G31" s="55">
        <v>112</v>
      </c>
      <c r="H31" s="55">
        <v>115</v>
      </c>
      <c r="I31" s="56"/>
      <c r="J31" s="57"/>
      <c r="K31" s="69">
        <f t="shared" si="6"/>
        <v>115.33333333333333</v>
      </c>
      <c r="L31" s="69">
        <f>MIN(13.2, MAX(0, 120 - K31) * 0.66)</f>
        <v>3.0800000000000032</v>
      </c>
      <c r="M31" s="58">
        <f t="shared" si="2"/>
        <v>0</v>
      </c>
      <c r="N31" s="60"/>
      <c r="O31" s="59">
        <f t="shared" si="3"/>
        <v>0</v>
      </c>
    </row>
    <row r="32" spans="1:15" ht="15.75" customHeight="1" x14ac:dyDescent="0.35">
      <c r="A32" s="54" t="s">
        <v>29</v>
      </c>
      <c r="B32" s="55" t="s">
        <v>28</v>
      </c>
      <c r="C32" s="55" t="s">
        <v>134</v>
      </c>
      <c r="D32" s="55"/>
      <c r="E32" s="55"/>
      <c r="F32" s="55">
        <v>99</v>
      </c>
      <c r="G32" s="55">
        <v>99</v>
      </c>
      <c r="H32" s="55">
        <f>39+48</f>
        <v>87</v>
      </c>
      <c r="I32" s="56"/>
      <c r="J32" s="55"/>
      <c r="K32" s="69">
        <f t="shared" si="6"/>
        <v>95</v>
      </c>
      <c r="L32" s="69">
        <f>MIN(13.2, MAX(0, 100 - K32) * 0.66)</f>
        <v>3.3000000000000003</v>
      </c>
      <c r="M32" s="58">
        <f t="shared" si="2"/>
        <v>0</v>
      </c>
      <c r="N32" s="64"/>
      <c r="O32" s="59">
        <f t="shared" si="3"/>
        <v>0</v>
      </c>
    </row>
    <row r="33" spans="1:15" ht="15.75" customHeight="1" x14ac:dyDescent="0.35">
      <c r="A33" s="54" t="s">
        <v>138</v>
      </c>
      <c r="B33" s="55" t="s">
        <v>22</v>
      </c>
      <c r="C33" s="55" t="s">
        <v>134</v>
      </c>
      <c r="D33" s="55"/>
      <c r="E33" s="55"/>
      <c r="F33" s="55"/>
      <c r="G33" s="55"/>
      <c r="H33" s="55"/>
      <c r="I33" s="56"/>
      <c r="J33" s="57">
        <v>95</v>
      </c>
      <c r="K33" s="69">
        <f>AVERAGE(D33:J33)</f>
        <v>95</v>
      </c>
      <c r="L33" s="69">
        <f>MIN(13.2, MAX(0, 100 - K33) * 0.66)</f>
        <v>3.3000000000000003</v>
      </c>
      <c r="M33" s="58">
        <f t="shared" si="2"/>
        <v>95</v>
      </c>
      <c r="N33" s="60">
        <v>6</v>
      </c>
      <c r="O33" s="59">
        <f t="shared" si="3"/>
        <v>98.3</v>
      </c>
    </row>
    <row r="34" spans="1:15" ht="15.75" customHeight="1" x14ac:dyDescent="0.35">
      <c r="A34" s="54" t="s">
        <v>33</v>
      </c>
      <c r="B34" s="55" t="s">
        <v>58</v>
      </c>
      <c r="C34" s="55" t="s">
        <v>134</v>
      </c>
      <c r="D34" s="55">
        <v>115</v>
      </c>
      <c r="E34" s="55"/>
      <c r="F34" s="55">
        <v>115</v>
      </c>
      <c r="G34" s="55"/>
      <c r="H34" s="55"/>
      <c r="I34" s="56"/>
      <c r="J34" s="57"/>
      <c r="K34" s="69">
        <f t="shared" ref="K34:K48" si="7">AVERAGE(D34:I34)</f>
        <v>115</v>
      </c>
      <c r="L34" s="69">
        <f>MIN(13.2, MAX(0, 120 - K34) * 0.66)</f>
        <v>3.3000000000000003</v>
      </c>
      <c r="M34" s="58">
        <f t="shared" si="2"/>
        <v>0</v>
      </c>
      <c r="N34" s="60"/>
      <c r="O34" s="59">
        <f t="shared" si="3"/>
        <v>0</v>
      </c>
    </row>
    <row r="35" spans="1:15" ht="15.75" customHeight="1" x14ac:dyDescent="0.35">
      <c r="A35" s="54" t="s">
        <v>44</v>
      </c>
      <c r="B35" s="55" t="s">
        <v>58</v>
      </c>
      <c r="C35" s="55" t="s">
        <v>134</v>
      </c>
      <c r="D35" s="55"/>
      <c r="E35" s="55"/>
      <c r="F35" s="55"/>
      <c r="G35" s="55">
        <v>115</v>
      </c>
      <c r="H35" s="55"/>
      <c r="I35" s="56"/>
      <c r="J35" s="57"/>
      <c r="K35" s="69">
        <f t="shared" si="7"/>
        <v>115</v>
      </c>
      <c r="L35" s="69">
        <f>MIN(13.2, MAX(0, 120 - K35) * 0.66)</f>
        <v>3.3000000000000003</v>
      </c>
      <c r="M35" s="58">
        <f t="shared" ref="M35:M66" si="8">J35</f>
        <v>0</v>
      </c>
      <c r="N35" s="60"/>
      <c r="O35" s="59">
        <f t="shared" ref="O35:O66" si="9">IF(ISBLANK(J35), 0, J35 + L35)</f>
        <v>0</v>
      </c>
    </row>
    <row r="36" spans="1:15" ht="15.75" customHeight="1" x14ac:dyDescent="0.35">
      <c r="A36" s="54" t="s">
        <v>72</v>
      </c>
      <c r="B36" s="55" t="s">
        <v>22</v>
      </c>
      <c r="C36" s="55" t="s">
        <v>59</v>
      </c>
      <c r="D36" s="55">
        <v>98</v>
      </c>
      <c r="E36" s="55">
        <v>91</v>
      </c>
      <c r="F36" s="55">
        <v>96</v>
      </c>
      <c r="G36" s="55"/>
      <c r="H36" s="55">
        <v>93</v>
      </c>
      <c r="I36" s="56"/>
      <c r="J36" s="57"/>
      <c r="K36" s="69">
        <f t="shared" si="7"/>
        <v>94.5</v>
      </c>
      <c r="L36" s="69">
        <f>MIN(13.2, MAX(0, 100 - K36) * 0.66)</f>
        <v>3.6300000000000003</v>
      </c>
      <c r="M36" s="58">
        <f t="shared" si="8"/>
        <v>0</v>
      </c>
      <c r="N36" s="60"/>
      <c r="O36" s="59">
        <f t="shared" si="9"/>
        <v>0</v>
      </c>
    </row>
    <row r="37" spans="1:15" ht="15.75" customHeight="1" x14ac:dyDescent="0.35">
      <c r="A37" s="54" t="s">
        <v>53</v>
      </c>
      <c r="B37" s="55" t="s">
        <v>58</v>
      </c>
      <c r="C37" s="55" t="s">
        <v>134</v>
      </c>
      <c r="D37" s="55"/>
      <c r="E37" s="55"/>
      <c r="F37" s="55">
        <v>119</v>
      </c>
      <c r="G37" s="55">
        <v>110</v>
      </c>
      <c r="H37" s="55"/>
      <c r="I37" s="56"/>
      <c r="J37" s="57">
        <v>119</v>
      </c>
      <c r="K37" s="69">
        <f t="shared" si="7"/>
        <v>114.5</v>
      </c>
      <c r="L37" s="69">
        <f>MIN(13.2, MAX(0, 120 - K37) * 0.66)</f>
        <v>3.6300000000000003</v>
      </c>
      <c r="M37" s="58">
        <f t="shared" si="8"/>
        <v>119</v>
      </c>
      <c r="N37" s="60">
        <v>10</v>
      </c>
      <c r="O37" s="59">
        <f t="shared" si="9"/>
        <v>122.63</v>
      </c>
    </row>
    <row r="38" spans="1:15" ht="15.75" customHeight="1" x14ac:dyDescent="0.35">
      <c r="A38" s="54" t="s">
        <v>87</v>
      </c>
      <c r="B38" s="55" t="s">
        <v>28</v>
      </c>
      <c r="C38" s="55" t="s">
        <v>83</v>
      </c>
      <c r="D38" s="55">
        <v>94</v>
      </c>
      <c r="E38" s="55">
        <v>97</v>
      </c>
      <c r="F38" s="55">
        <v>100</v>
      </c>
      <c r="G38" s="55">
        <v>91</v>
      </c>
      <c r="H38" s="55">
        <v>89</v>
      </c>
      <c r="I38" s="56"/>
      <c r="J38" s="55"/>
      <c r="K38" s="69">
        <f t="shared" si="7"/>
        <v>94.2</v>
      </c>
      <c r="L38" s="69">
        <f>MIN(13.2, MAX(0, 100 - K38) * 0.66)</f>
        <v>3.8279999999999985</v>
      </c>
      <c r="M38" s="58">
        <f t="shared" si="8"/>
        <v>0</v>
      </c>
      <c r="N38" s="64"/>
      <c r="O38" s="59">
        <f t="shared" si="9"/>
        <v>0</v>
      </c>
    </row>
    <row r="39" spans="1:15" ht="15.75" customHeight="1" x14ac:dyDescent="0.35">
      <c r="A39" s="54" t="s">
        <v>40</v>
      </c>
      <c r="B39" s="55" t="s">
        <v>22</v>
      </c>
      <c r="C39" s="55" t="s">
        <v>134</v>
      </c>
      <c r="D39" s="55">
        <v>91</v>
      </c>
      <c r="E39" s="55">
        <v>93</v>
      </c>
      <c r="F39" s="55">
        <v>97</v>
      </c>
      <c r="G39" s="55">
        <v>95</v>
      </c>
      <c r="H39" s="55"/>
      <c r="I39" s="56"/>
      <c r="J39" s="57">
        <v>96</v>
      </c>
      <c r="K39" s="69">
        <f t="shared" si="7"/>
        <v>94</v>
      </c>
      <c r="L39" s="69">
        <f>MIN(13.2, MAX(0, 100 - K39) * 0.66)</f>
        <v>3.96</v>
      </c>
      <c r="M39" s="58">
        <f t="shared" si="8"/>
        <v>96</v>
      </c>
      <c r="N39" s="60">
        <v>8</v>
      </c>
      <c r="O39" s="59">
        <f t="shared" si="9"/>
        <v>99.96</v>
      </c>
    </row>
    <row r="40" spans="1:15" ht="15.75" customHeight="1" x14ac:dyDescent="0.35">
      <c r="A40" s="54" t="s">
        <v>37</v>
      </c>
      <c r="B40" s="55" t="s">
        <v>22</v>
      </c>
      <c r="C40" s="55" t="s">
        <v>134</v>
      </c>
      <c r="D40" s="55"/>
      <c r="E40" s="55"/>
      <c r="F40" s="55">
        <v>94</v>
      </c>
      <c r="G40" s="55"/>
      <c r="H40" s="55"/>
      <c r="I40" s="56"/>
      <c r="J40" s="57"/>
      <c r="K40" s="69">
        <f t="shared" si="7"/>
        <v>94</v>
      </c>
      <c r="L40" s="69">
        <f>MIN(13.2, MAX(0, 100 - K40) * 0.66)</f>
        <v>3.96</v>
      </c>
      <c r="M40" s="58">
        <f t="shared" si="8"/>
        <v>0</v>
      </c>
      <c r="N40" s="60"/>
      <c r="O40" s="59">
        <f t="shared" si="9"/>
        <v>0</v>
      </c>
    </row>
    <row r="41" spans="1:15" ht="15.75" customHeight="1" x14ac:dyDescent="0.35">
      <c r="A41" s="54" t="s">
        <v>62</v>
      </c>
      <c r="B41" s="55" t="s">
        <v>58</v>
      </c>
      <c r="C41" s="55" t="s">
        <v>59</v>
      </c>
      <c r="D41" s="55">
        <v>114</v>
      </c>
      <c r="E41" s="55"/>
      <c r="F41" s="55"/>
      <c r="G41" s="55"/>
      <c r="H41" s="55"/>
      <c r="I41" s="56"/>
      <c r="J41" s="57"/>
      <c r="K41" s="69">
        <f t="shared" si="7"/>
        <v>114</v>
      </c>
      <c r="L41" s="69">
        <f t="shared" ref="L41:L46" si="10">MIN(13.2, MAX(0, 120 - K41) * 0.66)</f>
        <v>3.96</v>
      </c>
      <c r="M41" s="58">
        <f t="shared" si="8"/>
        <v>0</v>
      </c>
      <c r="N41" s="60"/>
      <c r="O41" s="59">
        <f t="shared" si="9"/>
        <v>0</v>
      </c>
    </row>
    <row r="42" spans="1:15" ht="15.75" customHeight="1" x14ac:dyDescent="0.35">
      <c r="A42" s="54" t="s">
        <v>19</v>
      </c>
      <c r="B42" s="55" t="s">
        <v>58</v>
      </c>
      <c r="C42" s="55" t="s">
        <v>134</v>
      </c>
      <c r="D42" s="55"/>
      <c r="E42" s="55">
        <v>114</v>
      </c>
      <c r="F42" s="55"/>
      <c r="G42" s="55"/>
      <c r="H42" s="55"/>
      <c r="I42" s="56"/>
      <c r="J42" s="57"/>
      <c r="K42" s="69">
        <f t="shared" si="7"/>
        <v>114</v>
      </c>
      <c r="L42" s="69">
        <f t="shared" si="10"/>
        <v>3.96</v>
      </c>
      <c r="M42" s="58">
        <f t="shared" si="8"/>
        <v>0</v>
      </c>
      <c r="N42" s="60"/>
      <c r="O42" s="59">
        <f t="shared" si="9"/>
        <v>0</v>
      </c>
    </row>
    <row r="43" spans="1:15" ht="15.75" customHeight="1" x14ac:dyDescent="0.35">
      <c r="A43" s="54" t="s">
        <v>31</v>
      </c>
      <c r="B43" s="55" t="s">
        <v>58</v>
      </c>
      <c r="C43" s="55" t="s">
        <v>134</v>
      </c>
      <c r="D43" s="55"/>
      <c r="E43" s="55">
        <v>116</v>
      </c>
      <c r="F43" s="55"/>
      <c r="G43" s="55">
        <v>112</v>
      </c>
      <c r="H43" s="55"/>
      <c r="I43" s="56"/>
      <c r="J43" s="57"/>
      <c r="K43" s="69">
        <f t="shared" si="7"/>
        <v>114</v>
      </c>
      <c r="L43" s="69">
        <f t="shared" si="10"/>
        <v>3.96</v>
      </c>
      <c r="M43" s="58">
        <f t="shared" si="8"/>
        <v>0</v>
      </c>
      <c r="N43" s="60"/>
      <c r="O43" s="59">
        <f t="shared" si="9"/>
        <v>0</v>
      </c>
    </row>
    <row r="44" spans="1:15" ht="15.75" customHeight="1" x14ac:dyDescent="0.35">
      <c r="A44" s="54" t="s">
        <v>31</v>
      </c>
      <c r="B44" s="55" t="s">
        <v>58</v>
      </c>
      <c r="C44" s="55" t="s">
        <v>134</v>
      </c>
      <c r="D44" s="55">
        <v>114</v>
      </c>
      <c r="E44" s="55"/>
      <c r="F44" s="55"/>
      <c r="G44" s="55"/>
      <c r="H44" s="55"/>
      <c r="I44" s="56"/>
      <c r="J44" s="57"/>
      <c r="K44" s="69">
        <f t="shared" si="7"/>
        <v>114</v>
      </c>
      <c r="L44" s="69">
        <f t="shared" si="10"/>
        <v>3.96</v>
      </c>
      <c r="M44" s="58">
        <f t="shared" si="8"/>
        <v>0</v>
      </c>
      <c r="N44" s="60"/>
      <c r="O44" s="59">
        <f t="shared" si="9"/>
        <v>0</v>
      </c>
    </row>
    <row r="45" spans="1:15" ht="15.75" customHeight="1" x14ac:dyDescent="0.35">
      <c r="A45" s="54" t="s">
        <v>25</v>
      </c>
      <c r="B45" s="55" t="s">
        <v>58</v>
      </c>
      <c r="C45" s="55" t="s">
        <v>134</v>
      </c>
      <c r="D45" s="55"/>
      <c r="E45" s="55"/>
      <c r="F45" s="55">
        <v>114</v>
      </c>
      <c r="G45" s="55"/>
      <c r="H45" s="55"/>
      <c r="I45" s="56"/>
      <c r="J45" s="57"/>
      <c r="K45" s="69">
        <f t="shared" si="7"/>
        <v>114</v>
      </c>
      <c r="L45" s="69">
        <f t="shared" si="10"/>
        <v>3.96</v>
      </c>
      <c r="M45" s="58">
        <f t="shared" si="8"/>
        <v>0</v>
      </c>
      <c r="N45" s="60"/>
      <c r="O45" s="59">
        <f t="shared" si="9"/>
        <v>0</v>
      </c>
    </row>
    <row r="46" spans="1:15" ht="15.75" customHeight="1" x14ac:dyDescent="0.35">
      <c r="A46" s="54" t="s">
        <v>68</v>
      </c>
      <c r="B46" s="55" t="s">
        <v>58</v>
      </c>
      <c r="C46" s="55" t="s">
        <v>59</v>
      </c>
      <c r="D46" s="55">
        <v>112</v>
      </c>
      <c r="E46" s="55">
        <v>118</v>
      </c>
      <c r="F46" s="55">
        <v>110</v>
      </c>
      <c r="G46" s="55"/>
      <c r="H46" s="55"/>
      <c r="I46" s="56"/>
      <c r="J46" s="57"/>
      <c r="K46" s="69">
        <f t="shared" si="7"/>
        <v>113.33333333333333</v>
      </c>
      <c r="L46" s="69">
        <f t="shared" si="10"/>
        <v>4.400000000000003</v>
      </c>
      <c r="M46" s="58">
        <f t="shared" si="8"/>
        <v>0</v>
      </c>
      <c r="N46" s="60"/>
      <c r="O46" s="59">
        <f t="shared" si="9"/>
        <v>0</v>
      </c>
    </row>
    <row r="47" spans="1:15" ht="15.75" customHeight="1" x14ac:dyDescent="0.35">
      <c r="A47" s="54" t="s">
        <v>85</v>
      </c>
      <c r="B47" s="55" t="s">
        <v>28</v>
      </c>
      <c r="C47" s="55" t="s">
        <v>83</v>
      </c>
      <c r="D47" s="55">
        <v>94</v>
      </c>
      <c r="E47" s="55">
        <v>94</v>
      </c>
      <c r="F47" s="55">
        <v>97</v>
      </c>
      <c r="G47" s="55">
        <v>88</v>
      </c>
      <c r="H47" s="55">
        <v>92</v>
      </c>
      <c r="I47" s="56"/>
      <c r="J47" s="57">
        <v>92</v>
      </c>
      <c r="K47" s="69">
        <f t="shared" si="7"/>
        <v>93</v>
      </c>
      <c r="L47" s="69">
        <f t="shared" ref="L47:L53" si="11">MIN(13.2, MAX(0, 100 - K47) * 0.66)</f>
        <v>4.62</v>
      </c>
      <c r="M47" s="58">
        <f t="shared" si="8"/>
        <v>92</v>
      </c>
      <c r="N47" s="60">
        <v>7</v>
      </c>
      <c r="O47" s="59">
        <f t="shared" si="9"/>
        <v>96.62</v>
      </c>
    </row>
    <row r="48" spans="1:15" ht="15.75" customHeight="1" x14ac:dyDescent="0.35">
      <c r="A48" s="54" t="s">
        <v>55</v>
      </c>
      <c r="B48" s="55" t="s">
        <v>28</v>
      </c>
      <c r="C48" s="55" t="s">
        <v>134</v>
      </c>
      <c r="D48" s="55"/>
      <c r="E48" s="55"/>
      <c r="F48" s="55"/>
      <c r="G48" s="55"/>
      <c r="H48" s="55">
        <f>46+47</f>
        <v>93</v>
      </c>
      <c r="I48" s="56"/>
      <c r="J48" s="55"/>
      <c r="K48" s="69">
        <f t="shared" si="7"/>
        <v>93</v>
      </c>
      <c r="L48" s="69">
        <f t="shared" si="11"/>
        <v>4.62</v>
      </c>
      <c r="M48" s="58">
        <f t="shared" si="8"/>
        <v>0</v>
      </c>
      <c r="N48" s="64"/>
      <c r="O48" s="59">
        <f t="shared" si="9"/>
        <v>0</v>
      </c>
    </row>
    <row r="49" spans="1:15" ht="15.75" customHeight="1" x14ac:dyDescent="0.35">
      <c r="A49" s="54" t="s">
        <v>47</v>
      </c>
      <c r="B49" s="55" t="s">
        <v>22</v>
      </c>
      <c r="C49" s="55" t="s">
        <v>134</v>
      </c>
      <c r="D49" s="55"/>
      <c r="E49" s="55"/>
      <c r="F49" s="55"/>
      <c r="G49" s="55"/>
      <c r="H49" s="55"/>
      <c r="I49" s="56"/>
      <c r="J49" s="57">
        <v>93</v>
      </c>
      <c r="K49" s="69">
        <f>AVERAGE(D49:J49)</f>
        <v>93</v>
      </c>
      <c r="L49" s="69">
        <f t="shared" si="11"/>
        <v>4.62</v>
      </c>
      <c r="M49" s="58">
        <f t="shared" si="8"/>
        <v>93</v>
      </c>
      <c r="N49" s="60">
        <v>4</v>
      </c>
      <c r="O49" s="59">
        <f t="shared" si="9"/>
        <v>97.62</v>
      </c>
    </row>
    <row r="50" spans="1:15" ht="15.75" customHeight="1" x14ac:dyDescent="0.35">
      <c r="A50" s="54" t="s">
        <v>76</v>
      </c>
      <c r="B50" s="55" t="s">
        <v>22</v>
      </c>
      <c r="C50" s="55" t="s">
        <v>59</v>
      </c>
      <c r="D50" s="55">
        <v>93</v>
      </c>
      <c r="E50" s="55"/>
      <c r="F50" s="55"/>
      <c r="G50" s="55"/>
      <c r="H50" s="55"/>
      <c r="I50" s="56"/>
      <c r="J50" s="57"/>
      <c r="K50" s="69">
        <f>AVERAGE(D50:I50)</f>
        <v>93</v>
      </c>
      <c r="L50" s="69">
        <f t="shared" si="11"/>
        <v>4.62</v>
      </c>
      <c r="M50" s="58">
        <f t="shared" si="8"/>
        <v>0</v>
      </c>
      <c r="N50" s="60"/>
      <c r="O50" s="59">
        <f t="shared" si="9"/>
        <v>0</v>
      </c>
    </row>
    <row r="51" spans="1:15" ht="15.75" customHeight="1" x14ac:dyDescent="0.35">
      <c r="A51" s="54" t="s">
        <v>77</v>
      </c>
      <c r="B51" s="55" t="s">
        <v>22</v>
      </c>
      <c r="C51" s="55" t="s">
        <v>59</v>
      </c>
      <c r="D51" s="55">
        <v>93</v>
      </c>
      <c r="E51" s="55"/>
      <c r="F51" s="55"/>
      <c r="G51" s="55"/>
      <c r="H51" s="55"/>
      <c r="I51" s="56"/>
      <c r="J51" s="57"/>
      <c r="K51" s="69">
        <f>AVERAGE(D51:I51)</f>
        <v>93</v>
      </c>
      <c r="L51" s="69">
        <f t="shared" si="11"/>
        <v>4.62</v>
      </c>
      <c r="M51" s="58">
        <f t="shared" si="8"/>
        <v>0</v>
      </c>
      <c r="N51" s="60"/>
      <c r="O51" s="59">
        <f t="shared" si="9"/>
        <v>0</v>
      </c>
    </row>
    <row r="52" spans="1:15" ht="15.75" customHeight="1" x14ac:dyDescent="0.35">
      <c r="A52" s="54" t="s">
        <v>61</v>
      </c>
      <c r="B52" s="55" t="s">
        <v>22</v>
      </c>
      <c r="C52" s="55" t="s">
        <v>59</v>
      </c>
      <c r="D52" s="55"/>
      <c r="E52" s="55">
        <v>93</v>
      </c>
      <c r="F52" s="55"/>
      <c r="G52" s="55"/>
      <c r="H52" s="55"/>
      <c r="I52" s="56"/>
      <c r="J52" s="57"/>
      <c r="K52" s="69">
        <f>AVERAGE(D52:I52)</f>
        <v>93</v>
      </c>
      <c r="L52" s="69">
        <f t="shared" si="11"/>
        <v>4.62</v>
      </c>
      <c r="M52" s="58">
        <f t="shared" si="8"/>
        <v>0</v>
      </c>
      <c r="N52" s="60"/>
      <c r="O52" s="59">
        <f t="shared" si="9"/>
        <v>0</v>
      </c>
    </row>
    <row r="53" spans="1:15" ht="15.75" customHeight="1" x14ac:dyDescent="0.35">
      <c r="A53" s="54" t="s">
        <v>49</v>
      </c>
      <c r="B53" s="55" t="s">
        <v>22</v>
      </c>
      <c r="C53" s="55" t="s">
        <v>134</v>
      </c>
      <c r="D53" s="55"/>
      <c r="E53" s="55"/>
      <c r="F53" s="55">
        <v>93</v>
      </c>
      <c r="G53" s="55"/>
      <c r="H53" s="55"/>
      <c r="I53" s="56"/>
      <c r="J53" s="57"/>
      <c r="K53" s="69">
        <f>AVERAGE(D53:I53)</f>
        <v>93</v>
      </c>
      <c r="L53" s="69">
        <f t="shared" si="11"/>
        <v>4.62</v>
      </c>
      <c r="M53" s="58">
        <f t="shared" si="8"/>
        <v>0</v>
      </c>
      <c r="N53" s="60"/>
      <c r="O53" s="59">
        <f t="shared" si="9"/>
        <v>0</v>
      </c>
    </row>
    <row r="54" spans="1:15" ht="15.75" customHeight="1" x14ac:dyDescent="0.35">
      <c r="A54" s="54" t="s">
        <v>135</v>
      </c>
      <c r="B54" s="55" t="s">
        <v>58</v>
      </c>
      <c r="C54" s="55" t="s">
        <v>83</v>
      </c>
      <c r="D54" s="55"/>
      <c r="E54" s="55"/>
      <c r="F54" s="55"/>
      <c r="G54" s="55"/>
      <c r="H54" s="55"/>
      <c r="I54" s="56"/>
      <c r="J54" s="57">
        <v>113</v>
      </c>
      <c r="K54" s="69">
        <f>AVERAGE(D54:J54)</f>
        <v>113</v>
      </c>
      <c r="L54" s="69">
        <f>MIN(13.2, MAX(0, 120 - K54) * 0.66)</f>
        <v>4.62</v>
      </c>
      <c r="M54" s="58">
        <f t="shared" si="8"/>
        <v>113</v>
      </c>
      <c r="N54" s="60">
        <v>4</v>
      </c>
      <c r="O54" s="59">
        <f t="shared" si="9"/>
        <v>117.62</v>
      </c>
    </row>
    <row r="55" spans="1:15" ht="15.75" customHeight="1" x14ac:dyDescent="0.35">
      <c r="A55" s="54" t="s">
        <v>36</v>
      </c>
      <c r="B55" s="55" t="s">
        <v>58</v>
      </c>
      <c r="C55" s="55" t="s">
        <v>134</v>
      </c>
      <c r="D55" s="55"/>
      <c r="E55" s="55">
        <v>116</v>
      </c>
      <c r="F55" s="55">
        <v>116</v>
      </c>
      <c r="G55" s="55"/>
      <c r="H55" s="55">
        <v>106</v>
      </c>
      <c r="I55" s="56"/>
      <c r="J55" s="57"/>
      <c r="K55" s="69">
        <f t="shared" ref="K55:K96" si="12">AVERAGE(D55:I55)</f>
        <v>112.66666666666667</v>
      </c>
      <c r="L55" s="69">
        <f>MIN(13.2, MAX(0, 120 - K55) * 0.66)</f>
        <v>4.8399999999999972</v>
      </c>
      <c r="M55" s="58">
        <f t="shared" si="8"/>
        <v>0</v>
      </c>
      <c r="N55" s="60"/>
      <c r="O55" s="59">
        <f t="shared" si="9"/>
        <v>0</v>
      </c>
    </row>
    <row r="56" spans="1:15" ht="15.75" customHeight="1" x14ac:dyDescent="0.35">
      <c r="A56" s="54" t="s">
        <v>61</v>
      </c>
      <c r="B56" s="55" t="s">
        <v>58</v>
      </c>
      <c r="C56" s="55" t="s">
        <v>59</v>
      </c>
      <c r="D56" s="55"/>
      <c r="E56" s="55"/>
      <c r="F56" s="55"/>
      <c r="G56" s="55"/>
      <c r="H56" s="55">
        <v>112</v>
      </c>
      <c r="I56" s="56"/>
      <c r="J56" s="57">
        <v>109</v>
      </c>
      <c r="K56" s="69">
        <f t="shared" si="12"/>
        <v>112</v>
      </c>
      <c r="L56" s="69">
        <f>MIN(13.2, MAX(0, 120 - K56) * 0.66)</f>
        <v>5.28</v>
      </c>
      <c r="M56" s="58">
        <f t="shared" si="8"/>
        <v>109</v>
      </c>
      <c r="N56" s="60">
        <v>5</v>
      </c>
      <c r="O56" s="59">
        <f t="shared" si="9"/>
        <v>114.28</v>
      </c>
    </row>
    <row r="57" spans="1:15" ht="15.75" customHeight="1" x14ac:dyDescent="0.35">
      <c r="A57" s="54" t="s">
        <v>111</v>
      </c>
      <c r="B57" s="55" t="s">
        <v>58</v>
      </c>
      <c r="C57" s="55" t="s">
        <v>136</v>
      </c>
      <c r="D57" s="55"/>
      <c r="E57" s="55">
        <v>115</v>
      </c>
      <c r="F57" s="55">
        <v>118</v>
      </c>
      <c r="G57" s="55">
        <v>111</v>
      </c>
      <c r="H57" s="55">
        <v>104</v>
      </c>
      <c r="I57" s="56"/>
      <c r="J57" s="57"/>
      <c r="K57" s="69">
        <f t="shared" si="12"/>
        <v>112</v>
      </c>
      <c r="L57" s="69">
        <f>MIN(13.2, MAX(0, 120 - K57) * 0.66)</f>
        <v>5.28</v>
      </c>
      <c r="M57" s="58">
        <f t="shared" si="8"/>
        <v>0</v>
      </c>
      <c r="N57" s="60"/>
      <c r="O57" s="59">
        <f t="shared" si="9"/>
        <v>0</v>
      </c>
    </row>
    <row r="58" spans="1:15" ht="15.75" customHeight="1" x14ac:dyDescent="0.35">
      <c r="A58" s="54" t="s">
        <v>56</v>
      </c>
      <c r="B58" s="55" t="s">
        <v>28</v>
      </c>
      <c r="C58" s="55" t="s">
        <v>134</v>
      </c>
      <c r="D58" s="55">
        <v>98</v>
      </c>
      <c r="E58" s="55">
        <v>92</v>
      </c>
      <c r="F58" s="55"/>
      <c r="G58" s="55">
        <v>92</v>
      </c>
      <c r="H58" s="55">
        <v>85</v>
      </c>
      <c r="I58" s="56"/>
      <c r="J58" s="57">
        <v>97</v>
      </c>
      <c r="K58" s="69">
        <f t="shared" si="12"/>
        <v>91.75</v>
      </c>
      <c r="L58" s="69">
        <f>MIN(13.2, MAX(0, 100 - K58) * 0.66)</f>
        <v>5.4450000000000003</v>
      </c>
      <c r="M58" s="58">
        <f t="shared" si="8"/>
        <v>97</v>
      </c>
      <c r="N58" s="60">
        <v>3</v>
      </c>
      <c r="O58" s="59">
        <f t="shared" si="9"/>
        <v>102.44499999999999</v>
      </c>
    </row>
    <row r="59" spans="1:15" ht="15.75" customHeight="1" x14ac:dyDescent="0.35">
      <c r="A59" s="54" t="s">
        <v>100</v>
      </c>
      <c r="B59" s="55" t="s">
        <v>28</v>
      </c>
      <c r="C59" s="55" t="s">
        <v>95</v>
      </c>
      <c r="D59" s="55">
        <v>94</v>
      </c>
      <c r="E59" s="55"/>
      <c r="F59" s="55">
        <v>97</v>
      </c>
      <c r="G59" s="55">
        <v>88</v>
      </c>
      <c r="H59" s="55">
        <v>87</v>
      </c>
      <c r="I59" s="56"/>
      <c r="J59" s="57">
        <v>86</v>
      </c>
      <c r="K59" s="69">
        <f t="shared" si="12"/>
        <v>91.5</v>
      </c>
      <c r="L59" s="69">
        <f>MIN(13.2, MAX(0, 100 - K59) * 0.66)</f>
        <v>5.61</v>
      </c>
      <c r="M59" s="58">
        <f t="shared" si="8"/>
        <v>86</v>
      </c>
      <c r="N59" s="60">
        <v>1</v>
      </c>
      <c r="O59" s="59">
        <f t="shared" si="9"/>
        <v>91.61</v>
      </c>
    </row>
    <row r="60" spans="1:15" ht="15.75" customHeight="1" x14ac:dyDescent="0.35">
      <c r="A60" s="54" t="s">
        <v>90</v>
      </c>
      <c r="B60" s="55" t="s">
        <v>28</v>
      </c>
      <c r="C60" s="55" t="s">
        <v>83</v>
      </c>
      <c r="D60" s="55">
        <v>88</v>
      </c>
      <c r="E60" s="55">
        <v>92</v>
      </c>
      <c r="F60" s="55"/>
      <c r="G60" s="55"/>
      <c r="H60" s="55">
        <v>94</v>
      </c>
      <c r="I60" s="56"/>
      <c r="J60" s="57">
        <v>96</v>
      </c>
      <c r="K60" s="69">
        <f t="shared" si="12"/>
        <v>91.333333333333329</v>
      </c>
      <c r="L60" s="69">
        <f>MIN(13.2, MAX(0, 100 - K60) * 0.66)</f>
        <v>5.7200000000000033</v>
      </c>
      <c r="M60" s="58">
        <f t="shared" si="8"/>
        <v>96</v>
      </c>
      <c r="N60" s="60">
        <v>5</v>
      </c>
      <c r="O60" s="59">
        <f t="shared" si="9"/>
        <v>101.72</v>
      </c>
    </row>
    <row r="61" spans="1:15" ht="15.75" customHeight="1" x14ac:dyDescent="0.35">
      <c r="A61" s="54" t="s">
        <v>112</v>
      </c>
      <c r="B61" s="55" t="s">
        <v>28</v>
      </c>
      <c r="C61" s="55" t="s">
        <v>136</v>
      </c>
      <c r="D61" s="55">
        <v>95</v>
      </c>
      <c r="E61" s="55">
        <v>95</v>
      </c>
      <c r="F61" s="55">
        <v>98</v>
      </c>
      <c r="G61" s="55">
        <v>83</v>
      </c>
      <c r="H61" s="55">
        <v>83</v>
      </c>
      <c r="I61" s="56"/>
      <c r="J61" s="55"/>
      <c r="K61" s="69">
        <f t="shared" si="12"/>
        <v>90.8</v>
      </c>
      <c r="L61" s="69">
        <f>MIN(13.2, MAX(0, 100 - K61) * 0.66)</f>
        <v>6.0720000000000018</v>
      </c>
      <c r="M61" s="58">
        <f t="shared" si="8"/>
        <v>0</v>
      </c>
      <c r="N61" s="64"/>
      <c r="O61" s="59">
        <f t="shared" si="9"/>
        <v>0</v>
      </c>
    </row>
    <row r="62" spans="1:15" ht="15.75" customHeight="1" x14ac:dyDescent="0.35">
      <c r="A62" s="54" t="s">
        <v>73</v>
      </c>
      <c r="B62" s="55" t="s">
        <v>58</v>
      </c>
      <c r="C62" s="55" t="s">
        <v>59</v>
      </c>
      <c r="D62" s="55">
        <v>115</v>
      </c>
      <c r="E62" s="55"/>
      <c r="F62" s="55"/>
      <c r="G62" s="55">
        <v>114</v>
      </c>
      <c r="H62" s="55">
        <v>103</v>
      </c>
      <c r="I62" s="56"/>
      <c r="J62" s="57">
        <v>106</v>
      </c>
      <c r="K62" s="69">
        <f t="shared" si="12"/>
        <v>110.66666666666667</v>
      </c>
      <c r="L62" s="69">
        <f>MIN(13.2, MAX(0, 120 - K62) * 0.66)</f>
        <v>6.1599999999999975</v>
      </c>
      <c r="M62" s="58">
        <f t="shared" si="8"/>
        <v>106</v>
      </c>
      <c r="N62" s="60">
        <v>2</v>
      </c>
      <c r="O62" s="59">
        <f t="shared" si="9"/>
        <v>112.16</v>
      </c>
    </row>
    <row r="63" spans="1:15" ht="15.75" customHeight="1" x14ac:dyDescent="0.35">
      <c r="A63" s="54" t="s">
        <v>70</v>
      </c>
      <c r="B63" s="55" t="s">
        <v>58</v>
      </c>
      <c r="C63" s="55" t="s">
        <v>59</v>
      </c>
      <c r="D63" s="55">
        <v>116</v>
      </c>
      <c r="E63" s="55"/>
      <c r="F63" s="55"/>
      <c r="G63" s="55">
        <v>110</v>
      </c>
      <c r="H63" s="55">
        <v>106</v>
      </c>
      <c r="I63" s="56"/>
      <c r="J63" s="57">
        <v>105</v>
      </c>
      <c r="K63" s="69">
        <f t="shared" si="12"/>
        <v>110.66666666666667</v>
      </c>
      <c r="L63" s="69">
        <f>MIN(13.2, MAX(0, 120 - K63) * 0.66)</f>
        <v>6.1599999999999975</v>
      </c>
      <c r="M63" s="58">
        <f t="shared" si="8"/>
        <v>105</v>
      </c>
      <c r="N63" s="60">
        <v>3</v>
      </c>
      <c r="O63" s="59">
        <f t="shared" si="9"/>
        <v>111.16</v>
      </c>
    </row>
    <row r="64" spans="1:15" ht="15.75" customHeight="1" x14ac:dyDescent="0.35">
      <c r="A64" s="54" t="s">
        <v>118</v>
      </c>
      <c r="B64" s="55" t="s">
        <v>58</v>
      </c>
      <c r="C64" s="55" t="s">
        <v>136</v>
      </c>
      <c r="D64" s="55">
        <v>114</v>
      </c>
      <c r="E64" s="55"/>
      <c r="F64" s="55">
        <v>107</v>
      </c>
      <c r="G64" s="55">
        <v>111</v>
      </c>
      <c r="H64" s="55"/>
      <c r="I64" s="56"/>
      <c r="J64" s="57"/>
      <c r="K64" s="69">
        <f t="shared" si="12"/>
        <v>110.66666666666667</v>
      </c>
      <c r="L64" s="69">
        <f>MIN(13.2, MAX(0, 120 - K64) * 0.66)</f>
        <v>6.1599999999999975</v>
      </c>
      <c r="M64" s="58">
        <f t="shared" si="8"/>
        <v>0</v>
      </c>
      <c r="N64" s="60"/>
      <c r="O64" s="59">
        <f t="shared" si="9"/>
        <v>0</v>
      </c>
    </row>
    <row r="65" spans="1:15" ht="15.75" customHeight="1" x14ac:dyDescent="0.35">
      <c r="A65" s="54" t="s">
        <v>121</v>
      </c>
      <c r="B65" s="55" t="s">
        <v>58</v>
      </c>
      <c r="C65" s="55" t="s">
        <v>136</v>
      </c>
      <c r="D65" s="55"/>
      <c r="E65" s="55"/>
      <c r="F65" s="55">
        <v>116</v>
      </c>
      <c r="G65" s="55">
        <v>109</v>
      </c>
      <c r="H65" s="55">
        <v>107</v>
      </c>
      <c r="I65" s="56"/>
      <c r="J65" s="57"/>
      <c r="K65" s="69">
        <f t="shared" si="12"/>
        <v>110.66666666666667</v>
      </c>
      <c r="L65" s="69">
        <f>MIN(13.2, MAX(0, 120 - K65) * 0.66)</f>
        <v>6.1599999999999975</v>
      </c>
      <c r="M65" s="58">
        <f t="shared" si="8"/>
        <v>0</v>
      </c>
      <c r="N65" s="60"/>
      <c r="O65" s="59">
        <f t="shared" si="9"/>
        <v>0</v>
      </c>
    </row>
    <row r="66" spans="1:15" ht="15.75" customHeight="1" x14ac:dyDescent="0.35">
      <c r="A66" s="54" t="s">
        <v>19</v>
      </c>
      <c r="B66" s="55" t="s">
        <v>22</v>
      </c>
      <c r="C66" s="55" t="s">
        <v>134</v>
      </c>
      <c r="D66" s="55">
        <v>95</v>
      </c>
      <c r="E66" s="55"/>
      <c r="F66" s="55">
        <v>86</v>
      </c>
      <c r="G66" s="55">
        <v>95</v>
      </c>
      <c r="H66" s="55">
        <v>86</v>
      </c>
      <c r="I66" s="56"/>
      <c r="J66" s="57"/>
      <c r="K66" s="69">
        <f t="shared" si="12"/>
        <v>90.5</v>
      </c>
      <c r="L66" s="69">
        <f>MIN(13.2, MAX(0, 100 - K66) * 0.66)</f>
        <v>6.2700000000000005</v>
      </c>
      <c r="M66" s="58">
        <f t="shared" si="8"/>
        <v>0</v>
      </c>
      <c r="N66" s="60"/>
      <c r="O66" s="59">
        <f t="shared" si="9"/>
        <v>0</v>
      </c>
    </row>
    <row r="67" spans="1:15" ht="15.75" customHeight="1" x14ac:dyDescent="0.35">
      <c r="A67" s="54" t="s">
        <v>84</v>
      </c>
      <c r="B67" s="55" t="s">
        <v>58</v>
      </c>
      <c r="C67" s="55" t="s">
        <v>83</v>
      </c>
      <c r="D67" s="55">
        <v>116</v>
      </c>
      <c r="E67" s="55"/>
      <c r="F67" s="55">
        <v>109</v>
      </c>
      <c r="G67" s="55">
        <v>106</v>
      </c>
      <c r="H67" s="55"/>
      <c r="I67" s="56"/>
      <c r="J67" s="57">
        <v>111</v>
      </c>
      <c r="K67" s="69">
        <f t="shared" si="12"/>
        <v>110.33333333333333</v>
      </c>
      <c r="L67" s="69">
        <f>MIN(13.2, MAX(0, 120 - K67) * 0.66)</f>
        <v>6.3800000000000034</v>
      </c>
      <c r="M67" s="58">
        <f t="shared" ref="M67:M96" si="13">J67</f>
        <v>111</v>
      </c>
      <c r="N67" s="60">
        <v>5</v>
      </c>
      <c r="O67" s="59">
        <f t="shared" ref="O67:O96" si="14">IF(ISBLANK(J67), 0, J67 + L67)</f>
        <v>117.38000000000001</v>
      </c>
    </row>
    <row r="68" spans="1:15" ht="15.75" customHeight="1" x14ac:dyDescent="0.35">
      <c r="A68" s="54" t="s">
        <v>92</v>
      </c>
      <c r="B68" s="55" t="s">
        <v>58</v>
      </c>
      <c r="C68" s="55" t="s">
        <v>83</v>
      </c>
      <c r="D68" s="55">
        <v>113</v>
      </c>
      <c r="E68" s="55"/>
      <c r="F68" s="55"/>
      <c r="G68" s="55">
        <v>110</v>
      </c>
      <c r="H68" s="55">
        <v>107</v>
      </c>
      <c r="I68" s="56"/>
      <c r="J68" s="57"/>
      <c r="K68" s="69">
        <f t="shared" si="12"/>
        <v>110</v>
      </c>
      <c r="L68" s="69">
        <f>MIN(13.2, MAX(0, 120 - K68) * 0.66)</f>
        <v>6.6000000000000005</v>
      </c>
      <c r="M68" s="58">
        <f t="shared" si="13"/>
        <v>0</v>
      </c>
      <c r="N68" s="60"/>
      <c r="O68" s="59">
        <f t="shared" si="14"/>
        <v>0</v>
      </c>
    </row>
    <row r="69" spans="1:15" ht="15.75" customHeight="1" x14ac:dyDescent="0.35">
      <c r="A69" s="54" t="s">
        <v>75</v>
      </c>
      <c r="B69" s="55" t="s">
        <v>58</v>
      </c>
      <c r="C69" s="55" t="s">
        <v>59</v>
      </c>
      <c r="D69" s="55"/>
      <c r="E69" s="55"/>
      <c r="F69" s="55">
        <v>110</v>
      </c>
      <c r="G69" s="55">
        <v>106</v>
      </c>
      <c r="H69" s="55">
        <v>114</v>
      </c>
      <c r="I69" s="56"/>
      <c r="J69" s="57"/>
      <c r="K69" s="69">
        <f t="shared" si="12"/>
        <v>110</v>
      </c>
      <c r="L69" s="69">
        <f>MIN(13.2, MAX(0, 120 - K69) * 0.66)</f>
        <v>6.6000000000000005</v>
      </c>
      <c r="M69" s="58">
        <f t="shared" si="13"/>
        <v>0</v>
      </c>
      <c r="N69" s="60"/>
      <c r="O69" s="59">
        <f t="shared" si="14"/>
        <v>0</v>
      </c>
    </row>
    <row r="70" spans="1:15" ht="15.75" customHeight="1" x14ac:dyDescent="0.35">
      <c r="A70" s="54" t="s">
        <v>78</v>
      </c>
      <c r="B70" s="55" t="s">
        <v>22</v>
      </c>
      <c r="C70" s="55" t="s">
        <v>59</v>
      </c>
      <c r="D70" s="55">
        <v>92</v>
      </c>
      <c r="E70" s="55">
        <v>88</v>
      </c>
      <c r="F70" s="55">
        <v>93</v>
      </c>
      <c r="G70" s="55"/>
      <c r="H70" s="55">
        <v>86</v>
      </c>
      <c r="I70" s="56"/>
      <c r="J70" s="57">
        <v>88</v>
      </c>
      <c r="K70" s="69">
        <f t="shared" si="12"/>
        <v>89.75</v>
      </c>
      <c r="L70" s="69">
        <f>MIN(13.2, MAX(0, 100 - K70) * 0.66)</f>
        <v>6.7650000000000006</v>
      </c>
      <c r="M70" s="58">
        <f t="shared" si="13"/>
        <v>88</v>
      </c>
      <c r="N70" s="60">
        <v>7</v>
      </c>
      <c r="O70" s="59">
        <f t="shared" si="14"/>
        <v>94.765000000000001</v>
      </c>
    </row>
    <row r="71" spans="1:15" ht="15.75" customHeight="1" x14ac:dyDescent="0.35">
      <c r="A71" s="54" t="s">
        <v>76</v>
      </c>
      <c r="B71" s="55" t="s">
        <v>58</v>
      </c>
      <c r="C71" s="55" t="s">
        <v>134</v>
      </c>
      <c r="D71" s="55"/>
      <c r="E71" s="55">
        <v>113</v>
      </c>
      <c r="F71" s="55">
        <v>111</v>
      </c>
      <c r="G71" s="55">
        <v>113</v>
      </c>
      <c r="H71" s="55">
        <v>101</v>
      </c>
      <c r="I71" s="56"/>
      <c r="J71" s="57">
        <v>112</v>
      </c>
      <c r="K71" s="69">
        <f t="shared" si="12"/>
        <v>109.5</v>
      </c>
      <c r="L71" s="69">
        <f>MIN(13.2, MAX(0, 120 - K71) * 0.66)</f>
        <v>6.9300000000000006</v>
      </c>
      <c r="M71" s="58">
        <f t="shared" si="13"/>
        <v>112</v>
      </c>
      <c r="N71" s="60">
        <v>5</v>
      </c>
      <c r="O71" s="59">
        <f t="shared" si="14"/>
        <v>118.93</v>
      </c>
    </row>
    <row r="72" spans="1:15" ht="15.75" customHeight="1" x14ac:dyDescent="0.35">
      <c r="A72" s="54" t="s">
        <v>115</v>
      </c>
      <c r="B72" s="55" t="s">
        <v>58</v>
      </c>
      <c r="C72" s="55" t="s">
        <v>136</v>
      </c>
      <c r="D72" s="55">
        <v>114</v>
      </c>
      <c r="E72" s="55"/>
      <c r="F72" s="55">
        <v>105</v>
      </c>
      <c r="G72" s="55"/>
      <c r="H72" s="55"/>
      <c r="I72" s="56"/>
      <c r="J72" s="57"/>
      <c r="K72" s="69">
        <f t="shared" si="12"/>
        <v>109.5</v>
      </c>
      <c r="L72" s="69">
        <f>MIN(13.2, MAX(0, 120 - K72) * 0.66)</f>
        <v>6.9300000000000006</v>
      </c>
      <c r="M72" s="58">
        <f t="shared" si="13"/>
        <v>0</v>
      </c>
      <c r="N72" s="60"/>
      <c r="O72" s="59">
        <f t="shared" si="14"/>
        <v>0</v>
      </c>
    </row>
    <row r="73" spans="1:15" ht="15.75" customHeight="1" x14ac:dyDescent="0.35">
      <c r="A73" s="54" t="s">
        <v>107</v>
      </c>
      <c r="B73" s="55" t="s">
        <v>28</v>
      </c>
      <c r="C73" s="55" t="s">
        <v>136</v>
      </c>
      <c r="D73" s="55"/>
      <c r="E73" s="55"/>
      <c r="F73" s="55">
        <v>96</v>
      </c>
      <c r="G73" s="55">
        <v>80</v>
      </c>
      <c r="H73" s="55">
        <v>91</v>
      </c>
      <c r="I73" s="56"/>
      <c r="J73" s="55"/>
      <c r="K73" s="69">
        <f t="shared" si="12"/>
        <v>89</v>
      </c>
      <c r="L73" s="69">
        <f>MIN(13.2, MAX(0, 100 - K73) * 0.66)</f>
        <v>7.2600000000000007</v>
      </c>
      <c r="M73" s="58">
        <f t="shared" si="13"/>
        <v>0</v>
      </c>
      <c r="N73" s="64"/>
      <c r="O73" s="59">
        <f t="shared" si="14"/>
        <v>0</v>
      </c>
    </row>
    <row r="74" spans="1:15" ht="15.75" customHeight="1" x14ac:dyDescent="0.35">
      <c r="A74" s="54" t="s">
        <v>24</v>
      </c>
      <c r="B74" s="55" t="s">
        <v>58</v>
      </c>
      <c r="C74" s="55" t="s">
        <v>134</v>
      </c>
      <c r="D74" s="55"/>
      <c r="E74" s="55"/>
      <c r="F74" s="55"/>
      <c r="G74" s="55"/>
      <c r="H74" s="55">
        <v>109</v>
      </c>
      <c r="I74" s="56"/>
      <c r="J74" s="57"/>
      <c r="K74" s="69">
        <f t="shared" si="12"/>
        <v>109</v>
      </c>
      <c r="L74" s="69">
        <f>MIN(13.2, MAX(0, 120 - K74) * 0.66)</f>
        <v>7.2600000000000007</v>
      </c>
      <c r="M74" s="58">
        <f t="shared" si="13"/>
        <v>0</v>
      </c>
      <c r="N74" s="60"/>
      <c r="O74" s="59">
        <f t="shared" si="14"/>
        <v>0</v>
      </c>
    </row>
    <row r="75" spans="1:15" ht="15.75" customHeight="1" x14ac:dyDescent="0.35">
      <c r="A75" s="54" t="s">
        <v>30</v>
      </c>
      <c r="B75" s="55" t="s">
        <v>28</v>
      </c>
      <c r="C75" s="55" t="s">
        <v>134</v>
      </c>
      <c r="D75" s="55">
        <v>93</v>
      </c>
      <c r="E75" s="55"/>
      <c r="F75" s="55">
        <v>96</v>
      </c>
      <c r="G75" s="55">
        <v>77</v>
      </c>
      <c r="H75" s="55"/>
      <c r="I75" s="56"/>
      <c r="J75" s="55"/>
      <c r="K75" s="69">
        <f t="shared" si="12"/>
        <v>88.666666666666671</v>
      </c>
      <c r="L75" s="69">
        <f>MIN(13.2, MAX(0, 100 - K75) * 0.66)</f>
        <v>7.4799999999999969</v>
      </c>
      <c r="M75" s="58">
        <f t="shared" si="13"/>
        <v>0</v>
      </c>
      <c r="N75" s="64"/>
      <c r="O75" s="59">
        <f t="shared" si="14"/>
        <v>0</v>
      </c>
    </row>
    <row r="76" spans="1:15" ht="15.75" customHeight="1" x14ac:dyDescent="0.35">
      <c r="A76" s="54" t="s">
        <v>103</v>
      </c>
      <c r="B76" s="55" t="s">
        <v>58</v>
      </c>
      <c r="C76" s="55" t="s">
        <v>136</v>
      </c>
      <c r="D76" s="55"/>
      <c r="E76" s="55"/>
      <c r="F76" s="55">
        <v>109</v>
      </c>
      <c r="G76" s="55"/>
      <c r="H76" s="55">
        <v>108</v>
      </c>
      <c r="I76" s="56"/>
      <c r="J76" s="57"/>
      <c r="K76" s="69">
        <f t="shared" si="12"/>
        <v>108.5</v>
      </c>
      <c r="L76" s="69">
        <f>MIN(13.2, MAX(0, 120 - K76) * 0.66)</f>
        <v>7.5900000000000007</v>
      </c>
      <c r="M76" s="58">
        <f t="shared" si="13"/>
        <v>0</v>
      </c>
      <c r="N76" s="60"/>
      <c r="O76" s="59">
        <f t="shared" si="14"/>
        <v>0</v>
      </c>
    </row>
    <row r="77" spans="1:15" ht="15.75" customHeight="1" x14ac:dyDescent="0.35">
      <c r="A77" s="54" t="s">
        <v>60</v>
      </c>
      <c r="B77" s="55" t="s">
        <v>58</v>
      </c>
      <c r="C77" s="55" t="s">
        <v>134</v>
      </c>
      <c r="D77" s="55">
        <v>106</v>
      </c>
      <c r="E77" s="55">
        <v>112</v>
      </c>
      <c r="F77" s="55">
        <v>114</v>
      </c>
      <c r="G77" s="55">
        <v>102</v>
      </c>
      <c r="H77" s="55">
        <v>107</v>
      </c>
      <c r="I77" s="56"/>
      <c r="J77" s="57">
        <v>115</v>
      </c>
      <c r="K77" s="69">
        <f t="shared" si="12"/>
        <v>108.2</v>
      </c>
      <c r="L77" s="69">
        <f>MIN(13.2, MAX(0, 120 - K77) * 0.66)</f>
        <v>7.7879999999999985</v>
      </c>
      <c r="M77" s="58">
        <f t="shared" si="13"/>
        <v>115</v>
      </c>
      <c r="N77" s="60">
        <v>4</v>
      </c>
      <c r="O77" s="59">
        <f t="shared" si="14"/>
        <v>122.788</v>
      </c>
    </row>
    <row r="78" spans="1:15" ht="15.75" customHeight="1" x14ac:dyDescent="0.35">
      <c r="A78" s="54" t="s">
        <v>86</v>
      </c>
      <c r="B78" s="55" t="s">
        <v>58</v>
      </c>
      <c r="C78" s="55" t="s">
        <v>83</v>
      </c>
      <c r="D78" s="55">
        <v>108</v>
      </c>
      <c r="E78" s="55"/>
      <c r="F78" s="55"/>
      <c r="G78" s="55"/>
      <c r="H78" s="55"/>
      <c r="I78" s="56"/>
      <c r="J78" s="57"/>
      <c r="K78" s="69">
        <f t="shared" si="12"/>
        <v>108</v>
      </c>
      <c r="L78" s="69">
        <f>MIN(13.2, MAX(0, 120 - K78) * 0.66)</f>
        <v>7.92</v>
      </c>
      <c r="M78" s="58">
        <f t="shared" si="13"/>
        <v>0</v>
      </c>
      <c r="N78" s="60"/>
      <c r="O78" s="59">
        <f t="shared" si="14"/>
        <v>0</v>
      </c>
    </row>
    <row r="79" spans="1:15" ht="15.75" customHeight="1" x14ac:dyDescent="0.35">
      <c r="A79" s="54" t="s">
        <v>113</v>
      </c>
      <c r="B79" s="55" t="s">
        <v>58</v>
      </c>
      <c r="C79" s="55" t="s">
        <v>136</v>
      </c>
      <c r="D79" s="55">
        <v>108</v>
      </c>
      <c r="E79" s="55"/>
      <c r="F79" s="55"/>
      <c r="G79" s="55"/>
      <c r="H79" s="55"/>
      <c r="I79" s="56"/>
      <c r="J79" s="57"/>
      <c r="K79" s="69">
        <f t="shared" si="12"/>
        <v>108</v>
      </c>
      <c r="L79" s="69">
        <f>MIN(13.2, MAX(0, 120 - K79) * 0.66)</f>
        <v>7.92</v>
      </c>
      <c r="M79" s="58">
        <f t="shared" si="13"/>
        <v>0</v>
      </c>
      <c r="N79" s="60"/>
      <c r="O79" s="59">
        <f t="shared" si="14"/>
        <v>0</v>
      </c>
    </row>
    <row r="80" spans="1:15" ht="15.75" customHeight="1" x14ac:dyDescent="0.35">
      <c r="A80" s="54" t="s">
        <v>41</v>
      </c>
      <c r="B80" s="55" t="s">
        <v>28</v>
      </c>
      <c r="C80" s="55" t="s">
        <v>134</v>
      </c>
      <c r="D80" s="55">
        <v>87</v>
      </c>
      <c r="E80" s="55"/>
      <c r="F80" s="55">
        <v>93</v>
      </c>
      <c r="G80" s="55">
        <v>85</v>
      </c>
      <c r="H80" s="55">
        <f>39+47</f>
        <v>86</v>
      </c>
      <c r="I80" s="56"/>
      <c r="J80" s="57">
        <v>93</v>
      </c>
      <c r="K80" s="69">
        <f t="shared" si="12"/>
        <v>87.75</v>
      </c>
      <c r="L80" s="69">
        <f>MIN(13.2, MAX(0, 100 - K80) * 0.66)</f>
        <v>8.0850000000000009</v>
      </c>
      <c r="M80" s="58">
        <f t="shared" si="13"/>
        <v>93</v>
      </c>
      <c r="N80" s="60">
        <v>5</v>
      </c>
      <c r="O80" s="59">
        <f t="shared" si="14"/>
        <v>101.08500000000001</v>
      </c>
    </row>
    <row r="81" spans="1:15" ht="15.75" customHeight="1" x14ac:dyDescent="0.35">
      <c r="A81" s="54" t="s">
        <v>116</v>
      </c>
      <c r="B81" s="55" t="s">
        <v>28</v>
      </c>
      <c r="C81" s="55" t="s">
        <v>136</v>
      </c>
      <c r="D81" s="55">
        <v>94</v>
      </c>
      <c r="E81" s="55"/>
      <c r="F81" s="55">
        <v>90</v>
      </c>
      <c r="G81" s="55">
        <v>85</v>
      </c>
      <c r="H81" s="55">
        <v>82</v>
      </c>
      <c r="I81" s="56"/>
      <c r="J81" s="55"/>
      <c r="K81" s="69">
        <f t="shared" si="12"/>
        <v>87.75</v>
      </c>
      <c r="L81" s="69">
        <f>MIN(13.2, MAX(0, 100 - K81) * 0.66)</f>
        <v>8.0850000000000009</v>
      </c>
      <c r="M81" s="58">
        <f t="shared" si="13"/>
        <v>0</v>
      </c>
      <c r="N81" s="64"/>
      <c r="O81" s="59">
        <f t="shared" si="14"/>
        <v>0</v>
      </c>
    </row>
    <row r="82" spans="1:15" ht="15.75" customHeight="1" x14ac:dyDescent="0.35">
      <c r="A82" s="54" t="s">
        <v>89</v>
      </c>
      <c r="B82" s="55" t="s">
        <v>28</v>
      </c>
      <c r="C82" s="55" t="s">
        <v>83</v>
      </c>
      <c r="D82" s="55">
        <v>85</v>
      </c>
      <c r="E82" s="55">
        <v>94</v>
      </c>
      <c r="F82" s="55">
        <v>89</v>
      </c>
      <c r="G82" s="55">
        <v>88</v>
      </c>
      <c r="H82" s="55">
        <v>81</v>
      </c>
      <c r="I82" s="56"/>
      <c r="J82" s="57">
        <v>87</v>
      </c>
      <c r="K82" s="69">
        <f t="shared" si="12"/>
        <v>87.4</v>
      </c>
      <c r="L82" s="69">
        <f>MIN(13.2, MAX(0, 100 - K82) * 0.66)</f>
        <v>8.3159999999999972</v>
      </c>
      <c r="M82" s="58">
        <f t="shared" si="13"/>
        <v>87</v>
      </c>
      <c r="N82" s="60">
        <v>3</v>
      </c>
      <c r="O82" s="59">
        <f t="shared" si="14"/>
        <v>95.316000000000003</v>
      </c>
    </row>
    <row r="83" spans="1:15" ht="15.75" customHeight="1" x14ac:dyDescent="0.35">
      <c r="A83" s="54" t="s">
        <v>110</v>
      </c>
      <c r="B83" s="55" t="s">
        <v>58</v>
      </c>
      <c r="C83" s="55" t="s">
        <v>136</v>
      </c>
      <c r="D83" s="55">
        <v>110</v>
      </c>
      <c r="E83" s="55">
        <v>99</v>
      </c>
      <c r="F83" s="55">
        <v>115</v>
      </c>
      <c r="G83" s="55">
        <v>105</v>
      </c>
      <c r="H83" s="55"/>
      <c r="I83" s="56"/>
      <c r="J83" s="57">
        <v>107</v>
      </c>
      <c r="K83" s="69">
        <f t="shared" si="12"/>
        <v>107.25</v>
      </c>
      <c r="L83" s="69">
        <f>MIN(13.2, MAX(0, 120 - K83) * 0.66)</f>
        <v>8.4150000000000009</v>
      </c>
      <c r="M83" s="58">
        <f t="shared" si="13"/>
        <v>107</v>
      </c>
      <c r="N83" s="60">
        <v>3</v>
      </c>
      <c r="O83" s="59">
        <f t="shared" si="14"/>
        <v>115.41500000000001</v>
      </c>
    </row>
    <row r="84" spans="1:15" ht="15.75" customHeight="1" x14ac:dyDescent="0.35">
      <c r="A84" s="54" t="s">
        <v>54</v>
      </c>
      <c r="B84" s="55" t="s">
        <v>28</v>
      </c>
      <c r="C84" s="55" t="s">
        <v>134</v>
      </c>
      <c r="D84" s="55"/>
      <c r="E84" s="55"/>
      <c r="F84" s="55"/>
      <c r="G84" s="55">
        <v>85</v>
      </c>
      <c r="H84" s="55"/>
      <c r="I84" s="56"/>
      <c r="J84" s="55"/>
      <c r="K84" s="69">
        <f t="shared" si="12"/>
        <v>85</v>
      </c>
      <c r="L84" s="69">
        <f>MIN(13.2, MAX(0, 100 - K84) * 0.66)</f>
        <v>9.9</v>
      </c>
      <c r="M84" s="58">
        <f t="shared" si="13"/>
        <v>0</v>
      </c>
      <c r="N84" s="64"/>
      <c r="O84" s="59">
        <f t="shared" si="14"/>
        <v>0</v>
      </c>
    </row>
    <row r="85" spans="1:15" ht="15.75" customHeight="1" x14ac:dyDescent="0.35">
      <c r="A85" s="54" t="s">
        <v>71</v>
      </c>
      <c r="B85" s="55" t="s">
        <v>22</v>
      </c>
      <c r="C85" s="55" t="s">
        <v>59</v>
      </c>
      <c r="D85" s="55">
        <v>88</v>
      </c>
      <c r="E85" s="55">
        <v>82</v>
      </c>
      <c r="F85" s="55"/>
      <c r="G85" s="55"/>
      <c r="H85" s="55"/>
      <c r="I85" s="56"/>
      <c r="J85" s="57"/>
      <c r="K85" s="69">
        <f t="shared" si="12"/>
        <v>85</v>
      </c>
      <c r="L85" s="69">
        <f>MIN(13.2, MAX(0, 100 - K85) * 0.66)</f>
        <v>9.9</v>
      </c>
      <c r="M85" s="58">
        <f t="shared" si="13"/>
        <v>0</v>
      </c>
      <c r="N85" s="60"/>
      <c r="O85" s="59">
        <f t="shared" si="14"/>
        <v>0</v>
      </c>
    </row>
    <row r="86" spans="1:15" ht="15.75" customHeight="1" x14ac:dyDescent="0.35">
      <c r="A86" s="54" t="s">
        <v>94</v>
      </c>
      <c r="B86" s="55" t="s">
        <v>58</v>
      </c>
      <c r="C86" s="55" t="s">
        <v>95</v>
      </c>
      <c r="D86" s="55">
        <v>106</v>
      </c>
      <c r="E86" s="55">
        <v>103</v>
      </c>
      <c r="F86" s="55"/>
      <c r="G86" s="55"/>
      <c r="H86" s="55"/>
      <c r="I86" s="56"/>
      <c r="J86" s="57">
        <v>106</v>
      </c>
      <c r="K86" s="69">
        <f t="shared" si="12"/>
        <v>104.5</v>
      </c>
      <c r="L86" s="69">
        <f t="shared" ref="L86:L91" si="15">MIN(13.2, MAX(0, 120 - K86) * 0.66)</f>
        <v>10.23</v>
      </c>
      <c r="M86" s="58">
        <f t="shared" si="13"/>
        <v>106</v>
      </c>
      <c r="N86" s="60">
        <v>2</v>
      </c>
      <c r="O86" s="59">
        <f t="shared" si="14"/>
        <v>116.23</v>
      </c>
    </row>
    <row r="87" spans="1:15" ht="15.75" customHeight="1" x14ac:dyDescent="0.35">
      <c r="A87" s="54" t="s">
        <v>93</v>
      </c>
      <c r="B87" s="55" t="s">
        <v>58</v>
      </c>
      <c r="C87" s="55" t="s">
        <v>83</v>
      </c>
      <c r="D87" s="55"/>
      <c r="E87" s="55"/>
      <c r="F87" s="55"/>
      <c r="G87" s="55">
        <v>101</v>
      </c>
      <c r="H87" s="55">
        <v>107</v>
      </c>
      <c r="I87" s="56"/>
      <c r="J87" s="57"/>
      <c r="K87" s="69">
        <f t="shared" si="12"/>
        <v>104</v>
      </c>
      <c r="L87" s="69">
        <f t="shared" si="15"/>
        <v>10.56</v>
      </c>
      <c r="M87" s="58">
        <f t="shared" si="13"/>
        <v>0</v>
      </c>
      <c r="N87" s="60"/>
      <c r="O87" s="59">
        <f t="shared" si="14"/>
        <v>0</v>
      </c>
    </row>
    <row r="88" spans="1:15" ht="15.75" customHeight="1" x14ac:dyDescent="0.35">
      <c r="A88" s="54" t="s">
        <v>26</v>
      </c>
      <c r="B88" s="55" t="s">
        <v>58</v>
      </c>
      <c r="C88" s="55" t="s">
        <v>134</v>
      </c>
      <c r="D88" s="55">
        <v>114</v>
      </c>
      <c r="E88" s="55"/>
      <c r="F88" s="55"/>
      <c r="G88" s="55"/>
      <c r="H88" s="55">
        <v>94</v>
      </c>
      <c r="I88" s="56"/>
      <c r="J88" s="57"/>
      <c r="K88" s="69">
        <f t="shared" si="12"/>
        <v>104</v>
      </c>
      <c r="L88" s="69">
        <f t="shared" si="15"/>
        <v>10.56</v>
      </c>
      <c r="M88" s="58">
        <f t="shared" si="13"/>
        <v>0</v>
      </c>
      <c r="N88" s="60"/>
      <c r="O88" s="59">
        <f t="shared" si="14"/>
        <v>0</v>
      </c>
    </row>
    <row r="89" spans="1:15" ht="15.75" customHeight="1" x14ac:dyDescent="0.35">
      <c r="A89" s="54" t="s">
        <v>39</v>
      </c>
      <c r="B89" s="55" t="s">
        <v>58</v>
      </c>
      <c r="C89" s="55" t="s">
        <v>134</v>
      </c>
      <c r="D89" s="55">
        <v>104</v>
      </c>
      <c r="E89" s="55"/>
      <c r="F89" s="55"/>
      <c r="G89" s="55"/>
      <c r="H89" s="55"/>
      <c r="I89" s="56"/>
      <c r="J89" s="57"/>
      <c r="K89" s="69">
        <f t="shared" si="12"/>
        <v>104</v>
      </c>
      <c r="L89" s="69">
        <f t="shared" si="15"/>
        <v>10.56</v>
      </c>
      <c r="M89" s="58">
        <f t="shared" si="13"/>
        <v>0</v>
      </c>
      <c r="N89" s="60"/>
      <c r="O89" s="59">
        <f t="shared" si="14"/>
        <v>0</v>
      </c>
    </row>
    <row r="90" spans="1:15" ht="15.75" customHeight="1" x14ac:dyDescent="0.35">
      <c r="A90" s="54" t="s">
        <v>23</v>
      </c>
      <c r="B90" s="55" t="s">
        <v>58</v>
      </c>
      <c r="C90" s="55" t="s">
        <v>134</v>
      </c>
      <c r="D90" s="55"/>
      <c r="E90" s="55"/>
      <c r="F90" s="55">
        <v>105</v>
      </c>
      <c r="G90" s="55">
        <v>99</v>
      </c>
      <c r="H90" s="55"/>
      <c r="I90" s="56"/>
      <c r="J90" s="57"/>
      <c r="K90" s="69">
        <f t="shared" si="12"/>
        <v>102</v>
      </c>
      <c r="L90" s="69">
        <f t="shared" si="15"/>
        <v>11.88</v>
      </c>
      <c r="M90" s="58">
        <f t="shared" si="13"/>
        <v>0</v>
      </c>
      <c r="N90" s="60"/>
      <c r="O90" s="59">
        <f t="shared" si="14"/>
        <v>0</v>
      </c>
    </row>
    <row r="91" spans="1:15" ht="15.75" customHeight="1" x14ac:dyDescent="0.35">
      <c r="A91" s="54" t="s">
        <v>47</v>
      </c>
      <c r="B91" s="55" t="s">
        <v>58</v>
      </c>
      <c r="C91" s="55" t="s">
        <v>134</v>
      </c>
      <c r="D91" s="55"/>
      <c r="E91" s="55">
        <v>99</v>
      </c>
      <c r="F91" s="55"/>
      <c r="G91" s="55">
        <v>96</v>
      </c>
      <c r="H91" s="55">
        <v>107</v>
      </c>
      <c r="I91" s="56"/>
      <c r="J91" s="57"/>
      <c r="K91" s="69">
        <f t="shared" si="12"/>
        <v>100.66666666666667</v>
      </c>
      <c r="L91" s="69">
        <f t="shared" si="15"/>
        <v>12.759999999999998</v>
      </c>
      <c r="M91" s="58">
        <f t="shared" si="13"/>
        <v>0</v>
      </c>
      <c r="N91" s="60"/>
      <c r="O91" s="59">
        <f t="shared" si="14"/>
        <v>0</v>
      </c>
    </row>
    <row r="92" spans="1:15" ht="15.75" customHeight="1" x14ac:dyDescent="0.35">
      <c r="A92" s="54" t="s">
        <v>91</v>
      </c>
      <c r="B92" s="55" t="s">
        <v>28</v>
      </c>
      <c r="C92" s="55" t="s">
        <v>83</v>
      </c>
      <c r="D92" s="55"/>
      <c r="E92" s="55">
        <v>66</v>
      </c>
      <c r="F92" s="55"/>
      <c r="G92" s="55"/>
      <c r="H92" s="55"/>
      <c r="I92" s="56"/>
      <c r="J92" s="55"/>
      <c r="K92" s="69">
        <f t="shared" si="12"/>
        <v>66</v>
      </c>
      <c r="L92" s="69">
        <f>MIN(13.2, MAX(0, 100 - K92) * 0.66)</f>
        <v>13.2</v>
      </c>
      <c r="M92" s="58">
        <f t="shared" si="13"/>
        <v>0</v>
      </c>
      <c r="N92" s="64"/>
      <c r="O92" s="59">
        <f t="shared" si="14"/>
        <v>0</v>
      </c>
    </row>
    <row r="93" spans="1:15" ht="15.75" customHeight="1" x14ac:dyDescent="0.35">
      <c r="A93" s="54" t="s">
        <v>96</v>
      </c>
      <c r="B93" s="55" t="s">
        <v>58</v>
      </c>
      <c r="C93" s="55" t="s">
        <v>95</v>
      </c>
      <c r="D93" s="55">
        <v>100</v>
      </c>
      <c r="E93" s="55"/>
      <c r="F93" s="55"/>
      <c r="G93" s="55"/>
      <c r="H93" s="55"/>
      <c r="I93" s="56"/>
      <c r="J93" s="57"/>
      <c r="K93" s="69">
        <f t="shared" si="12"/>
        <v>100</v>
      </c>
      <c r="L93" s="69">
        <f>MIN(13.2, MAX(0, 120 - K93) * 0.66)</f>
        <v>13.2</v>
      </c>
      <c r="M93" s="58">
        <f t="shared" si="13"/>
        <v>0</v>
      </c>
      <c r="N93" s="60"/>
      <c r="O93" s="59">
        <f t="shared" si="14"/>
        <v>0</v>
      </c>
    </row>
    <row r="94" spans="1:15" ht="15.75" customHeight="1" x14ac:dyDescent="0.35">
      <c r="A94" s="54" t="s">
        <v>123</v>
      </c>
      <c r="B94" s="55" t="s">
        <v>58</v>
      </c>
      <c r="C94" s="55" t="s">
        <v>136</v>
      </c>
      <c r="D94" s="55"/>
      <c r="E94" s="55"/>
      <c r="F94" s="55"/>
      <c r="G94" s="55">
        <v>98</v>
      </c>
      <c r="H94" s="55">
        <v>96</v>
      </c>
      <c r="I94" s="56"/>
      <c r="J94" s="57"/>
      <c r="K94" s="69">
        <f t="shared" si="12"/>
        <v>97</v>
      </c>
      <c r="L94" s="69">
        <f>MIN(13.2, MAX(0, 120 - K94) * 0.66)</f>
        <v>13.2</v>
      </c>
      <c r="M94" s="58">
        <f t="shared" si="13"/>
        <v>0</v>
      </c>
      <c r="N94" s="60"/>
      <c r="O94" s="59">
        <f t="shared" si="14"/>
        <v>0</v>
      </c>
    </row>
    <row r="95" spans="1:15" ht="15.75" customHeight="1" x14ac:dyDescent="0.35">
      <c r="A95" s="54" t="s">
        <v>106</v>
      </c>
      <c r="B95" s="55" t="s">
        <v>58</v>
      </c>
      <c r="C95" s="55" t="s">
        <v>136</v>
      </c>
      <c r="D95" s="55"/>
      <c r="E95" s="55">
        <v>95</v>
      </c>
      <c r="F95" s="55"/>
      <c r="G95" s="55"/>
      <c r="H95" s="55"/>
      <c r="I95" s="56"/>
      <c r="J95" s="57"/>
      <c r="K95" s="69">
        <f t="shared" si="12"/>
        <v>95</v>
      </c>
      <c r="L95" s="69">
        <f>MIN(13.2, MAX(0, 120 - K95) * 0.66)</f>
        <v>13.2</v>
      </c>
      <c r="M95" s="58">
        <f t="shared" si="13"/>
        <v>0</v>
      </c>
      <c r="N95" s="60"/>
      <c r="O95" s="59">
        <f t="shared" si="14"/>
        <v>0</v>
      </c>
    </row>
    <row r="96" spans="1:15" ht="15.75" customHeight="1" x14ac:dyDescent="0.35">
      <c r="A96" s="54" t="s">
        <v>114</v>
      </c>
      <c r="B96" s="55" t="s">
        <v>58</v>
      </c>
      <c r="C96" s="55" t="s">
        <v>136</v>
      </c>
      <c r="D96" s="55">
        <v>98</v>
      </c>
      <c r="E96" s="55"/>
      <c r="F96" s="55"/>
      <c r="G96" s="55"/>
      <c r="H96" s="55">
        <v>87</v>
      </c>
      <c r="I96" s="56"/>
      <c r="J96" s="57"/>
      <c r="K96" s="69">
        <f t="shared" si="12"/>
        <v>92.5</v>
      </c>
      <c r="L96" s="69">
        <f>MIN(13.2, MAX(0, 120 - K96) * 0.66)</f>
        <v>13.2</v>
      </c>
      <c r="M96" s="58">
        <f t="shared" si="13"/>
        <v>0</v>
      </c>
      <c r="N96" s="60"/>
      <c r="O96" s="59">
        <f t="shared" si="14"/>
        <v>0</v>
      </c>
    </row>
    <row r="97" spans="1:15" ht="15.75" customHeight="1" x14ac:dyDescent="0.3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9"/>
      <c r="M97" s="30"/>
      <c r="N97" s="50"/>
      <c r="O97" s="49"/>
    </row>
    <row r="98" spans="1:15" ht="15.75" customHeight="1" x14ac:dyDescent="0.3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9"/>
      <c r="M98" s="30"/>
      <c r="N98" s="50"/>
      <c r="O98" s="49"/>
    </row>
    <row r="99" spans="1:15" ht="15.75" customHeight="1" x14ac:dyDescent="0.3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9"/>
      <c r="M99" s="30"/>
      <c r="N99" s="50"/>
      <c r="O99" s="49"/>
    </row>
    <row r="100" spans="1:15" ht="15.75" customHeight="1" x14ac:dyDescent="0.3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9"/>
      <c r="M100" s="30"/>
      <c r="N100" s="50"/>
      <c r="O100" s="49"/>
    </row>
    <row r="101" spans="1:15" ht="15.75" customHeight="1" x14ac:dyDescent="0.3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9"/>
      <c r="M101" s="30"/>
      <c r="N101" s="50"/>
      <c r="O101" s="49"/>
    </row>
    <row r="102" spans="1:15" ht="15.75" customHeight="1" x14ac:dyDescent="0.3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9"/>
      <c r="M102" s="30"/>
      <c r="N102" s="50"/>
      <c r="O102" s="49"/>
    </row>
    <row r="103" spans="1:15" ht="15.75" customHeight="1" x14ac:dyDescent="0.3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9"/>
      <c r="M103" s="30"/>
      <c r="N103" s="50"/>
      <c r="O103" s="49"/>
    </row>
    <row r="104" spans="1:15" ht="15.75" customHeight="1" x14ac:dyDescent="0.3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9"/>
      <c r="M104" s="30"/>
      <c r="N104" s="50"/>
      <c r="O104" s="49"/>
    </row>
    <row r="105" spans="1:15" ht="15.75" customHeight="1" x14ac:dyDescent="0.3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9"/>
      <c r="M105" s="30"/>
      <c r="N105" s="50"/>
      <c r="O105" s="49"/>
    </row>
    <row r="106" spans="1:15" ht="15.75" customHeight="1" x14ac:dyDescent="0.3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9"/>
      <c r="M106" s="30"/>
      <c r="N106" s="50"/>
      <c r="O106" s="49"/>
    </row>
    <row r="107" spans="1:15" ht="15.75" customHeight="1" x14ac:dyDescent="0.3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9"/>
      <c r="M107" s="30"/>
      <c r="N107" s="50"/>
      <c r="O107" s="49"/>
    </row>
    <row r="108" spans="1:15" ht="15.75" customHeight="1" x14ac:dyDescent="0.3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9"/>
      <c r="M108" s="30"/>
      <c r="N108" s="50"/>
      <c r="O108" s="49"/>
    </row>
    <row r="109" spans="1:15" ht="15.75" customHeight="1" x14ac:dyDescent="0.3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9"/>
      <c r="M109" s="30"/>
      <c r="N109" s="50"/>
      <c r="O109" s="49"/>
    </row>
    <row r="110" spans="1:15" ht="15.75" customHeight="1" x14ac:dyDescent="0.3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9"/>
      <c r="M110" s="30"/>
      <c r="N110" s="50"/>
      <c r="O110" s="49"/>
    </row>
    <row r="111" spans="1:15" ht="15.75" customHeight="1" x14ac:dyDescent="0.3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9"/>
      <c r="M111" s="30"/>
      <c r="N111" s="50"/>
      <c r="O111" s="49"/>
    </row>
    <row r="112" spans="1:15" ht="15.75" customHeight="1" x14ac:dyDescent="0.3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9"/>
      <c r="M112" s="30"/>
      <c r="N112" s="50"/>
      <c r="O112" s="49"/>
    </row>
    <row r="113" spans="1:15" ht="15.75" customHeight="1" x14ac:dyDescent="0.3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9"/>
      <c r="M113" s="30"/>
      <c r="N113" s="50"/>
      <c r="O113" s="49"/>
    </row>
    <row r="114" spans="1:15" ht="15.75" customHeight="1" x14ac:dyDescent="0.3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9"/>
      <c r="M114" s="30"/>
      <c r="N114" s="50"/>
      <c r="O114" s="49"/>
    </row>
    <row r="115" spans="1:15" ht="15.75" customHeight="1" x14ac:dyDescent="0.3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9"/>
      <c r="M115" s="30"/>
      <c r="N115" s="50"/>
      <c r="O115" s="49"/>
    </row>
    <row r="116" spans="1:15" ht="15.75" customHeight="1" x14ac:dyDescent="0.3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9"/>
      <c r="M116" s="30"/>
      <c r="N116" s="50"/>
      <c r="O116" s="49"/>
    </row>
    <row r="117" spans="1:15" ht="15.75" customHeight="1" x14ac:dyDescent="0.3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9"/>
      <c r="M117" s="30"/>
      <c r="N117" s="50"/>
      <c r="O117" s="49"/>
    </row>
    <row r="118" spans="1:15" ht="15.75" customHeight="1" x14ac:dyDescent="0.3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9"/>
      <c r="M118" s="30"/>
      <c r="N118" s="50"/>
      <c r="O118" s="49"/>
    </row>
    <row r="119" spans="1:15" ht="15.75" customHeight="1" x14ac:dyDescent="0.3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9"/>
      <c r="M119" s="30"/>
      <c r="N119" s="50"/>
      <c r="O119" s="49"/>
    </row>
    <row r="120" spans="1:15" ht="15.75" customHeight="1" x14ac:dyDescent="0.3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9"/>
      <c r="M120" s="30"/>
      <c r="N120" s="50"/>
      <c r="O120" s="49"/>
    </row>
    <row r="121" spans="1:15" ht="15.75" customHeight="1" x14ac:dyDescent="0.3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9"/>
      <c r="M121" s="30"/>
      <c r="N121" s="50"/>
      <c r="O121" s="49"/>
    </row>
    <row r="122" spans="1:15" ht="15.75" customHeight="1" x14ac:dyDescent="0.3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9"/>
      <c r="M122" s="30"/>
      <c r="N122" s="50"/>
      <c r="O122" s="49"/>
    </row>
    <row r="123" spans="1:15" ht="15.75" customHeight="1" x14ac:dyDescent="0.3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9"/>
      <c r="M123" s="30"/>
      <c r="N123" s="50"/>
      <c r="O123" s="49"/>
    </row>
    <row r="124" spans="1:15" ht="15.75" customHeight="1" x14ac:dyDescent="0.3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9"/>
      <c r="M124" s="30"/>
      <c r="N124" s="50"/>
      <c r="O124" s="49"/>
    </row>
    <row r="125" spans="1:15" ht="15.75" customHeight="1" x14ac:dyDescent="0.3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9"/>
      <c r="M125" s="30"/>
      <c r="N125" s="50"/>
      <c r="O125" s="49"/>
    </row>
    <row r="126" spans="1:15" ht="15.75" customHeight="1" x14ac:dyDescent="0.3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9"/>
      <c r="M126" s="30"/>
      <c r="N126" s="50"/>
      <c r="O126" s="49"/>
    </row>
    <row r="127" spans="1:15" ht="15.75" customHeight="1" x14ac:dyDescent="0.3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9"/>
      <c r="M127" s="30"/>
      <c r="N127" s="50"/>
      <c r="O127" s="49"/>
    </row>
    <row r="128" spans="1:15" ht="15.75" customHeight="1" x14ac:dyDescent="0.3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9"/>
      <c r="M128" s="30"/>
      <c r="N128" s="50"/>
      <c r="O128" s="49"/>
    </row>
    <row r="129" spans="1:15" ht="15.75" customHeight="1" x14ac:dyDescent="0.3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9"/>
      <c r="M129" s="30"/>
      <c r="N129" s="50"/>
      <c r="O129" s="49"/>
    </row>
    <row r="130" spans="1:15" ht="15.75" customHeight="1" x14ac:dyDescent="0.3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9"/>
      <c r="M130" s="30"/>
      <c r="N130" s="50"/>
      <c r="O130" s="49"/>
    </row>
    <row r="131" spans="1:15" ht="15.75" customHeight="1" x14ac:dyDescent="0.3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9"/>
      <c r="M131" s="30"/>
      <c r="N131" s="50"/>
      <c r="O131" s="49"/>
    </row>
    <row r="132" spans="1:15" ht="15.75" customHeight="1" x14ac:dyDescent="0.3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9"/>
      <c r="M132" s="30"/>
      <c r="N132" s="50"/>
      <c r="O132" s="49"/>
    </row>
    <row r="133" spans="1:15" ht="15.75" customHeight="1" x14ac:dyDescent="0.3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9"/>
      <c r="M133" s="30"/>
      <c r="N133" s="50"/>
      <c r="O133" s="49"/>
    </row>
    <row r="134" spans="1:15" ht="15.75" customHeight="1" x14ac:dyDescent="0.3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9"/>
      <c r="M134" s="30"/>
      <c r="N134" s="50"/>
      <c r="O134" s="49"/>
    </row>
    <row r="135" spans="1:15" ht="15.75" customHeight="1" x14ac:dyDescent="0.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9"/>
      <c r="M135" s="30"/>
      <c r="N135" s="50"/>
      <c r="O135" s="49"/>
    </row>
    <row r="136" spans="1:15" ht="15.75" customHeight="1" x14ac:dyDescent="0.3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9"/>
      <c r="M136" s="30"/>
      <c r="N136" s="50"/>
      <c r="O136" s="49"/>
    </row>
    <row r="137" spans="1:15" ht="15.75" customHeight="1" x14ac:dyDescent="0.3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9"/>
      <c r="M137" s="30"/>
      <c r="N137" s="50"/>
      <c r="O137" s="49"/>
    </row>
    <row r="138" spans="1:15" ht="15.75" customHeight="1" x14ac:dyDescent="0.3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9"/>
      <c r="M138" s="30"/>
      <c r="N138" s="50"/>
      <c r="O138" s="49"/>
    </row>
    <row r="139" spans="1:15" ht="15.75" customHeight="1" x14ac:dyDescent="0.3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9"/>
      <c r="M139" s="30"/>
      <c r="N139" s="50"/>
      <c r="O139" s="49"/>
    </row>
    <row r="140" spans="1:15" ht="15.75" customHeight="1" x14ac:dyDescent="0.3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9"/>
      <c r="M140" s="30"/>
      <c r="N140" s="50"/>
      <c r="O140" s="49"/>
    </row>
    <row r="141" spans="1:15" ht="15.75" customHeight="1" x14ac:dyDescent="0.3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9"/>
      <c r="M141" s="30"/>
      <c r="N141" s="50"/>
      <c r="O141" s="49"/>
    </row>
    <row r="142" spans="1:15" ht="15.75" customHeight="1" x14ac:dyDescent="0.3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9"/>
      <c r="M142" s="30"/>
      <c r="N142" s="50"/>
      <c r="O142" s="49"/>
    </row>
    <row r="143" spans="1:15" ht="15.75" customHeight="1" x14ac:dyDescent="0.3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9"/>
      <c r="M143" s="30"/>
      <c r="N143" s="50"/>
      <c r="O143" s="49"/>
    </row>
    <row r="144" spans="1:15" ht="15.75" customHeight="1" x14ac:dyDescent="0.3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9"/>
      <c r="M144" s="30"/>
      <c r="N144" s="50"/>
      <c r="O144" s="49"/>
    </row>
    <row r="145" spans="1:15" ht="15.75" customHeight="1" x14ac:dyDescent="0.3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9"/>
      <c r="M145" s="30"/>
      <c r="N145" s="50"/>
      <c r="O145" s="49"/>
    </row>
    <row r="146" spans="1:15" ht="15.75" customHeight="1" x14ac:dyDescent="0.3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9"/>
      <c r="M146" s="30"/>
      <c r="N146" s="50"/>
      <c r="O146" s="49"/>
    </row>
    <row r="147" spans="1:15" ht="15.75" customHeight="1" x14ac:dyDescent="0.3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9"/>
      <c r="M147" s="30"/>
      <c r="N147" s="50"/>
      <c r="O147" s="49"/>
    </row>
    <row r="148" spans="1:15" ht="15.75" customHeight="1" x14ac:dyDescent="0.3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9"/>
      <c r="M148" s="30"/>
      <c r="N148" s="50"/>
      <c r="O148" s="49"/>
    </row>
    <row r="149" spans="1:15" ht="15.75" customHeight="1" x14ac:dyDescent="0.3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9"/>
      <c r="M149" s="30"/>
      <c r="N149" s="50"/>
      <c r="O149" s="49"/>
    </row>
    <row r="150" spans="1:15" ht="15.75" customHeight="1" x14ac:dyDescent="0.3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9"/>
      <c r="M150" s="30"/>
      <c r="N150" s="50"/>
      <c r="O150" s="49"/>
    </row>
    <row r="151" spans="1:15" ht="15.75" customHeight="1" x14ac:dyDescent="0.3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9"/>
      <c r="M151" s="30"/>
      <c r="N151" s="50"/>
      <c r="O151" s="49"/>
    </row>
    <row r="152" spans="1:15" ht="15.75" customHeight="1" x14ac:dyDescent="0.3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9"/>
      <c r="M152" s="30"/>
      <c r="N152" s="50"/>
      <c r="O152" s="49"/>
    </row>
    <row r="153" spans="1:15" ht="15.75" customHeight="1" x14ac:dyDescent="0.3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9"/>
      <c r="M153" s="30"/>
      <c r="N153" s="50"/>
      <c r="O153" s="49"/>
    </row>
    <row r="154" spans="1:15" ht="15.75" customHeight="1" x14ac:dyDescent="0.3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9"/>
      <c r="M154" s="30"/>
      <c r="N154" s="50"/>
      <c r="O154" s="49"/>
    </row>
    <row r="155" spans="1:15" ht="15.75" customHeight="1" x14ac:dyDescent="0.3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9"/>
      <c r="M155" s="30"/>
      <c r="N155" s="50"/>
      <c r="O155" s="49"/>
    </row>
    <row r="156" spans="1:15" ht="15.75" customHeight="1" x14ac:dyDescent="0.3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9"/>
      <c r="M156" s="30"/>
      <c r="N156" s="50"/>
      <c r="O156" s="49"/>
    </row>
    <row r="157" spans="1:15" ht="15.75" customHeight="1" x14ac:dyDescent="0.3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9"/>
      <c r="M157" s="30"/>
      <c r="N157" s="50"/>
      <c r="O157" s="49"/>
    </row>
    <row r="158" spans="1:15" ht="15.75" customHeight="1" x14ac:dyDescent="0.3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9"/>
      <c r="M158" s="30"/>
      <c r="N158" s="50"/>
      <c r="O158" s="49"/>
    </row>
    <row r="159" spans="1:15" ht="15.75" customHeight="1" x14ac:dyDescent="0.3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9"/>
      <c r="M159" s="30"/>
      <c r="N159" s="50"/>
      <c r="O159" s="49"/>
    </row>
    <row r="160" spans="1:15" ht="15.75" customHeight="1" x14ac:dyDescent="0.3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9"/>
      <c r="M160" s="30"/>
      <c r="N160" s="50"/>
      <c r="O160" s="49"/>
    </row>
    <row r="161" spans="1:15" ht="15.75" customHeight="1" x14ac:dyDescent="0.3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9"/>
      <c r="M161" s="30"/>
      <c r="N161" s="50"/>
      <c r="O161" s="49"/>
    </row>
    <row r="162" spans="1:15" ht="15.75" customHeight="1" x14ac:dyDescent="0.3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9"/>
      <c r="M162" s="30"/>
      <c r="N162" s="50"/>
      <c r="O162" s="49"/>
    </row>
    <row r="163" spans="1:15" ht="15.75" customHeight="1" x14ac:dyDescent="0.3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9"/>
      <c r="M163" s="30"/>
      <c r="N163" s="50"/>
      <c r="O163" s="49"/>
    </row>
    <row r="164" spans="1:15" ht="15.75" customHeight="1" x14ac:dyDescent="0.3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9"/>
      <c r="M164" s="30"/>
      <c r="N164" s="50"/>
      <c r="O164" s="49"/>
    </row>
    <row r="165" spans="1:15" ht="15.75" customHeight="1" x14ac:dyDescent="0.3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9"/>
      <c r="M165" s="30"/>
      <c r="N165" s="50"/>
      <c r="O165" s="49"/>
    </row>
    <row r="166" spans="1:15" ht="15.75" customHeight="1" x14ac:dyDescent="0.3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9"/>
      <c r="M166" s="30"/>
      <c r="N166" s="50"/>
      <c r="O166" s="49"/>
    </row>
    <row r="167" spans="1:15" ht="15.75" customHeight="1" x14ac:dyDescent="0.3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9"/>
      <c r="M167" s="30"/>
      <c r="N167" s="50"/>
      <c r="O167" s="49"/>
    </row>
    <row r="168" spans="1:15" ht="15.75" customHeight="1" x14ac:dyDescent="0.3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9"/>
      <c r="M168" s="30"/>
      <c r="N168" s="50"/>
      <c r="O168" s="49"/>
    </row>
    <row r="169" spans="1:15" ht="15.75" customHeight="1" x14ac:dyDescent="0.3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9"/>
      <c r="M169" s="30"/>
      <c r="N169" s="50"/>
      <c r="O169" s="49"/>
    </row>
    <row r="170" spans="1:15" ht="15.75" customHeight="1" x14ac:dyDescent="0.3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9"/>
      <c r="M170" s="30"/>
      <c r="N170" s="50"/>
      <c r="O170" s="49"/>
    </row>
    <row r="171" spans="1:15" ht="15.75" customHeight="1" x14ac:dyDescent="0.3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9"/>
      <c r="M171" s="30"/>
      <c r="N171" s="50"/>
      <c r="O171" s="49"/>
    </row>
    <row r="172" spans="1:15" ht="15.75" customHeight="1" x14ac:dyDescent="0.3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9"/>
      <c r="M172" s="30"/>
      <c r="N172" s="50"/>
      <c r="O172" s="49"/>
    </row>
    <row r="173" spans="1:15" ht="15.75" customHeight="1" x14ac:dyDescent="0.3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9"/>
      <c r="M173" s="30"/>
      <c r="N173" s="50"/>
      <c r="O173" s="49"/>
    </row>
    <row r="174" spans="1:15" ht="15.75" customHeight="1" x14ac:dyDescent="0.3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9"/>
      <c r="M174" s="30"/>
      <c r="N174" s="50"/>
      <c r="O174" s="49"/>
    </row>
    <row r="175" spans="1:15" ht="15.75" customHeight="1" x14ac:dyDescent="0.3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9"/>
      <c r="M175" s="30"/>
      <c r="N175" s="50"/>
      <c r="O175" s="49"/>
    </row>
    <row r="176" spans="1:15" ht="15.75" customHeight="1" x14ac:dyDescent="0.3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9"/>
      <c r="M176" s="30"/>
      <c r="N176" s="50"/>
      <c r="O176" s="49"/>
    </row>
    <row r="177" spans="1:15" ht="15.75" customHeight="1" x14ac:dyDescent="0.3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9"/>
      <c r="M177" s="30"/>
      <c r="N177" s="50"/>
      <c r="O177" s="49"/>
    </row>
    <row r="178" spans="1:15" ht="15.75" customHeight="1" x14ac:dyDescent="0.3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9"/>
      <c r="M178" s="30"/>
      <c r="N178" s="50"/>
      <c r="O178" s="49"/>
    </row>
    <row r="179" spans="1:15" ht="15.75" customHeight="1" x14ac:dyDescent="0.3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9"/>
      <c r="M179" s="30"/>
      <c r="N179" s="50"/>
      <c r="O179" s="49"/>
    </row>
    <row r="180" spans="1:15" ht="15.75" customHeight="1" x14ac:dyDescent="0.3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9"/>
      <c r="M180" s="30"/>
      <c r="N180" s="50"/>
      <c r="O180" s="49"/>
    </row>
    <row r="181" spans="1:15" ht="15.75" customHeight="1" x14ac:dyDescent="0.3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9"/>
      <c r="M181" s="30"/>
      <c r="N181" s="50"/>
      <c r="O181" s="49"/>
    </row>
    <row r="182" spans="1:15" ht="15.75" customHeight="1" x14ac:dyDescent="0.3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9"/>
      <c r="M182" s="30"/>
      <c r="N182" s="50"/>
      <c r="O182" s="49"/>
    </row>
    <row r="183" spans="1:15" ht="15.75" customHeight="1" x14ac:dyDescent="0.3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9"/>
      <c r="M183" s="30"/>
      <c r="N183" s="50"/>
      <c r="O183" s="49"/>
    </row>
    <row r="184" spans="1:15" ht="15.75" customHeight="1" x14ac:dyDescent="0.3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9"/>
      <c r="M184" s="30"/>
      <c r="N184" s="50"/>
      <c r="O184" s="49"/>
    </row>
    <row r="185" spans="1:15" ht="15.75" customHeight="1" x14ac:dyDescent="0.3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9"/>
      <c r="M185" s="30"/>
      <c r="N185" s="50"/>
      <c r="O185" s="49"/>
    </row>
    <row r="186" spans="1:15" ht="15.75" customHeight="1" x14ac:dyDescent="0.3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9"/>
      <c r="M186" s="30"/>
      <c r="N186" s="50"/>
      <c r="O186" s="49"/>
    </row>
    <row r="187" spans="1:15" ht="15.75" customHeight="1" x14ac:dyDescent="0.3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9"/>
      <c r="M187" s="30"/>
      <c r="N187" s="50"/>
      <c r="O187" s="49"/>
    </row>
    <row r="188" spans="1:15" ht="15.75" customHeight="1" x14ac:dyDescent="0.3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9"/>
      <c r="M188" s="30"/>
      <c r="N188" s="50"/>
      <c r="O188" s="49"/>
    </row>
    <row r="189" spans="1:15" ht="15.75" customHeight="1" x14ac:dyDescent="0.3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9"/>
      <c r="M189" s="30"/>
      <c r="N189" s="50"/>
      <c r="O189" s="49"/>
    </row>
    <row r="190" spans="1:15" ht="15.75" customHeight="1" x14ac:dyDescent="0.3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9"/>
      <c r="M190" s="30"/>
      <c r="N190" s="50"/>
      <c r="O190" s="49"/>
    </row>
    <row r="191" spans="1:15" ht="15.75" customHeight="1" x14ac:dyDescent="0.3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9"/>
      <c r="M191" s="30"/>
      <c r="N191" s="50"/>
      <c r="O191" s="49"/>
    </row>
    <row r="192" spans="1:15" ht="15.75" customHeight="1" x14ac:dyDescent="0.3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9"/>
      <c r="M192" s="30"/>
      <c r="N192" s="50"/>
      <c r="O192" s="49"/>
    </row>
    <row r="193" spans="1:15" ht="15.75" customHeight="1" x14ac:dyDescent="0.3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9"/>
      <c r="M193" s="30"/>
      <c r="N193" s="50"/>
      <c r="O193" s="49"/>
    </row>
    <row r="194" spans="1:15" ht="15.75" customHeight="1" x14ac:dyDescent="0.3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9"/>
      <c r="M194" s="30"/>
      <c r="N194" s="50"/>
      <c r="O194" s="49"/>
    </row>
    <row r="195" spans="1:15" ht="15.75" customHeight="1" x14ac:dyDescent="0.3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9"/>
      <c r="M195" s="30"/>
      <c r="N195" s="50"/>
      <c r="O195" s="49"/>
    </row>
    <row r="196" spans="1:15" ht="15.75" customHeight="1" x14ac:dyDescent="0.3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9"/>
      <c r="M196" s="30"/>
      <c r="N196" s="50"/>
      <c r="O196" s="49"/>
    </row>
    <row r="197" spans="1:15" ht="15.75" customHeight="1" x14ac:dyDescent="0.3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9"/>
      <c r="M197" s="30"/>
      <c r="N197" s="50"/>
      <c r="O197" s="49"/>
    </row>
    <row r="198" spans="1:15" ht="15.75" customHeight="1" x14ac:dyDescent="0.3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9"/>
      <c r="M198" s="30"/>
      <c r="N198" s="50"/>
      <c r="O198" s="49"/>
    </row>
    <row r="199" spans="1:15" ht="15.75" customHeight="1" x14ac:dyDescent="0.3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9"/>
      <c r="M199" s="30"/>
      <c r="N199" s="50"/>
      <c r="O199" s="49"/>
    </row>
    <row r="200" spans="1:15" ht="15.75" customHeight="1" x14ac:dyDescent="0.3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9"/>
      <c r="M200" s="30"/>
      <c r="N200" s="50"/>
      <c r="O200" s="49"/>
    </row>
    <row r="201" spans="1:15" ht="15.75" customHeight="1" x14ac:dyDescent="0.3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9"/>
      <c r="M201" s="30"/>
      <c r="N201" s="50"/>
      <c r="O201" s="49"/>
    </row>
    <row r="202" spans="1:15" ht="15.75" customHeight="1" x14ac:dyDescent="0.3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9"/>
      <c r="M202" s="30"/>
      <c r="N202" s="50"/>
      <c r="O202" s="49"/>
    </row>
    <row r="203" spans="1:15" ht="15.75" customHeight="1" x14ac:dyDescent="0.3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9"/>
      <c r="M203" s="30"/>
      <c r="N203" s="50"/>
      <c r="O203" s="49"/>
    </row>
    <row r="204" spans="1:15" ht="15.75" customHeight="1" x14ac:dyDescent="0.3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9"/>
      <c r="M204" s="30"/>
      <c r="N204" s="50"/>
      <c r="O204" s="49"/>
    </row>
    <row r="205" spans="1:15" ht="15.75" customHeight="1" x14ac:dyDescent="0.3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9"/>
      <c r="M205" s="30"/>
      <c r="N205" s="50"/>
      <c r="O205" s="49"/>
    </row>
    <row r="206" spans="1:15" ht="15.75" customHeight="1" x14ac:dyDescent="0.3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9"/>
      <c r="M206" s="30"/>
      <c r="N206" s="50"/>
      <c r="O206" s="49"/>
    </row>
    <row r="207" spans="1:15" ht="15.75" customHeight="1" x14ac:dyDescent="0.3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9"/>
      <c r="M207" s="30"/>
      <c r="N207" s="50"/>
      <c r="O207" s="49"/>
    </row>
    <row r="208" spans="1:15" ht="15.75" customHeight="1" x14ac:dyDescent="0.3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9"/>
      <c r="M208" s="30"/>
      <c r="N208" s="50"/>
      <c r="O208" s="49"/>
    </row>
    <row r="209" spans="1:15" ht="15.75" customHeight="1" x14ac:dyDescent="0.3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9"/>
      <c r="M209" s="30"/>
      <c r="N209" s="50"/>
      <c r="O209" s="49"/>
    </row>
    <row r="210" spans="1:15" ht="15.75" customHeight="1" x14ac:dyDescent="0.3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9"/>
      <c r="M210" s="30"/>
      <c r="N210" s="50"/>
      <c r="O210" s="49"/>
    </row>
    <row r="211" spans="1:15" ht="15.75" customHeight="1" x14ac:dyDescent="0.3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9"/>
      <c r="M211" s="30"/>
      <c r="N211" s="50"/>
      <c r="O211" s="49"/>
    </row>
    <row r="212" spans="1:15" ht="15.75" customHeight="1" x14ac:dyDescent="0.3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9"/>
      <c r="M212" s="30"/>
      <c r="N212" s="50"/>
      <c r="O212" s="49"/>
    </row>
    <row r="213" spans="1:15" ht="15.75" customHeight="1" x14ac:dyDescent="0.3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9"/>
      <c r="M213" s="30"/>
      <c r="N213" s="50"/>
      <c r="O213" s="49"/>
    </row>
    <row r="214" spans="1:15" ht="15.75" customHeight="1" x14ac:dyDescent="0.3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9"/>
      <c r="M214" s="30"/>
      <c r="N214" s="50"/>
      <c r="O214" s="49"/>
    </row>
    <row r="215" spans="1:15" ht="15.75" customHeight="1" x14ac:dyDescent="0.3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9"/>
      <c r="M215" s="30"/>
      <c r="N215" s="50"/>
      <c r="O215" s="49"/>
    </row>
    <row r="216" spans="1:15" ht="15.75" customHeight="1" x14ac:dyDescent="0.3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9"/>
      <c r="M216" s="30"/>
      <c r="N216" s="50"/>
      <c r="O216" s="49"/>
    </row>
    <row r="217" spans="1:15" ht="15.75" customHeight="1" x14ac:dyDescent="0.3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9"/>
      <c r="M217" s="30"/>
      <c r="N217" s="50"/>
      <c r="O217" s="49"/>
    </row>
    <row r="218" spans="1:15" ht="15.75" customHeight="1" x14ac:dyDescent="0.3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9"/>
      <c r="M218" s="30"/>
      <c r="N218" s="50"/>
      <c r="O218" s="49"/>
    </row>
    <row r="219" spans="1:15" ht="15.75" customHeight="1" x14ac:dyDescent="0.3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9"/>
      <c r="M219" s="30"/>
      <c r="N219" s="50"/>
      <c r="O219" s="49"/>
    </row>
    <row r="220" spans="1:15" ht="15.75" customHeight="1" x14ac:dyDescent="0.3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9"/>
      <c r="M220" s="30"/>
      <c r="N220" s="50"/>
      <c r="O220" s="49"/>
    </row>
    <row r="221" spans="1:15" ht="15.75" customHeight="1" x14ac:dyDescent="0.3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9"/>
      <c r="M221" s="30"/>
      <c r="N221" s="50"/>
      <c r="O221" s="49"/>
    </row>
    <row r="222" spans="1:15" ht="15.75" customHeight="1" x14ac:dyDescent="0.3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9"/>
      <c r="M222" s="30"/>
      <c r="N222" s="50"/>
      <c r="O222" s="49"/>
    </row>
    <row r="223" spans="1:15" ht="15.75" customHeight="1" x14ac:dyDescent="0.3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9"/>
      <c r="M223" s="30"/>
      <c r="N223" s="50"/>
      <c r="O223" s="49"/>
    </row>
    <row r="224" spans="1:15" ht="15.75" customHeight="1" x14ac:dyDescent="0.3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9"/>
      <c r="M224" s="30"/>
      <c r="N224" s="50"/>
      <c r="O224" s="49"/>
    </row>
    <row r="225" spans="1:15" ht="15.75" customHeight="1" x14ac:dyDescent="0.3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9"/>
      <c r="M225" s="30"/>
      <c r="N225" s="50"/>
      <c r="O225" s="49"/>
    </row>
    <row r="226" spans="1:15" ht="15.75" customHeight="1" x14ac:dyDescent="0.3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9"/>
      <c r="M226" s="30"/>
      <c r="N226" s="50"/>
      <c r="O226" s="49"/>
    </row>
    <row r="227" spans="1:15" ht="15.75" customHeight="1" x14ac:dyDescent="0.3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9"/>
      <c r="M227" s="30"/>
      <c r="N227" s="50"/>
      <c r="O227" s="49"/>
    </row>
    <row r="228" spans="1:15" ht="15.75" customHeight="1" x14ac:dyDescent="0.3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9"/>
      <c r="M228" s="30"/>
      <c r="N228" s="50"/>
      <c r="O228" s="49"/>
    </row>
    <row r="229" spans="1:15" ht="15.75" customHeight="1" x14ac:dyDescent="0.3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9"/>
      <c r="M229" s="30"/>
      <c r="N229" s="50"/>
      <c r="O229" s="49"/>
    </row>
    <row r="230" spans="1:15" ht="15.75" customHeight="1" x14ac:dyDescent="0.3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9"/>
      <c r="M230" s="30"/>
      <c r="N230" s="50"/>
      <c r="O230" s="49"/>
    </row>
    <row r="231" spans="1:15" ht="15.75" customHeight="1" x14ac:dyDescent="0.3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9"/>
      <c r="M231" s="30"/>
      <c r="N231" s="50"/>
      <c r="O231" s="49"/>
    </row>
    <row r="232" spans="1:15" ht="15.75" customHeight="1" x14ac:dyDescent="0.3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9"/>
      <c r="M232" s="30"/>
      <c r="N232" s="50"/>
      <c r="O232" s="49"/>
    </row>
    <row r="233" spans="1:15" ht="15.75" customHeight="1" x14ac:dyDescent="0.3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9"/>
      <c r="M233" s="30"/>
      <c r="N233" s="50"/>
      <c r="O233" s="49"/>
    </row>
    <row r="234" spans="1:15" ht="15.75" customHeight="1" x14ac:dyDescent="0.3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9"/>
      <c r="M234" s="30"/>
      <c r="N234" s="50"/>
      <c r="O234" s="49"/>
    </row>
    <row r="235" spans="1:15" ht="15.75" customHeight="1" x14ac:dyDescent="0.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9"/>
      <c r="M235" s="30"/>
      <c r="N235" s="50"/>
      <c r="O235" s="49"/>
    </row>
    <row r="236" spans="1:15" ht="15.75" customHeight="1" x14ac:dyDescent="0.3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9"/>
      <c r="M236" s="30"/>
      <c r="N236" s="50"/>
      <c r="O236" s="49"/>
    </row>
    <row r="237" spans="1:15" ht="15.75" customHeight="1" x14ac:dyDescent="0.3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9"/>
      <c r="M237" s="30"/>
      <c r="N237" s="50"/>
      <c r="O237" s="49"/>
    </row>
    <row r="238" spans="1:15" ht="15.75" customHeight="1" x14ac:dyDescent="0.3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9"/>
      <c r="M238" s="30"/>
      <c r="N238" s="50"/>
      <c r="O238" s="49"/>
    </row>
    <row r="239" spans="1:15" ht="15.75" customHeight="1" x14ac:dyDescent="0.3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9"/>
      <c r="M239" s="30"/>
      <c r="N239" s="50"/>
      <c r="O239" s="49"/>
    </row>
    <row r="240" spans="1:15" ht="15.75" customHeight="1" x14ac:dyDescent="0.3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9"/>
      <c r="M240" s="30"/>
      <c r="N240" s="50"/>
      <c r="O240" s="49"/>
    </row>
    <row r="241" spans="1:15" ht="15.75" customHeight="1" x14ac:dyDescent="0.3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9"/>
      <c r="M241" s="30"/>
      <c r="N241" s="50"/>
      <c r="O241" s="49"/>
    </row>
    <row r="242" spans="1:15" ht="15.75" customHeight="1" x14ac:dyDescent="0.3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9"/>
      <c r="M242" s="30"/>
      <c r="N242" s="50"/>
      <c r="O242" s="49"/>
    </row>
    <row r="243" spans="1:15" ht="15.75" customHeight="1" x14ac:dyDescent="0.3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9"/>
      <c r="M243" s="30"/>
      <c r="N243" s="50"/>
      <c r="O243" s="49"/>
    </row>
    <row r="244" spans="1:15" ht="15.75" customHeight="1" x14ac:dyDescent="0.3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9"/>
      <c r="M244" s="30"/>
      <c r="N244" s="50"/>
      <c r="O244" s="49"/>
    </row>
    <row r="245" spans="1:15" ht="15.75" customHeight="1" x14ac:dyDescent="0.3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9"/>
      <c r="M245" s="30"/>
      <c r="N245" s="50"/>
      <c r="O245" s="49"/>
    </row>
    <row r="246" spans="1:15" ht="15.75" customHeight="1" x14ac:dyDescent="0.3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9"/>
      <c r="M246" s="30"/>
      <c r="N246" s="50"/>
      <c r="O246" s="49"/>
    </row>
    <row r="247" spans="1:15" ht="15.75" customHeight="1" x14ac:dyDescent="0.3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9"/>
      <c r="M247" s="30"/>
      <c r="N247" s="50"/>
      <c r="O247" s="49"/>
    </row>
    <row r="248" spans="1:15" ht="15.75" customHeight="1" x14ac:dyDescent="0.3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9"/>
      <c r="M248" s="30"/>
      <c r="N248" s="50"/>
      <c r="O248" s="49"/>
    </row>
    <row r="249" spans="1:15" ht="15.75" customHeight="1" x14ac:dyDescent="0.3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9"/>
      <c r="M249" s="30"/>
      <c r="N249" s="50"/>
      <c r="O249" s="49"/>
    </row>
    <row r="250" spans="1:15" ht="15.75" customHeight="1" x14ac:dyDescent="0.3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9"/>
      <c r="M250" s="30"/>
      <c r="N250" s="50"/>
      <c r="O250" s="49"/>
    </row>
    <row r="251" spans="1:15" ht="15.75" customHeight="1" x14ac:dyDescent="0.3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9"/>
      <c r="M251" s="30"/>
      <c r="N251" s="50"/>
      <c r="O251" s="49"/>
    </row>
    <row r="252" spans="1:15" ht="15.75" customHeight="1" x14ac:dyDescent="0.3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9"/>
      <c r="M252" s="30"/>
      <c r="N252" s="50"/>
      <c r="O252" s="49"/>
    </row>
    <row r="253" spans="1:15" ht="15.75" customHeight="1" x14ac:dyDescent="0.3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9"/>
      <c r="M253" s="30"/>
      <c r="N253" s="50"/>
      <c r="O253" s="49"/>
    </row>
    <row r="254" spans="1:15" ht="15.75" customHeight="1" x14ac:dyDescent="0.3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9"/>
      <c r="M254" s="30"/>
      <c r="N254" s="50"/>
      <c r="O254" s="49"/>
    </row>
    <row r="255" spans="1:15" ht="15.75" customHeight="1" x14ac:dyDescent="0.3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9"/>
      <c r="M255" s="30"/>
      <c r="N255" s="50"/>
      <c r="O255" s="49"/>
    </row>
    <row r="256" spans="1:15" ht="15.75" customHeight="1" x14ac:dyDescent="0.3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9"/>
      <c r="M256" s="30"/>
      <c r="N256" s="50"/>
      <c r="O256" s="49"/>
    </row>
    <row r="257" spans="1:15" ht="15.75" customHeight="1" x14ac:dyDescent="0.3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9"/>
      <c r="M257" s="30"/>
      <c r="N257" s="50"/>
      <c r="O257" s="49"/>
    </row>
    <row r="258" spans="1:15" ht="15.75" customHeight="1" x14ac:dyDescent="0.3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9"/>
      <c r="M258" s="30"/>
      <c r="N258" s="50"/>
      <c r="O258" s="49"/>
    </row>
    <row r="259" spans="1:15" ht="15.75" customHeight="1" x14ac:dyDescent="0.3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9"/>
      <c r="M259" s="30"/>
      <c r="N259" s="50"/>
      <c r="O259" s="49"/>
    </row>
    <row r="260" spans="1:15" ht="15.75" customHeight="1" x14ac:dyDescent="0.3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9"/>
      <c r="M260" s="30"/>
      <c r="N260" s="50"/>
      <c r="O260" s="49"/>
    </row>
    <row r="261" spans="1:15" ht="15.75" customHeight="1" x14ac:dyDescent="0.3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9"/>
      <c r="M261" s="30"/>
      <c r="N261" s="50"/>
      <c r="O261" s="49"/>
    </row>
    <row r="262" spans="1:15" ht="15.75" customHeight="1" x14ac:dyDescent="0.3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9"/>
      <c r="M262" s="30"/>
      <c r="N262" s="50"/>
      <c r="O262" s="49"/>
    </row>
    <row r="263" spans="1:15" ht="15.75" customHeight="1" x14ac:dyDescent="0.3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9"/>
      <c r="M263" s="30"/>
      <c r="N263" s="50"/>
      <c r="O263" s="49"/>
    </row>
    <row r="264" spans="1:15" ht="15.75" customHeight="1" x14ac:dyDescent="0.3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9"/>
      <c r="M264" s="30"/>
      <c r="N264" s="50"/>
      <c r="O264" s="49"/>
    </row>
    <row r="265" spans="1:15" ht="15.75" customHeight="1" x14ac:dyDescent="0.3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9"/>
      <c r="M265" s="30"/>
      <c r="N265" s="50"/>
      <c r="O265" s="49"/>
    </row>
    <row r="266" spans="1:15" ht="15.75" customHeight="1" x14ac:dyDescent="0.3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9"/>
      <c r="M266" s="30"/>
      <c r="N266" s="50"/>
      <c r="O266" s="49"/>
    </row>
    <row r="267" spans="1:15" ht="15.75" customHeight="1" x14ac:dyDescent="0.3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9"/>
      <c r="M267" s="30"/>
      <c r="N267" s="50"/>
      <c r="O267" s="49"/>
    </row>
    <row r="268" spans="1:15" ht="15.75" customHeight="1" x14ac:dyDescent="0.3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9"/>
      <c r="M268" s="30"/>
      <c r="N268" s="50"/>
      <c r="O268" s="49"/>
    </row>
    <row r="269" spans="1:15" ht="15.75" customHeight="1" x14ac:dyDescent="0.3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9"/>
      <c r="M269" s="30"/>
      <c r="N269" s="50"/>
      <c r="O269" s="49"/>
    </row>
    <row r="270" spans="1:15" ht="15.75" customHeight="1" x14ac:dyDescent="0.3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9"/>
      <c r="M270" s="30"/>
      <c r="N270" s="50"/>
      <c r="O270" s="49"/>
    </row>
    <row r="271" spans="1:15" ht="15.75" customHeight="1" x14ac:dyDescent="0.3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9"/>
      <c r="M271" s="30"/>
      <c r="N271" s="50"/>
      <c r="O271" s="49"/>
    </row>
    <row r="272" spans="1:15" ht="15.75" customHeight="1" x14ac:dyDescent="0.3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9"/>
      <c r="M272" s="30"/>
      <c r="N272" s="50"/>
      <c r="O272" s="49"/>
    </row>
    <row r="273" spans="1:15" ht="15.75" customHeight="1" x14ac:dyDescent="0.3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9"/>
      <c r="M273" s="30"/>
      <c r="N273" s="50"/>
      <c r="O273" s="49"/>
    </row>
    <row r="274" spans="1:15" ht="15.75" customHeight="1" x14ac:dyDescent="0.3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9"/>
      <c r="M274" s="30"/>
      <c r="N274" s="50"/>
      <c r="O274" s="49"/>
    </row>
    <row r="275" spans="1:15" ht="15.75" customHeight="1" x14ac:dyDescent="0.3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9"/>
      <c r="M275" s="30"/>
      <c r="N275" s="50"/>
      <c r="O275" s="49"/>
    </row>
    <row r="276" spans="1:15" ht="15.75" customHeight="1" x14ac:dyDescent="0.3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9"/>
      <c r="M276" s="30"/>
      <c r="N276" s="50"/>
      <c r="O276" s="49"/>
    </row>
    <row r="277" spans="1:15" ht="15.75" customHeight="1" x14ac:dyDescent="0.3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9"/>
      <c r="M277" s="30"/>
      <c r="N277" s="50"/>
      <c r="O277" s="49"/>
    </row>
    <row r="278" spans="1:15" ht="15.75" customHeight="1" x14ac:dyDescent="0.3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9"/>
      <c r="M278" s="30"/>
      <c r="N278" s="50"/>
      <c r="O278" s="49"/>
    </row>
    <row r="279" spans="1:15" ht="15.75" customHeight="1" x14ac:dyDescent="0.3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9"/>
      <c r="M279" s="30"/>
      <c r="N279" s="50"/>
      <c r="O279" s="49"/>
    </row>
    <row r="280" spans="1:15" ht="15.75" customHeight="1" x14ac:dyDescent="0.3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9"/>
      <c r="M280" s="30"/>
      <c r="N280" s="50"/>
      <c r="O280" s="49"/>
    </row>
    <row r="281" spans="1:15" ht="15.75" customHeight="1" x14ac:dyDescent="0.3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9"/>
      <c r="M281" s="30"/>
      <c r="N281" s="50"/>
      <c r="O281" s="49"/>
    </row>
    <row r="282" spans="1:15" ht="15.75" customHeight="1" x14ac:dyDescent="0.3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9"/>
      <c r="M282" s="30"/>
      <c r="N282" s="50"/>
      <c r="O282" s="49"/>
    </row>
    <row r="283" spans="1:15" ht="15.75" customHeight="1" x14ac:dyDescent="0.3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9"/>
      <c r="M283" s="30"/>
      <c r="N283" s="50"/>
      <c r="O283" s="49"/>
    </row>
    <row r="284" spans="1:15" ht="15.75" customHeight="1" x14ac:dyDescent="0.3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9"/>
      <c r="M284" s="30"/>
      <c r="N284" s="50"/>
      <c r="O284" s="49"/>
    </row>
    <row r="285" spans="1:15" ht="15.75" customHeight="1" x14ac:dyDescent="0.3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9"/>
      <c r="M285" s="30"/>
      <c r="N285" s="50"/>
      <c r="O285" s="49"/>
    </row>
    <row r="286" spans="1:15" ht="15.75" customHeight="1" x14ac:dyDescent="0.3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9"/>
      <c r="M286" s="30"/>
      <c r="N286" s="50"/>
      <c r="O286" s="49"/>
    </row>
    <row r="287" spans="1:15" ht="15.75" customHeight="1" x14ac:dyDescent="0.3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9"/>
      <c r="M287" s="30"/>
      <c r="N287" s="50"/>
      <c r="O287" s="49"/>
    </row>
    <row r="288" spans="1:15" ht="15.75" customHeight="1" x14ac:dyDescent="0.3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9"/>
      <c r="M288" s="30"/>
      <c r="N288" s="50"/>
      <c r="O288" s="49"/>
    </row>
    <row r="289" spans="1:15" ht="15.75" customHeight="1" x14ac:dyDescent="0.3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9"/>
      <c r="M289" s="30"/>
      <c r="N289" s="50"/>
      <c r="O289" s="49"/>
    </row>
    <row r="290" spans="1:15" ht="15.75" customHeight="1" x14ac:dyDescent="0.3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9"/>
      <c r="M290" s="30"/>
      <c r="N290" s="50"/>
      <c r="O290" s="49"/>
    </row>
    <row r="291" spans="1:15" ht="15.75" customHeight="1" x14ac:dyDescent="0.3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9"/>
      <c r="M291" s="30"/>
      <c r="N291" s="50"/>
      <c r="O291" s="49"/>
    </row>
    <row r="292" spans="1:15" ht="15.75" customHeight="1" x14ac:dyDescent="0.3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9"/>
      <c r="M292" s="30"/>
      <c r="N292" s="50"/>
      <c r="O292" s="49"/>
    </row>
    <row r="293" spans="1:15" ht="15.75" customHeight="1" x14ac:dyDescent="0.3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9"/>
      <c r="M293" s="30"/>
      <c r="N293" s="50"/>
      <c r="O293" s="49"/>
    </row>
    <row r="294" spans="1:15" ht="15.75" customHeight="1" x14ac:dyDescent="0.3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9"/>
      <c r="M294" s="30"/>
      <c r="N294" s="50"/>
      <c r="O294" s="49"/>
    </row>
    <row r="295" spans="1:15" ht="15.75" customHeight="1" x14ac:dyDescent="0.3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9"/>
      <c r="M295" s="30"/>
      <c r="N295" s="50"/>
      <c r="O295" s="49"/>
    </row>
    <row r="296" spans="1:15" ht="15.75" customHeight="1" x14ac:dyDescent="0.3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9"/>
      <c r="M296" s="30"/>
      <c r="N296" s="50"/>
      <c r="O296" s="49"/>
    </row>
    <row r="297" spans="1:15" ht="15.75" customHeight="1" x14ac:dyDescent="0.3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9"/>
      <c r="M297" s="30"/>
      <c r="N297" s="50"/>
      <c r="O297" s="49"/>
    </row>
    <row r="298" spans="1:15" ht="15.75" customHeight="1" x14ac:dyDescent="0.3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9"/>
      <c r="M298" s="30"/>
      <c r="N298" s="50"/>
      <c r="O298" s="49"/>
    </row>
    <row r="299" spans="1:15" ht="15.75" customHeight="1" x14ac:dyDescent="0.3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9"/>
      <c r="M299" s="30"/>
      <c r="N299" s="50"/>
      <c r="O299" s="49"/>
    </row>
    <row r="300" spans="1:15" ht="15.75" customHeight="1" x14ac:dyDescent="0.3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9"/>
      <c r="M300" s="30"/>
      <c r="N300" s="50"/>
      <c r="O300" s="49"/>
    </row>
    <row r="301" spans="1:15" ht="15.75" customHeight="1" x14ac:dyDescent="0.3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9"/>
      <c r="M301" s="30"/>
      <c r="N301" s="50"/>
      <c r="O301" s="49"/>
    </row>
    <row r="302" spans="1:15" ht="15.75" customHeight="1" x14ac:dyDescent="0.3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9"/>
      <c r="M302" s="30"/>
      <c r="N302" s="50"/>
      <c r="O302" s="49"/>
    </row>
    <row r="303" spans="1:15" ht="15.75" customHeight="1" x14ac:dyDescent="0.3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9"/>
      <c r="M303" s="30"/>
      <c r="N303" s="50"/>
      <c r="O303" s="49"/>
    </row>
    <row r="304" spans="1:15" ht="15.75" customHeight="1" x14ac:dyDescent="0.3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9"/>
      <c r="M304" s="30"/>
      <c r="N304" s="50"/>
      <c r="O304" s="49"/>
    </row>
    <row r="305" spans="1:15" ht="15.75" customHeight="1" x14ac:dyDescent="0.3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9"/>
      <c r="M305" s="30"/>
      <c r="N305" s="50"/>
      <c r="O305" s="49"/>
    </row>
    <row r="306" spans="1:15" ht="15.75" customHeight="1" x14ac:dyDescent="0.3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9"/>
      <c r="M306" s="30"/>
      <c r="N306" s="50"/>
      <c r="O306" s="49"/>
    </row>
    <row r="307" spans="1:15" ht="15.75" customHeight="1" x14ac:dyDescent="0.3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9"/>
      <c r="M307" s="30"/>
      <c r="N307" s="50"/>
      <c r="O307" s="49"/>
    </row>
    <row r="308" spans="1:15" ht="15.75" customHeight="1" x14ac:dyDescent="0.3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9"/>
      <c r="M308" s="30"/>
      <c r="N308" s="50"/>
      <c r="O308" s="49"/>
    </row>
    <row r="309" spans="1:15" ht="15.75" customHeight="1" x14ac:dyDescent="0.3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9"/>
      <c r="M309" s="30"/>
      <c r="N309" s="50"/>
      <c r="O309" s="49"/>
    </row>
    <row r="310" spans="1:15" ht="15.75" customHeight="1" x14ac:dyDescent="0.3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9"/>
      <c r="M310" s="30"/>
      <c r="N310" s="50"/>
      <c r="O310" s="49"/>
    </row>
    <row r="311" spans="1:15" ht="15.75" customHeight="1" x14ac:dyDescent="0.3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9"/>
      <c r="M311" s="30"/>
      <c r="N311" s="50"/>
      <c r="O311" s="49"/>
    </row>
    <row r="312" spans="1:15" ht="15.75" customHeight="1" x14ac:dyDescent="0.3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9"/>
      <c r="M312" s="30"/>
      <c r="N312" s="50"/>
      <c r="O312" s="49"/>
    </row>
    <row r="313" spans="1:15" ht="15.75" customHeight="1" x14ac:dyDescent="0.3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9"/>
      <c r="M313" s="30"/>
      <c r="N313" s="50"/>
      <c r="O313" s="49"/>
    </row>
    <row r="314" spans="1:15" ht="15.75" customHeight="1" x14ac:dyDescent="0.3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9"/>
      <c r="M314" s="30"/>
      <c r="N314" s="50"/>
      <c r="O314" s="49"/>
    </row>
    <row r="315" spans="1:15" ht="15.75" customHeight="1" x14ac:dyDescent="0.3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9"/>
      <c r="M315" s="30"/>
      <c r="N315" s="50"/>
      <c r="O315" s="49"/>
    </row>
    <row r="316" spans="1:15" ht="15.75" customHeight="1" x14ac:dyDescent="0.3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9"/>
      <c r="M316" s="30"/>
      <c r="N316" s="50"/>
      <c r="O316" s="49"/>
    </row>
    <row r="317" spans="1:15" ht="15.75" customHeight="1" x14ac:dyDescent="0.3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9"/>
      <c r="M317" s="30"/>
      <c r="N317" s="50"/>
      <c r="O317" s="49"/>
    </row>
    <row r="318" spans="1:15" ht="15.75" customHeight="1" x14ac:dyDescent="0.3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9"/>
      <c r="M318" s="30"/>
      <c r="N318" s="50"/>
      <c r="O318" s="49"/>
    </row>
    <row r="319" spans="1:15" ht="15.75" customHeight="1" x14ac:dyDescent="0.3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9"/>
      <c r="M319" s="30"/>
      <c r="N319" s="50"/>
      <c r="O319" s="49"/>
    </row>
    <row r="320" spans="1:15" ht="15.75" customHeight="1" x14ac:dyDescent="0.3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9"/>
      <c r="M320" s="30"/>
      <c r="N320" s="50"/>
      <c r="O320" s="49"/>
    </row>
    <row r="321" spans="1:15" ht="15.75" customHeight="1" x14ac:dyDescent="0.3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9"/>
      <c r="M321" s="30"/>
      <c r="N321" s="50"/>
      <c r="O321" s="49"/>
    </row>
    <row r="322" spans="1:15" ht="15.75" customHeight="1" x14ac:dyDescent="0.3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9"/>
      <c r="M322" s="30"/>
      <c r="N322" s="50"/>
      <c r="O322" s="49"/>
    </row>
    <row r="323" spans="1:15" ht="15.75" customHeight="1" x14ac:dyDescent="0.3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9"/>
      <c r="M323" s="30"/>
      <c r="N323" s="50"/>
      <c r="O323" s="49"/>
    </row>
    <row r="324" spans="1:15" ht="15.75" customHeight="1" x14ac:dyDescent="0.3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9"/>
      <c r="M324" s="30"/>
      <c r="N324" s="50"/>
      <c r="O324" s="49"/>
    </row>
    <row r="325" spans="1:15" ht="15.75" customHeight="1" x14ac:dyDescent="0.3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9"/>
      <c r="M325" s="30"/>
      <c r="N325" s="50"/>
      <c r="O325" s="49"/>
    </row>
    <row r="326" spans="1:15" ht="15.75" customHeight="1" x14ac:dyDescent="0.3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9"/>
      <c r="M326" s="30"/>
      <c r="N326" s="50"/>
      <c r="O326" s="49"/>
    </row>
    <row r="327" spans="1:15" ht="15.75" customHeight="1" x14ac:dyDescent="0.3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9"/>
      <c r="M327" s="30"/>
      <c r="N327" s="50"/>
      <c r="O327" s="49"/>
    </row>
    <row r="328" spans="1:15" ht="15.75" customHeight="1" x14ac:dyDescent="0.3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9"/>
      <c r="M328" s="30"/>
      <c r="N328" s="50"/>
      <c r="O328" s="49"/>
    </row>
    <row r="329" spans="1:15" ht="15.75" customHeight="1" x14ac:dyDescent="0.3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9"/>
      <c r="M329" s="30"/>
      <c r="N329" s="50"/>
      <c r="O329" s="49"/>
    </row>
    <row r="330" spans="1:15" ht="15.75" customHeight="1" x14ac:dyDescent="0.3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9"/>
      <c r="M330" s="30"/>
      <c r="N330" s="50"/>
      <c r="O330" s="49"/>
    </row>
    <row r="331" spans="1:15" ht="15.75" customHeight="1" x14ac:dyDescent="0.3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9"/>
      <c r="M331" s="30"/>
      <c r="N331" s="50"/>
      <c r="O331" s="49"/>
    </row>
    <row r="332" spans="1:15" ht="15.75" customHeight="1" x14ac:dyDescent="0.3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9"/>
      <c r="M332" s="30"/>
      <c r="N332" s="50"/>
      <c r="O332" s="49"/>
    </row>
    <row r="333" spans="1:15" ht="15.75" customHeight="1" x14ac:dyDescent="0.3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9"/>
      <c r="M333" s="30"/>
      <c r="N333" s="50"/>
      <c r="O333" s="49"/>
    </row>
    <row r="334" spans="1:15" ht="15.75" customHeight="1" x14ac:dyDescent="0.3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9"/>
      <c r="M334" s="30"/>
      <c r="N334" s="50"/>
      <c r="O334" s="49"/>
    </row>
    <row r="335" spans="1:15" ht="15.75" customHeight="1" x14ac:dyDescent="0.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9"/>
      <c r="M335" s="30"/>
      <c r="N335" s="50"/>
      <c r="O335" s="49"/>
    </row>
    <row r="336" spans="1:15" ht="15.75" customHeight="1" x14ac:dyDescent="0.3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9"/>
      <c r="M336" s="30"/>
      <c r="N336" s="50"/>
      <c r="O336" s="49"/>
    </row>
    <row r="337" spans="1:15" ht="15.75" customHeight="1" x14ac:dyDescent="0.3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9"/>
      <c r="M337" s="30"/>
      <c r="N337" s="50"/>
      <c r="O337" s="49"/>
    </row>
    <row r="338" spans="1:15" ht="15.75" customHeight="1" x14ac:dyDescent="0.3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9"/>
      <c r="M338" s="30"/>
      <c r="N338" s="50"/>
      <c r="O338" s="49"/>
    </row>
    <row r="339" spans="1:15" ht="15.75" customHeight="1" x14ac:dyDescent="0.3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9"/>
      <c r="M339" s="30"/>
      <c r="N339" s="50"/>
      <c r="O339" s="49"/>
    </row>
    <row r="340" spans="1:15" ht="15.75" customHeight="1" x14ac:dyDescent="0.3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9"/>
      <c r="M340" s="30"/>
      <c r="N340" s="50"/>
      <c r="O340" s="49"/>
    </row>
    <row r="341" spans="1:15" ht="15.75" customHeight="1" x14ac:dyDescent="0.3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9"/>
      <c r="M341" s="30"/>
      <c r="N341" s="50"/>
      <c r="O341" s="49"/>
    </row>
    <row r="342" spans="1:15" ht="15.75" customHeight="1" x14ac:dyDescent="0.3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9"/>
      <c r="M342" s="30"/>
      <c r="N342" s="50"/>
      <c r="O342" s="49"/>
    </row>
    <row r="343" spans="1:15" ht="15.75" customHeight="1" x14ac:dyDescent="0.3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9"/>
      <c r="M343" s="30"/>
      <c r="N343" s="50"/>
      <c r="O343" s="49"/>
    </row>
    <row r="344" spans="1:15" ht="15.75" customHeight="1" x14ac:dyDescent="0.3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9"/>
      <c r="M344" s="30"/>
      <c r="N344" s="50"/>
      <c r="O344" s="49"/>
    </row>
    <row r="345" spans="1:15" ht="15.75" customHeight="1" x14ac:dyDescent="0.3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9"/>
      <c r="M345" s="30"/>
      <c r="N345" s="50"/>
      <c r="O345" s="49"/>
    </row>
    <row r="346" spans="1:15" ht="15.75" customHeight="1" x14ac:dyDescent="0.3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9"/>
      <c r="M346" s="30"/>
      <c r="N346" s="50"/>
      <c r="O346" s="49"/>
    </row>
    <row r="347" spans="1:15" ht="15.75" customHeight="1" x14ac:dyDescent="0.3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9"/>
      <c r="M347" s="30"/>
      <c r="N347" s="50"/>
      <c r="O347" s="49"/>
    </row>
    <row r="348" spans="1:15" ht="15.75" customHeight="1" x14ac:dyDescent="0.3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9"/>
      <c r="M348" s="30"/>
      <c r="N348" s="50"/>
      <c r="O348" s="49"/>
    </row>
    <row r="349" spans="1:15" ht="15.75" customHeight="1" x14ac:dyDescent="0.3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9"/>
      <c r="M349" s="30"/>
      <c r="N349" s="50"/>
      <c r="O349" s="49"/>
    </row>
    <row r="350" spans="1:15" ht="15.75" customHeight="1" x14ac:dyDescent="0.3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9"/>
      <c r="M350" s="30"/>
      <c r="N350" s="50"/>
      <c r="O350" s="49"/>
    </row>
    <row r="351" spans="1:15" ht="15.75" customHeight="1" x14ac:dyDescent="0.3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9"/>
      <c r="M351" s="30"/>
      <c r="N351" s="50"/>
      <c r="O351" s="49"/>
    </row>
    <row r="352" spans="1:15" ht="15.75" customHeight="1" x14ac:dyDescent="0.3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9"/>
      <c r="M352" s="30"/>
      <c r="N352" s="50"/>
      <c r="O352" s="49"/>
    </row>
    <row r="353" spans="1:15" ht="15.75" customHeight="1" x14ac:dyDescent="0.3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9"/>
      <c r="M353" s="30"/>
      <c r="N353" s="50"/>
      <c r="O353" s="49"/>
    </row>
    <row r="354" spans="1:15" ht="15.75" customHeight="1" x14ac:dyDescent="0.3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9"/>
      <c r="M354" s="30"/>
      <c r="N354" s="50"/>
      <c r="O354" s="49"/>
    </row>
    <row r="355" spans="1:15" ht="15.75" customHeight="1" x14ac:dyDescent="0.3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9"/>
      <c r="M355" s="30"/>
      <c r="N355" s="50"/>
      <c r="O355" s="49"/>
    </row>
    <row r="356" spans="1:15" ht="15.75" customHeight="1" x14ac:dyDescent="0.3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9"/>
      <c r="M356" s="30"/>
      <c r="N356" s="50"/>
      <c r="O356" s="49"/>
    </row>
    <row r="357" spans="1:15" ht="15.75" customHeight="1" x14ac:dyDescent="0.3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9"/>
      <c r="M357" s="30"/>
      <c r="N357" s="50"/>
      <c r="O357" s="49"/>
    </row>
    <row r="358" spans="1:15" ht="15.75" customHeight="1" x14ac:dyDescent="0.3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9"/>
      <c r="M358" s="30"/>
      <c r="N358" s="50"/>
      <c r="O358" s="49"/>
    </row>
    <row r="359" spans="1:15" ht="15.75" customHeight="1" x14ac:dyDescent="0.3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9"/>
      <c r="M359" s="30"/>
      <c r="N359" s="50"/>
      <c r="O359" s="49"/>
    </row>
    <row r="360" spans="1:15" ht="15.75" customHeight="1" x14ac:dyDescent="0.3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9"/>
      <c r="M360" s="30"/>
      <c r="N360" s="50"/>
      <c r="O360" s="49"/>
    </row>
    <row r="361" spans="1:15" ht="15.75" customHeight="1" x14ac:dyDescent="0.3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9"/>
      <c r="M361" s="30"/>
      <c r="N361" s="50"/>
      <c r="O361" s="49"/>
    </row>
    <row r="362" spans="1:15" ht="15.75" customHeight="1" x14ac:dyDescent="0.3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9"/>
      <c r="M362" s="30"/>
      <c r="N362" s="50"/>
      <c r="O362" s="49"/>
    </row>
    <row r="363" spans="1:15" ht="15.75" customHeight="1" x14ac:dyDescent="0.3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9"/>
      <c r="M363" s="30"/>
      <c r="N363" s="50"/>
      <c r="O363" s="49"/>
    </row>
    <row r="364" spans="1:15" ht="15.75" customHeight="1" x14ac:dyDescent="0.3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9"/>
      <c r="M364" s="30"/>
      <c r="N364" s="50"/>
      <c r="O364" s="49"/>
    </row>
    <row r="365" spans="1:15" ht="15.75" customHeight="1" x14ac:dyDescent="0.3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9"/>
      <c r="M365" s="30"/>
      <c r="N365" s="50"/>
      <c r="O365" s="49"/>
    </row>
    <row r="366" spans="1:15" ht="15.75" customHeight="1" x14ac:dyDescent="0.3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9"/>
      <c r="M366" s="30"/>
      <c r="N366" s="50"/>
      <c r="O366" s="49"/>
    </row>
    <row r="367" spans="1:15" ht="15.75" customHeight="1" x14ac:dyDescent="0.3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9"/>
      <c r="M367" s="30"/>
      <c r="N367" s="50"/>
      <c r="O367" s="49"/>
    </row>
    <row r="368" spans="1:15" ht="15.75" customHeight="1" x14ac:dyDescent="0.3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9"/>
      <c r="M368" s="30"/>
      <c r="N368" s="50"/>
      <c r="O368" s="49"/>
    </row>
    <row r="369" spans="1:15" ht="15.75" customHeight="1" x14ac:dyDescent="0.3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9"/>
      <c r="M369" s="30"/>
      <c r="N369" s="50"/>
      <c r="O369" s="49"/>
    </row>
    <row r="370" spans="1:15" ht="15.75" customHeight="1" x14ac:dyDescent="0.3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9"/>
      <c r="M370" s="30"/>
      <c r="N370" s="50"/>
      <c r="O370" s="49"/>
    </row>
    <row r="371" spans="1:15" ht="15.75" customHeight="1" x14ac:dyDescent="0.3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9"/>
      <c r="M371" s="30"/>
      <c r="N371" s="50"/>
      <c r="O371" s="49"/>
    </row>
    <row r="372" spans="1:15" ht="15.75" customHeight="1" x14ac:dyDescent="0.3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9"/>
      <c r="M372" s="30"/>
      <c r="N372" s="50"/>
      <c r="O372" s="49"/>
    </row>
    <row r="373" spans="1:15" ht="15.75" customHeight="1" x14ac:dyDescent="0.3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9"/>
      <c r="M373" s="30"/>
      <c r="N373" s="50"/>
      <c r="O373" s="49"/>
    </row>
    <row r="374" spans="1:15" ht="15.75" customHeight="1" x14ac:dyDescent="0.3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9"/>
      <c r="M374" s="30"/>
      <c r="N374" s="50"/>
      <c r="O374" s="49"/>
    </row>
    <row r="375" spans="1:15" ht="15.75" customHeight="1" x14ac:dyDescent="0.3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9"/>
      <c r="M375" s="30"/>
      <c r="N375" s="50"/>
      <c r="O375" s="49"/>
    </row>
    <row r="376" spans="1:15" ht="15.75" customHeight="1" x14ac:dyDescent="0.3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9"/>
      <c r="M376" s="30"/>
      <c r="N376" s="50"/>
      <c r="O376" s="49"/>
    </row>
    <row r="377" spans="1:15" ht="15.75" customHeight="1" x14ac:dyDescent="0.3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9"/>
      <c r="M377" s="30"/>
      <c r="N377" s="50"/>
      <c r="O377" s="49"/>
    </row>
    <row r="378" spans="1:15" ht="15.75" customHeight="1" x14ac:dyDescent="0.3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9"/>
      <c r="M378" s="30"/>
      <c r="N378" s="50"/>
      <c r="O378" s="49"/>
    </row>
    <row r="379" spans="1:15" ht="15.75" customHeight="1" x14ac:dyDescent="0.3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9"/>
      <c r="M379" s="30"/>
      <c r="N379" s="50"/>
      <c r="O379" s="49"/>
    </row>
    <row r="380" spans="1:15" ht="15.75" customHeight="1" x14ac:dyDescent="0.3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9"/>
      <c r="M380" s="30"/>
      <c r="N380" s="50"/>
      <c r="O380" s="49"/>
    </row>
    <row r="381" spans="1:15" ht="15.75" customHeight="1" x14ac:dyDescent="0.3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9"/>
      <c r="M381" s="30"/>
      <c r="N381" s="50"/>
      <c r="O381" s="49"/>
    </row>
    <row r="382" spans="1:15" ht="15.75" customHeight="1" x14ac:dyDescent="0.3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9"/>
      <c r="M382" s="30"/>
      <c r="N382" s="50"/>
      <c r="O382" s="49"/>
    </row>
    <row r="383" spans="1:15" ht="15.75" customHeight="1" x14ac:dyDescent="0.3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9"/>
      <c r="M383" s="30"/>
      <c r="N383" s="50"/>
      <c r="O383" s="49"/>
    </row>
    <row r="384" spans="1:15" ht="15.75" customHeight="1" x14ac:dyDescent="0.3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9"/>
      <c r="M384" s="30"/>
      <c r="N384" s="50"/>
      <c r="O384" s="49"/>
    </row>
    <row r="385" spans="1:15" ht="15.75" customHeight="1" x14ac:dyDescent="0.3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9"/>
      <c r="M385" s="30"/>
      <c r="N385" s="50"/>
      <c r="O385" s="49"/>
    </row>
    <row r="386" spans="1:15" ht="15.75" customHeight="1" x14ac:dyDescent="0.3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9"/>
      <c r="M386" s="30"/>
      <c r="N386" s="50"/>
      <c r="O386" s="49"/>
    </row>
    <row r="387" spans="1:15" ht="15.75" customHeight="1" x14ac:dyDescent="0.3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9"/>
      <c r="M387" s="30"/>
      <c r="N387" s="50"/>
      <c r="O387" s="49"/>
    </row>
    <row r="388" spans="1:15" ht="15.75" customHeight="1" x14ac:dyDescent="0.3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9"/>
      <c r="M388" s="30"/>
      <c r="N388" s="50"/>
      <c r="O388" s="49"/>
    </row>
    <row r="389" spans="1:15" ht="15.75" customHeight="1" x14ac:dyDescent="0.3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9"/>
      <c r="M389" s="30"/>
      <c r="N389" s="50"/>
      <c r="O389" s="49"/>
    </row>
    <row r="390" spans="1:15" ht="15.75" customHeight="1" x14ac:dyDescent="0.3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9"/>
      <c r="M390" s="30"/>
      <c r="N390" s="50"/>
      <c r="O390" s="49"/>
    </row>
    <row r="391" spans="1:15" ht="15.75" customHeight="1" x14ac:dyDescent="0.3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9"/>
      <c r="M391" s="30"/>
      <c r="N391" s="50"/>
      <c r="O391" s="49"/>
    </row>
    <row r="392" spans="1:15" ht="15.75" customHeight="1" x14ac:dyDescent="0.3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9"/>
      <c r="M392" s="30"/>
      <c r="N392" s="50"/>
      <c r="O392" s="49"/>
    </row>
    <row r="393" spans="1:15" ht="15.75" customHeight="1" x14ac:dyDescent="0.3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9"/>
      <c r="M393" s="30"/>
      <c r="N393" s="50"/>
      <c r="O393" s="49"/>
    </row>
    <row r="394" spans="1:15" ht="15.75" customHeight="1" x14ac:dyDescent="0.3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9"/>
      <c r="M394" s="30"/>
      <c r="N394" s="50"/>
      <c r="O394" s="49"/>
    </row>
    <row r="395" spans="1:15" ht="15.75" customHeight="1" x14ac:dyDescent="0.3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9"/>
      <c r="M395" s="30"/>
      <c r="N395" s="50"/>
      <c r="O395" s="49"/>
    </row>
    <row r="396" spans="1:15" ht="15.75" customHeight="1" x14ac:dyDescent="0.3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9"/>
      <c r="M396" s="30"/>
      <c r="N396" s="50"/>
      <c r="O396" s="49"/>
    </row>
    <row r="397" spans="1:15" ht="15.75" customHeight="1" x14ac:dyDescent="0.3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9"/>
      <c r="M397" s="30"/>
      <c r="N397" s="50"/>
      <c r="O397" s="49"/>
    </row>
    <row r="398" spans="1:15" ht="15.75" customHeight="1" x14ac:dyDescent="0.3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9"/>
      <c r="M398" s="30"/>
      <c r="N398" s="50"/>
      <c r="O398" s="49"/>
    </row>
    <row r="399" spans="1:15" ht="15.75" customHeight="1" x14ac:dyDescent="0.3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9"/>
      <c r="M399" s="30"/>
      <c r="N399" s="50"/>
      <c r="O399" s="49"/>
    </row>
    <row r="400" spans="1:15" ht="15.75" customHeight="1" x14ac:dyDescent="0.3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9"/>
      <c r="M400" s="30"/>
      <c r="N400" s="50"/>
      <c r="O400" s="49"/>
    </row>
    <row r="401" spans="1:15" ht="15.75" customHeight="1" x14ac:dyDescent="0.3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9"/>
      <c r="M401" s="30"/>
      <c r="N401" s="50"/>
      <c r="O401" s="49"/>
    </row>
    <row r="402" spans="1:15" ht="15.75" customHeight="1" x14ac:dyDescent="0.3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9"/>
      <c r="M402" s="30"/>
      <c r="N402" s="50"/>
      <c r="O402" s="49"/>
    </row>
    <row r="403" spans="1:15" ht="15.75" customHeight="1" x14ac:dyDescent="0.3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9"/>
      <c r="M403" s="30"/>
      <c r="N403" s="50"/>
      <c r="O403" s="49"/>
    </row>
    <row r="404" spans="1:15" ht="15.75" customHeight="1" x14ac:dyDescent="0.3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9"/>
      <c r="M404" s="30"/>
      <c r="N404" s="50"/>
      <c r="O404" s="49"/>
    </row>
    <row r="405" spans="1:15" ht="15.75" customHeight="1" x14ac:dyDescent="0.3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9"/>
      <c r="M405" s="30"/>
      <c r="N405" s="50"/>
      <c r="O405" s="49"/>
    </row>
    <row r="406" spans="1:15" ht="15.75" customHeight="1" x14ac:dyDescent="0.3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9"/>
      <c r="M406" s="30"/>
      <c r="N406" s="50"/>
      <c r="O406" s="49"/>
    </row>
    <row r="407" spans="1:15" ht="15.75" customHeight="1" x14ac:dyDescent="0.3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9"/>
      <c r="M407" s="30"/>
      <c r="N407" s="50"/>
      <c r="O407" s="49"/>
    </row>
    <row r="408" spans="1:15" ht="15.75" customHeight="1" x14ac:dyDescent="0.3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9"/>
      <c r="M408" s="30"/>
      <c r="N408" s="50"/>
      <c r="O408" s="49"/>
    </row>
    <row r="409" spans="1:15" ht="15.75" customHeight="1" x14ac:dyDescent="0.3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9"/>
      <c r="M409" s="30"/>
      <c r="N409" s="50"/>
      <c r="O409" s="49"/>
    </row>
    <row r="410" spans="1:15" ht="15.75" customHeight="1" x14ac:dyDescent="0.3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9"/>
      <c r="M410" s="30"/>
      <c r="N410" s="50"/>
      <c r="O410" s="49"/>
    </row>
    <row r="411" spans="1:15" ht="15.75" customHeight="1" x14ac:dyDescent="0.3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9"/>
      <c r="M411" s="30"/>
      <c r="N411" s="50"/>
      <c r="O411" s="49"/>
    </row>
    <row r="412" spans="1:15" ht="15.75" customHeight="1" x14ac:dyDescent="0.3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9"/>
      <c r="M412" s="30"/>
      <c r="N412" s="50"/>
      <c r="O412" s="49"/>
    </row>
    <row r="413" spans="1:15" ht="15.75" customHeight="1" x14ac:dyDescent="0.3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9"/>
      <c r="M413" s="30"/>
      <c r="N413" s="50"/>
      <c r="O413" s="49"/>
    </row>
    <row r="414" spans="1:15" ht="15.75" customHeight="1" x14ac:dyDescent="0.3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9"/>
      <c r="M414" s="30"/>
      <c r="N414" s="50"/>
      <c r="O414" s="49"/>
    </row>
    <row r="415" spans="1:15" ht="15.75" customHeight="1" x14ac:dyDescent="0.3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9"/>
      <c r="M415" s="30"/>
      <c r="N415" s="50"/>
      <c r="O415" s="49"/>
    </row>
    <row r="416" spans="1:15" ht="15.75" customHeight="1" x14ac:dyDescent="0.3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9"/>
      <c r="M416" s="30"/>
      <c r="N416" s="50"/>
      <c r="O416" s="49"/>
    </row>
    <row r="417" spans="1:15" ht="15.75" customHeight="1" x14ac:dyDescent="0.3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9"/>
      <c r="M417" s="30"/>
      <c r="N417" s="50"/>
      <c r="O417" s="49"/>
    </row>
    <row r="418" spans="1:15" ht="15.75" customHeight="1" x14ac:dyDescent="0.3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9"/>
      <c r="M418" s="30"/>
      <c r="N418" s="50"/>
      <c r="O418" s="49"/>
    </row>
    <row r="419" spans="1:15" ht="15.75" customHeight="1" x14ac:dyDescent="0.3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9"/>
      <c r="M419" s="30"/>
      <c r="N419" s="50"/>
      <c r="O419" s="49"/>
    </row>
    <row r="420" spans="1:15" ht="15.75" customHeight="1" x14ac:dyDescent="0.3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9"/>
      <c r="M420" s="30"/>
      <c r="N420" s="50"/>
      <c r="O420" s="49"/>
    </row>
    <row r="421" spans="1:15" ht="15.75" customHeight="1" x14ac:dyDescent="0.3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9"/>
      <c r="M421" s="30"/>
      <c r="N421" s="50"/>
      <c r="O421" s="49"/>
    </row>
    <row r="422" spans="1:15" ht="15.75" customHeight="1" x14ac:dyDescent="0.3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9"/>
      <c r="M422" s="30"/>
      <c r="N422" s="50"/>
      <c r="O422" s="49"/>
    </row>
    <row r="423" spans="1:15" ht="15.75" customHeight="1" x14ac:dyDescent="0.3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9"/>
      <c r="M423" s="30"/>
      <c r="N423" s="50"/>
      <c r="O423" s="49"/>
    </row>
    <row r="424" spans="1:15" ht="15.75" customHeight="1" x14ac:dyDescent="0.3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9"/>
      <c r="M424" s="30"/>
      <c r="N424" s="50"/>
      <c r="O424" s="49"/>
    </row>
    <row r="425" spans="1:15" ht="15.75" customHeight="1" x14ac:dyDescent="0.3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9"/>
      <c r="M425" s="30"/>
      <c r="N425" s="50"/>
      <c r="O425" s="49"/>
    </row>
    <row r="426" spans="1:15" ht="15.75" customHeight="1" x14ac:dyDescent="0.3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9"/>
      <c r="M426" s="30"/>
      <c r="N426" s="50"/>
      <c r="O426" s="49"/>
    </row>
    <row r="427" spans="1:15" ht="15.75" customHeight="1" x14ac:dyDescent="0.3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9"/>
      <c r="M427" s="30"/>
      <c r="N427" s="50"/>
      <c r="O427" s="49"/>
    </row>
    <row r="428" spans="1:15" ht="15.75" customHeight="1" x14ac:dyDescent="0.3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9"/>
      <c r="M428" s="30"/>
      <c r="N428" s="50"/>
      <c r="O428" s="49"/>
    </row>
    <row r="429" spans="1:15" ht="15.75" customHeight="1" x14ac:dyDescent="0.3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9"/>
      <c r="M429" s="30"/>
      <c r="N429" s="50"/>
      <c r="O429" s="49"/>
    </row>
    <row r="430" spans="1:15" ht="15.75" customHeight="1" x14ac:dyDescent="0.3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9"/>
      <c r="M430" s="30"/>
      <c r="N430" s="50"/>
      <c r="O430" s="49"/>
    </row>
    <row r="431" spans="1:15" ht="15.75" customHeight="1" x14ac:dyDescent="0.3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9"/>
      <c r="M431" s="30"/>
      <c r="N431" s="50"/>
      <c r="O431" s="49"/>
    </row>
    <row r="432" spans="1:15" ht="15.75" customHeight="1" x14ac:dyDescent="0.3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9"/>
      <c r="M432" s="30"/>
      <c r="N432" s="50"/>
      <c r="O432" s="49"/>
    </row>
    <row r="433" spans="1:15" ht="15.75" customHeight="1" x14ac:dyDescent="0.3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9"/>
      <c r="M433" s="30"/>
      <c r="N433" s="50"/>
      <c r="O433" s="49"/>
    </row>
    <row r="434" spans="1:15" ht="15.75" customHeight="1" x14ac:dyDescent="0.3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9"/>
      <c r="M434" s="30"/>
      <c r="N434" s="50"/>
      <c r="O434" s="49"/>
    </row>
    <row r="435" spans="1:15" ht="15.75" customHeight="1" x14ac:dyDescent="0.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9"/>
      <c r="M435" s="30"/>
      <c r="N435" s="50"/>
      <c r="O435" s="49"/>
    </row>
    <row r="436" spans="1:15" ht="15.75" customHeight="1" x14ac:dyDescent="0.3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9"/>
      <c r="M436" s="30"/>
      <c r="N436" s="50"/>
      <c r="O436" s="49"/>
    </row>
    <row r="437" spans="1:15" ht="15.75" customHeight="1" x14ac:dyDescent="0.3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9"/>
      <c r="M437" s="30"/>
      <c r="N437" s="50"/>
      <c r="O437" s="49"/>
    </row>
    <row r="438" spans="1:15" ht="15.75" customHeight="1" x14ac:dyDescent="0.3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9"/>
      <c r="M438" s="30"/>
      <c r="N438" s="50"/>
      <c r="O438" s="49"/>
    </row>
    <row r="439" spans="1:15" ht="15.75" customHeight="1" x14ac:dyDescent="0.3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9"/>
      <c r="M439" s="30"/>
      <c r="N439" s="50"/>
      <c r="O439" s="49"/>
    </row>
    <row r="440" spans="1:15" ht="15.75" customHeight="1" x14ac:dyDescent="0.3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9"/>
      <c r="M440" s="30"/>
      <c r="N440" s="50"/>
      <c r="O440" s="49"/>
    </row>
    <row r="441" spans="1:15" ht="15.75" customHeight="1" x14ac:dyDescent="0.3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9"/>
      <c r="M441" s="30"/>
      <c r="N441" s="50"/>
      <c r="O441" s="49"/>
    </row>
    <row r="442" spans="1:15" ht="15.75" customHeight="1" x14ac:dyDescent="0.3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9"/>
      <c r="M442" s="30"/>
      <c r="N442" s="50"/>
      <c r="O442" s="49"/>
    </row>
    <row r="443" spans="1:15" ht="15.75" customHeight="1" x14ac:dyDescent="0.3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9"/>
      <c r="M443" s="30"/>
      <c r="N443" s="50"/>
      <c r="O443" s="49"/>
    </row>
    <row r="444" spans="1:15" ht="15.75" customHeight="1" x14ac:dyDescent="0.3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9"/>
      <c r="M444" s="30"/>
      <c r="N444" s="50"/>
      <c r="O444" s="49"/>
    </row>
    <row r="445" spans="1:15" ht="15.75" customHeight="1" x14ac:dyDescent="0.3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9"/>
      <c r="M445" s="30"/>
      <c r="N445" s="50"/>
      <c r="O445" s="49"/>
    </row>
    <row r="446" spans="1:15" ht="15.75" customHeight="1" x14ac:dyDescent="0.3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9"/>
      <c r="M446" s="30"/>
      <c r="N446" s="50"/>
      <c r="O446" s="49"/>
    </row>
    <row r="447" spans="1:15" ht="15.75" customHeight="1" x14ac:dyDescent="0.3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9"/>
      <c r="M447" s="30"/>
      <c r="N447" s="50"/>
      <c r="O447" s="49"/>
    </row>
    <row r="448" spans="1:15" ht="15.75" customHeight="1" x14ac:dyDescent="0.3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9"/>
      <c r="M448" s="30"/>
      <c r="N448" s="50"/>
      <c r="O448" s="49"/>
    </row>
    <row r="449" spans="1:15" ht="15.75" customHeight="1" x14ac:dyDescent="0.3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9"/>
      <c r="M449" s="30"/>
      <c r="N449" s="50"/>
      <c r="O449" s="49"/>
    </row>
    <row r="450" spans="1:15" ht="15.75" customHeight="1" x14ac:dyDescent="0.3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9"/>
      <c r="M450" s="30"/>
      <c r="N450" s="50"/>
      <c r="O450" s="49"/>
    </row>
    <row r="451" spans="1:15" ht="15.75" customHeight="1" x14ac:dyDescent="0.3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9"/>
      <c r="M451" s="30"/>
      <c r="N451" s="50"/>
      <c r="O451" s="49"/>
    </row>
    <row r="452" spans="1:15" ht="15.75" customHeight="1" x14ac:dyDescent="0.3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9"/>
      <c r="M452" s="30"/>
      <c r="N452" s="50"/>
      <c r="O452" s="49"/>
    </row>
    <row r="453" spans="1:15" ht="15.75" customHeight="1" x14ac:dyDescent="0.3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9"/>
      <c r="M453" s="30"/>
      <c r="N453" s="50"/>
      <c r="O453" s="49"/>
    </row>
    <row r="454" spans="1:15" ht="15.75" customHeight="1" x14ac:dyDescent="0.3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9"/>
      <c r="M454" s="30"/>
      <c r="N454" s="50"/>
      <c r="O454" s="49"/>
    </row>
    <row r="455" spans="1:15" ht="15.75" customHeight="1" x14ac:dyDescent="0.3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9"/>
      <c r="M455" s="30"/>
      <c r="N455" s="50"/>
      <c r="O455" s="49"/>
    </row>
    <row r="456" spans="1:15" ht="15.75" customHeight="1" x14ac:dyDescent="0.3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9"/>
      <c r="M456" s="30"/>
      <c r="N456" s="50"/>
      <c r="O456" s="49"/>
    </row>
    <row r="457" spans="1:15" ht="15.75" customHeight="1" x14ac:dyDescent="0.3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9"/>
      <c r="M457" s="30"/>
      <c r="N457" s="50"/>
      <c r="O457" s="49"/>
    </row>
    <row r="458" spans="1:15" ht="15.75" customHeight="1" x14ac:dyDescent="0.3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9"/>
      <c r="M458" s="30"/>
      <c r="N458" s="50"/>
      <c r="O458" s="49"/>
    </row>
    <row r="459" spans="1:15" ht="15.75" customHeight="1" x14ac:dyDescent="0.3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9"/>
      <c r="M459" s="30"/>
      <c r="N459" s="50"/>
      <c r="O459" s="49"/>
    </row>
    <row r="460" spans="1:15" ht="15.75" customHeight="1" x14ac:dyDescent="0.3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9"/>
      <c r="M460" s="30"/>
      <c r="N460" s="50"/>
      <c r="O460" s="49"/>
    </row>
    <row r="461" spans="1:15" ht="15.75" customHeight="1" x14ac:dyDescent="0.3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9"/>
      <c r="M461" s="30"/>
      <c r="N461" s="50"/>
      <c r="O461" s="49"/>
    </row>
    <row r="462" spans="1:15" ht="15.75" customHeight="1" x14ac:dyDescent="0.3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9"/>
      <c r="M462" s="30"/>
      <c r="N462" s="50"/>
      <c r="O462" s="49"/>
    </row>
    <row r="463" spans="1:15" ht="15.75" customHeight="1" x14ac:dyDescent="0.3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9"/>
      <c r="M463" s="30"/>
      <c r="N463" s="50"/>
      <c r="O463" s="49"/>
    </row>
    <row r="464" spans="1:15" ht="15.75" customHeight="1" x14ac:dyDescent="0.3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9"/>
      <c r="M464" s="30"/>
      <c r="N464" s="50"/>
      <c r="O464" s="49"/>
    </row>
    <row r="465" spans="1:15" ht="15.75" customHeight="1" x14ac:dyDescent="0.3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9"/>
      <c r="M465" s="30"/>
      <c r="N465" s="50"/>
      <c r="O465" s="49"/>
    </row>
    <row r="466" spans="1:15" ht="15.75" customHeight="1" x14ac:dyDescent="0.3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9"/>
      <c r="M466" s="30"/>
      <c r="N466" s="50"/>
      <c r="O466" s="49"/>
    </row>
    <row r="467" spans="1:15" ht="15.75" customHeight="1" x14ac:dyDescent="0.3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9"/>
      <c r="M467" s="30"/>
      <c r="N467" s="50"/>
      <c r="O467" s="49"/>
    </row>
    <row r="468" spans="1:15" ht="15.75" customHeight="1" x14ac:dyDescent="0.3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9"/>
      <c r="M468" s="30"/>
      <c r="N468" s="50"/>
      <c r="O468" s="49"/>
    </row>
    <row r="469" spans="1:15" ht="15.75" customHeight="1" x14ac:dyDescent="0.3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9"/>
      <c r="M469" s="30"/>
      <c r="N469" s="50"/>
      <c r="O469" s="49"/>
    </row>
    <row r="470" spans="1:15" ht="15.75" customHeight="1" x14ac:dyDescent="0.3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9"/>
      <c r="M470" s="30"/>
      <c r="N470" s="50"/>
      <c r="O470" s="49"/>
    </row>
    <row r="471" spans="1:15" ht="15.75" customHeight="1" x14ac:dyDescent="0.3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9"/>
      <c r="M471" s="30"/>
      <c r="N471" s="50"/>
      <c r="O471" s="49"/>
    </row>
    <row r="472" spans="1:15" ht="15.75" customHeight="1" x14ac:dyDescent="0.3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9"/>
      <c r="M472" s="30"/>
      <c r="N472" s="50"/>
      <c r="O472" s="49"/>
    </row>
    <row r="473" spans="1:15" ht="15.75" customHeight="1" x14ac:dyDescent="0.3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9"/>
      <c r="M473" s="30"/>
      <c r="N473" s="50"/>
      <c r="O473" s="49"/>
    </row>
    <row r="474" spans="1:15" ht="15.75" customHeight="1" x14ac:dyDescent="0.3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9"/>
      <c r="M474" s="30"/>
      <c r="N474" s="50"/>
      <c r="O474" s="49"/>
    </row>
    <row r="475" spans="1:15" ht="15.75" customHeight="1" x14ac:dyDescent="0.3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9"/>
      <c r="M475" s="30"/>
      <c r="N475" s="50"/>
      <c r="O475" s="49"/>
    </row>
    <row r="476" spans="1:15" ht="15.75" customHeight="1" x14ac:dyDescent="0.3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9"/>
      <c r="M476" s="30"/>
      <c r="N476" s="50"/>
      <c r="O476" s="49"/>
    </row>
    <row r="477" spans="1:15" ht="15.75" customHeight="1" x14ac:dyDescent="0.3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9"/>
      <c r="M477" s="30"/>
      <c r="N477" s="50"/>
      <c r="O477" s="49"/>
    </row>
    <row r="478" spans="1:15" ht="15.75" customHeight="1" x14ac:dyDescent="0.3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9"/>
      <c r="M478" s="30"/>
      <c r="N478" s="50"/>
      <c r="O478" s="49"/>
    </row>
    <row r="479" spans="1:15" ht="15.75" customHeight="1" x14ac:dyDescent="0.3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9"/>
      <c r="M479" s="30"/>
      <c r="N479" s="50"/>
      <c r="O479" s="49"/>
    </row>
    <row r="480" spans="1:15" ht="15.75" customHeight="1" x14ac:dyDescent="0.3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9"/>
      <c r="M480" s="30"/>
      <c r="N480" s="50"/>
      <c r="O480" s="49"/>
    </row>
    <row r="481" spans="1:15" ht="15.75" customHeight="1" x14ac:dyDescent="0.3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9"/>
      <c r="M481" s="30"/>
      <c r="N481" s="50"/>
      <c r="O481" s="49"/>
    </row>
    <row r="482" spans="1:15" ht="15.75" customHeight="1" x14ac:dyDescent="0.3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9"/>
      <c r="M482" s="30"/>
      <c r="N482" s="50"/>
      <c r="O482" s="49"/>
    </row>
    <row r="483" spans="1:15" ht="15.75" customHeight="1" x14ac:dyDescent="0.3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9"/>
      <c r="M483" s="30"/>
      <c r="N483" s="50"/>
      <c r="O483" s="49"/>
    </row>
    <row r="484" spans="1:15" ht="15.75" customHeight="1" x14ac:dyDescent="0.3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9"/>
      <c r="M484" s="30"/>
      <c r="N484" s="50"/>
      <c r="O484" s="49"/>
    </row>
    <row r="485" spans="1:15" ht="15.75" customHeight="1" x14ac:dyDescent="0.3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9"/>
      <c r="M485" s="30"/>
      <c r="N485" s="50"/>
      <c r="O485" s="49"/>
    </row>
    <row r="486" spans="1:15" ht="15.75" customHeight="1" x14ac:dyDescent="0.3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9"/>
      <c r="M486" s="30"/>
      <c r="N486" s="50"/>
      <c r="O486" s="49"/>
    </row>
    <row r="487" spans="1:15" ht="15.75" customHeight="1" x14ac:dyDescent="0.3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9"/>
      <c r="M487" s="30"/>
      <c r="N487" s="50"/>
      <c r="O487" s="49"/>
    </row>
    <row r="488" spans="1:15" ht="15.75" customHeight="1" x14ac:dyDescent="0.3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9"/>
      <c r="M488" s="30"/>
      <c r="N488" s="50"/>
      <c r="O488" s="49"/>
    </row>
    <row r="489" spans="1:15" ht="15.75" customHeight="1" x14ac:dyDescent="0.3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9"/>
      <c r="M489" s="30"/>
      <c r="N489" s="50"/>
      <c r="O489" s="49"/>
    </row>
    <row r="490" spans="1:15" ht="15.75" customHeight="1" x14ac:dyDescent="0.3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9"/>
      <c r="M490" s="30"/>
      <c r="N490" s="50"/>
      <c r="O490" s="49"/>
    </row>
    <row r="491" spans="1:15" ht="15.75" customHeight="1" x14ac:dyDescent="0.3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9"/>
      <c r="M491" s="30"/>
      <c r="N491" s="50"/>
      <c r="O491" s="49"/>
    </row>
    <row r="492" spans="1:15" ht="15.75" customHeight="1" x14ac:dyDescent="0.3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9"/>
      <c r="M492" s="30"/>
      <c r="N492" s="50"/>
      <c r="O492" s="49"/>
    </row>
    <row r="493" spans="1:15" ht="15.75" customHeight="1" x14ac:dyDescent="0.3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9"/>
      <c r="M493" s="30"/>
      <c r="N493" s="50"/>
      <c r="O493" s="49"/>
    </row>
    <row r="494" spans="1:15" ht="15.75" customHeight="1" x14ac:dyDescent="0.3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9"/>
      <c r="M494" s="30"/>
      <c r="N494" s="50"/>
      <c r="O494" s="49"/>
    </row>
    <row r="495" spans="1:15" ht="15.75" customHeight="1" x14ac:dyDescent="0.3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9"/>
      <c r="M495" s="30"/>
      <c r="N495" s="50"/>
      <c r="O495" s="49"/>
    </row>
    <row r="496" spans="1:15" ht="15.75" customHeight="1" x14ac:dyDescent="0.3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9"/>
      <c r="M496" s="30"/>
      <c r="N496" s="50"/>
      <c r="O496" s="49"/>
    </row>
    <row r="497" spans="1:15" ht="15.75" customHeight="1" x14ac:dyDescent="0.3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9"/>
      <c r="M497" s="30"/>
      <c r="N497" s="50"/>
      <c r="O497" s="49"/>
    </row>
    <row r="498" spans="1:15" ht="15.75" customHeight="1" x14ac:dyDescent="0.3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9"/>
      <c r="M498" s="30"/>
      <c r="N498" s="50"/>
      <c r="O498" s="49"/>
    </row>
    <row r="499" spans="1:15" ht="15.75" customHeight="1" x14ac:dyDescent="0.3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9"/>
      <c r="M499" s="30"/>
      <c r="N499" s="50"/>
      <c r="O499" s="49"/>
    </row>
    <row r="500" spans="1:15" ht="15.75" customHeight="1" x14ac:dyDescent="0.3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9"/>
      <c r="M500" s="30"/>
      <c r="N500" s="50"/>
      <c r="O500" s="49"/>
    </row>
    <row r="501" spans="1:15" ht="15.75" customHeight="1" x14ac:dyDescent="0.3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9"/>
      <c r="M501" s="30"/>
      <c r="N501" s="50"/>
      <c r="O501" s="49"/>
    </row>
    <row r="502" spans="1:15" ht="15.75" customHeight="1" x14ac:dyDescent="0.3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9"/>
      <c r="M502" s="30"/>
      <c r="N502" s="50"/>
      <c r="O502" s="49"/>
    </row>
    <row r="503" spans="1:15" ht="15.75" customHeight="1" x14ac:dyDescent="0.3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9"/>
      <c r="M503" s="30"/>
      <c r="N503" s="50"/>
      <c r="O503" s="49"/>
    </row>
    <row r="504" spans="1:15" ht="15.75" customHeight="1" x14ac:dyDescent="0.3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9"/>
      <c r="M504" s="30"/>
      <c r="N504" s="50"/>
      <c r="O504" s="49"/>
    </row>
    <row r="505" spans="1:15" ht="15.75" customHeight="1" x14ac:dyDescent="0.3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9"/>
      <c r="M505" s="30"/>
      <c r="N505" s="50"/>
      <c r="O505" s="49"/>
    </row>
    <row r="506" spans="1:15" ht="15.75" customHeight="1" x14ac:dyDescent="0.3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9"/>
      <c r="M506" s="30"/>
      <c r="N506" s="50"/>
      <c r="O506" s="49"/>
    </row>
    <row r="507" spans="1:15" ht="15.75" customHeight="1" x14ac:dyDescent="0.3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9"/>
      <c r="M507" s="30"/>
      <c r="N507" s="50"/>
      <c r="O507" s="49"/>
    </row>
    <row r="508" spans="1:15" ht="15.75" customHeight="1" x14ac:dyDescent="0.3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9"/>
      <c r="M508" s="30"/>
      <c r="N508" s="50"/>
      <c r="O508" s="49"/>
    </row>
    <row r="509" spans="1:15" ht="15.75" customHeight="1" x14ac:dyDescent="0.3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9"/>
      <c r="M509" s="30"/>
      <c r="N509" s="50"/>
      <c r="O509" s="49"/>
    </row>
    <row r="510" spans="1:15" ht="15.75" customHeight="1" x14ac:dyDescent="0.3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9"/>
      <c r="M510" s="30"/>
      <c r="N510" s="50"/>
      <c r="O510" s="49"/>
    </row>
    <row r="511" spans="1:15" ht="15.75" customHeight="1" x14ac:dyDescent="0.3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9"/>
      <c r="M511" s="30"/>
      <c r="N511" s="50"/>
      <c r="O511" s="49"/>
    </row>
    <row r="512" spans="1:15" ht="15.75" customHeight="1" x14ac:dyDescent="0.3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9"/>
      <c r="M512" s="30"/>
      <c r="N512" s="50"/>
      <c r="O512" s="49"/>
    </row>
    <row r="513" spans="1:15" ht="15.75" customHeight="1" x14ac:dyDescent="0.3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9"/>
      <c r="M513" s="30"/>
      <c r="N513" s="50"/>
      <c r="O513" s="49"/>
    </row>
    <row r="514" spans="1:15" ht="15.75" customHeight="1" x14ac:dyDescent="0.3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9"/>
      <c r="M514" s="30"/>
      <c r="N514" s="50"/>
      <c r="O514" s="49"/>
    </row>
    <row r="515" spans="1:15" ht="15.75" customHeight="1" x14ac:dyDescent="0.3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9"/>
      <c r="M515" s="30"/>
      <c r="N515" s="50"/>
      <c r="O515" s="49"/>
    </row>
    <row r="516" spans="1:15" ht="15.75" customHeight="1" x14ac:dyDescent="0.3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9"/>
      <c r="M516" s="30"/>
      <c r="N516" s="50"/>
      <c r="O516" s="49"/>
    </row>
    <row r="517" spans="1:15" ht="15.75" customHeight="1" x14ac:dyDescent="0.3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9"/>
      <c r="M517" s="30"/>
      <c r="N517" s="50"/>
      <c r="O517" s="49"/>
    </row>
    <row r="518" spans="1:15" ht="15.75" customHeight="1" x14ac:dyDescent="0.3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9"/>
      <c r="M518" s="30"/>
      <c r="N518" s="50"/>
      <c r="O518" s="49"/>
    </row>
    <row r="519" spans="1:15" ht="15.75" customHeight="1" x14ac:dyDescent="0.3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9"/>
      <c r="M519" s="30"/>
      <c r="N519" s="50"/>
      <c r="O519" s="49"/>
    </row>
    <row r="520" spans="1:15" ht="15.75" customHeight="1" x14ac:dyDescent="0.3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9"/>
      <c r="M520" s="30"/>
      <c r="N520" s="50"/>
      <c r="O520" s="49"/>
    </row>
    <row r="521" spans="1:15" ht="15.75" customHeight="1" x14ac:dyDescent="0.3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9"/>
      <c r="M521" s="30"/>
      <c r="N521" s="50"/>
      <c r="O521" s="49"/>
    </row>
    <row r="522" spans="1:15" ht="15.75" customHeight="1" x14ac:dyDescent="0.3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9"/>
      <c r="M522" s="30"/>
      <c r="N522" s="50"/>
      <c r="O522" s="49"/>
    </row>
    <row r="523" spans="1:15" ht="15.75" customHeight="1" x14ac:dyDescent="0.3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9"/>
      <c r="M523" s="30"/>
      <c r="N523" s="50"/>
      <c r="O523" s="49"/>
    </row>
    <row r="524" spans="1:15" ht="15.75" customHeight="1" x14ac:dyDescent="0.3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9"/>
      <c r="M524" s="30"/>
      <c r="N524" s="50"/>
      <c r="O524" s="49"/>
    </row>
    <row r="525" spans="1:15" ht="15.75" customHeight="1" x14ac:dyDescent="0.3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9"/>
      <c r="M525" s="30"/>
      <c r="N525" s="50"/>
      <c r="O525" s="49"/>
    </row>
    <row r="526" spans="1:15" ht="15.75" customHeight="1" x14ac:dyDescent="0.3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9"/>
      <c r="M526" s="30"/>
      <c r="N526" s="50"/>
      <c r="O526" s="49"/>
    </row>
    <row r="527" spans="1:15" ht="15.75" customHeight="1" x14ac:dyDescent="0.3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9"/>
      <c r="M527" s="30"/>
      <c r="N527" s="50"/>
      <c r="O527" s="49"/>
    </row>
    <row r="528" spans="1:15" ht="15.75" customHeight="1" x14ac:dyDescent="0.3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9"/>
      <c r="M528" s="30"/>
      <c r="N528" s="50"/>
      <c r="O528" s="49"/>
    </row>
    <row r="529" spans="1:15" ht="15.75" customHeight="1" x14ac:dyDescent="0.3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9"/>
      <c r="M529" s="30"/>
      <c r="N529" s="50"/>
      <c r="O529" s="49"/>
    </row>
    <row r="530" spans="1:15" ht="15.75" customHeight="1" x14ac:dyDescent="0.3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9"/>
      <c r="M530" s="30"/>
      <c r="N530" s="50"/>
      <c r="O530" s="49"/>
    </row>
    <row r="531" spans="1:15" ht="15.75" customHeight="1" x14ac:dyDescent="0.3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9"/>
      <c r="M531" s="30"/>
      <c r="N531" s="50"/>
      <c r="O531" s="49"/>
    </row>
    <row r="532" spans="1:15" ht="15.75" customHeight="1" x14ac:dyDescent="0.3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9"/>
      <c r="M532" s="30"/>
      <c r="N532" s="50"/>
      <c r="O532" s="49"/>
    </row>
    <row r="533" spans="1:15" ht="15.75" customHeight="1" x14ac:dyDescent="0.3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9"/>
      <c r="M533" s="30"/>
      <c r="N533" s="50"/>
      <c r="O533" s="49"/>
    </row>
    <row r="534" spans="1:15" ht="15.75" customHeight="1" x14ac:dyDescent="0.3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9"/>
      <c r="M534" s="30"/>
      <c r="N534" s="50"/>
      <c r="O534" s="49"/>
    </row>
    <row r="535" spans="1:15" ht="15.75" customHeight="1" x14ac:dyDescent="0.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9"/>
      <c r="M535" s="30"/>
      <c r="N535" s="50"/>
      <c r="O535" s="49"/>
    </row>
    <row r="536" spans="1:15" ht="15.75" customHeight="1" x14ac:dyDescent="0.3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9"/>
      <c r="M536" s="30"/>
      <c r="N536" s="50"/>
      <c r="O536" s="49"/>
    </row>
    <row r="537" spans="1:15" ht="15.75" customHeight="1" x14ac:dyDescent="0.3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9"/>
      <c r="M537" s="30"/>
      <c r="N537" s="50"/>
      <c r="O537" s="49"/>
    </row>
    <row r="538" spans="1:15" ht="15.75" customHeight="1" x14ac:dyDescent="0.3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9"/>
      <c r="M538" s="30"/>
      <c r="N538" s="50"/>
      <c r="O538" s="49"/>
    </row>
    <row r="539" spans="1:15" ht="15.75" customHeight="1" x14ac:dyDescent="0.3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9"/>
      <c r="M539" s="30"/>
      <c r="N539" s="50"/>
      <c r="O539" s="49"/>
    </row>
    <row r="540" spans="1:15" ht="15.75" customHeight="1" x14ac:dyDescent="0.3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9"/>
      <c r="M540" s="30"/>
      <c r="N540" s="50"/>
      <c r="O540" s="49"/>
    </row>
    <row r="541" spans="1:15" ht="15.75" customHeight="1" x14ac:dyDescent="0.3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9"/>
      <c r="M541" s="30"/>
      <c r="N541" s="50"/>
      <c r="O541" s="49"/>
    </row>
    <row r="542" spans="1:15" ht="15.75" customHeight="1" x14ac:dyDescent="0.3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9"/>
      <c r="M542" s="30"/>
      <c r="N542" s="50"/>
      <c r="O542" s="49"/>
    </row>
    <row r="543" spans="1:15" ht="15.75" customHeight="1" x14ac:dyDescent="0.3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9"/>
      <c r="M543" s="30"/>
      <c r="N543" s="50"/>
      <c r="O543" s="49"/>
    </row>
    <row r="544" spans="1:15" ht="15.75" customHeight="1" x14ac:dyDescent="0.3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9"/>
      <c r="M544" s="30"/>
      <c r="N544" s="50"/>
      <c r="O544" s="49"/>
    </row>
    <row r="545" spans="1:15" ht="15.75" customHeight="1" x14ac:dyDescent="0.3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9"/>
      <c r="M545" s="30"/>
      <c r="N545" s="50"/>
      <c r="O545" s="49"/>
    </row>
    <row r="546" spans="1:15" ht="15.75" customHeight="1" x14ac:dyDescent="0.3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9"/>
      <c r="M546" s="30"/>
      <c r="N546" s="50"/>
      <c r="O546" s="49"/>
    </row>
    <row r="547" spans="1:15" ht="15.75" customHeight="1" x14ac:dyDescent="0.3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9"/>
      <c r="M547" s="30"/>
      <c r="N547" s="50"/>
      <c r="O547" s="49"/>
    </row>
    <row r="548" spans="1:15" ht="15.75" customHeight="1" x14ac:dyDescent="0.3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9"/>
      <c r="M548" s="30"/>
      <c r="N548" s="50"/>
      <c r="O548" s="49"/>
    </row>
    <row r="549" spans="1:15" ht="15.75" customHeight="1" x14ac:dyDescent="0.3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9"/>
      <c r="M549" s="30"/>
      <c r="N549" s="50"/>
      <c r="O549" s="49"/>
    </row>
    <row r="550" spans="1:15" ht="15.75" customHeight="1" x14ac:dyDescent="0.3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9"/>
      <c r="M550" s="30"/>
      <c r="N550" s="50"/>
      <c r="O550" s="49"/>
    </row>
    <row r="551" spans="1:15" ht="15.75" customHeight="1" x14ac:dyDescent="0.3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9"/>
      <c r="M551" s="30"/>
      <c r="N551" s="50"/>
      <c r="O551" s="49"/>
    </row>
    <row r="552" spans="1:15" ht="15.75" customHeight="1" x14ac:dyDescent="0.3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9"/>
      <c r="M552" s="30"/>
      <c r="N552" s="50"/>
      <c r="O552" s="49"/>
    </row>
    <row r="553" spans="1:15" ht="15.75" customHeight="1" x14ac:dyDescent="0.3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9"/>
      <c r="M553" s="30"/>
      <c r="N553" s="50"/>
      <c r="O553" s="49"/>
    </row>
    <row r="554" spans="1:15" ht="15.75" customHeight="1" x14ac:dyDescent="0.3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9"/>
      <c r="M554" s="30"/>
      <c r="N554" s="50"/>
      <c r="O554" s="49"/>
    </row>
    <row r="555" spans="1:15" ht="15.75" customHeight="1" x14ac:dyDescent="0.3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9"/>
      <c r="M555" s="30"/>
      <c r="N555" s="50"/>
      <c r="O555" s="49"/>
    </row>
    <row r="556" spans="1:15" ht="15.75" customHeight="1" x14ac:dyDescent="0.3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9"/>
      <c r="M556" s="30"/>
      <c r="N556" s="50"/>
      <c r="O556" s="49"/>
    </row>
    <row r="557" spans="1:15" ht="15.75" customHeight="1" x14ac:dyDescent="0.3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9"/>
      <c r="M557" s="30"/>
      <c r="N557" s="50"/>
      <c r="O557" s="49"/>
    </row>
    <row r="558" spans="1:15" ht="15.75" customHeight="1" x14ac:dyDescent="0.3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9"/>
      <c r="M558" s="30"/>
      <c r="N558" s="50"/>
      <c r="O558" s="49"/>
    </row>
    <row r="559" spans="1:15" ht="15.75" customHeight="1" x14ac:dyDescent="0.3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9"/>
      <c r="M559" s="30"/>
      <c r="N559" s="50"/>
      <c r="O559" s="49"/>
    </row>
    <row r="560" spans="1:15" ht="15.75" customHeight="1" x14ac:dyDescent="0.3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9"/>
      <c r="M560" s="30"/>
      <c r="N560" s="50"/>
      <c r="O560" s="49"/>
    </row>
    <row r="561" spans="1:15" ht="15.75" customHeight="1" x14ac:dyDescent="0.3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9"/>
      <c r="M561" s="30"/>
      <c r="N561" s="50"/>
      <c r="O561" s="49"/>
    </row>
    <row r="562" spans="1:15" ht="15.75" customHeight="1" x14ac:dyDescent="0.3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9"/>
      <c r="M562" s="30"/>
      <c r="N562" s="50"/>
      <c r="O562" s="49"/>
    </row>
    <row r="563" spans="1:15" ht="15.75" customHeight="1" x14ac:dyDescent="0.3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9"/>
      <c r="M563" s="30"/>
      <c r="N563" s="50"/>
      <c r="O563" s="49"/>
    </row>
    <row r="564" spans="1:15" ht="15.75" customHeight="1" x14ac:dyDescent="0.3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9"/>
      <c r="M564" s="30"/>
      <c r="N564" s="50"/>
      <c r="O564" s="49"/>
    </row>
    <row r="565" spans="1:15" ht="15.75" customHeight="1" x14ac:dyDescent="0.3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9"/>
      <c r="M565" s="30"/>
      <c r="N565" s="50"/>
      <c r="O565" s="49"/>
    </row>
    <row r="566" spans="1:15" ht="15.75" customHeight="1" x14ac:dyDescent="0.3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9"/>
      <c r="M566" s="30"/>
      <c r="N566" s="50"/>
      <c r="O566" s="49"/>
    </row>
    <row r="567" spans="1:15" ht="15.75" customHeight="1" x14ac:dyDescent="0.3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9"/>
      <c r="M567" s="30"/>
      <c r="N567" s="50"/>
      <c r="O567" s="49"/>
    </row>
    <row r="568" spans="1:15" ht="15.75" customHeight="1" x14ac:dyDescent="0.3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9"/>
      <c r="M568" s="30"/>
      <c r="N568" s="50"/>
      <c r="O568" s="49"/>
    </row>
    <row r="569" spans="1:15" ht="15.75" customHeight="1" x14ac:dyDescent="0.3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9"/>
      <c r="M569" s="30"/>
      <c r="N569" s="50"/>
      <c r="O569" s="49"/>
    </row>
    <row r="570" spans="1:15" ht="15.75" customHeight="1" x14ac:dyDescent="0.3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9"/>
      <c r="M570" s="30"/>
      <c r="N570" s="50"/>
      <c r="O570" s="49"/>
    </row>
    <row r="571" spans="1:15" ht="15.75" customHeight="1" x14ac:dyDescent="0.3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9"/>
      <c r="M571" s="30"/>
      <c r="N571" s="50"/>
      <c r="O571" s="49"/>
    </row>
    <row r="572" spans="1:15" ht="15.75" customHeight="1" x14ac:dyDescent="0.3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9"/>
      <c r="M572" s="30"/>
      <c r="N572" s="50"/>
      <c r="O572" s="49"/>
    </row>
    <row r="573" spans="1:15" ht="15.75" customHeight="1" x14ac:dyDescent="0.3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9"/>
      <c r="M573" s="30"/>
      <c r="N573" s="50"/>
      <c r="O573" s="49"/>
    </row>
    <row r="574" spans="1:15" ht="15.75" customHeight="1" x14ac:dyDescent="0.3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9"/>
      <c r="M574" s="30"/>
      <c r="N574" s="50"/>
      <c r="O574" s="49"/>
    </row>
    <row r="575" spans="1:15" ht="15.75" customHeight="1" x14ac:dyDescent="0.3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9"/>
      <c r="M575" s="30"/>
      <c r="N575" s="50"/>
      <c r="O575" s="49"/>
    </row>
    <row r="576" spans="1:15" ht="15.75" customHeight="1" x14ac:dyDescent="0.3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9"/>
      <c r="M576" s="30"/>
      <c r="N576" s="50"/>
      <c r="O576" s="49"/>
    </row>
    <row r="577" spans="1:15" ht="15.75" customHeight="1" x14ac:dyDescent="0.3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9"/>
      <c r="M577" s="30"/>
      <c r="N577" s="50"/>
      <c r="O577" s="49"/>
    </row>
    <row r="578" spans="1:15" ht="15.75" customHeight="1" x14ac:dyDescent="0.3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9"/>
      <c r="M578" s="30"/>
      <c r="N578" s="50"/>
      <c r="O578" s="49"/>
    </row>
    <row r="579" spans="1:15" ht="15.75" customHeight="1" x14ac:dyDescent="0.3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9"/>
      <c r="M579" s="30"/>
      <c r="N579" s="50"/>
      <c r="O579" s="49"/>
    </row>
    <row r="580" spans="1:15" ht="15.75" customHeight="1" x14ac:dyDescent="0.3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9"/>
      <c r="M580" s="30"/>
      <c r="N580" s="50"/>
      <c r="O580" s="49"/>
    </row>
    <row r="581" spans="1:15" ht="15.75" customHeight="1" x14ac:dyDescent="0.3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9"/>
      <c r="M581" s="30"/>
      <c r="N581" s="50"/>
      <c r="O581" s="49"/>
    </row>
    <row r="582" spans="1:15" ht="15.75" customHeight="1" x14ac:dyDescent="0.3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9"/>
      <c r="M582" s="30"/>
      <c r="N582" s="50"/>
      <c r="O582" s="49"/>
    </row>
    <row r="583" spans="1:15" ht="15.75" customHeight="1" x14ac:dyDescent="0.3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9"/>
      <c r="M583" s="30"/>
      <c r="N583" s="50"/>
      <c r="O583" s="49"/>
    </row>
    <row r="584" spans="1:15" ht="15.75" customHeight="1" x14ac:dyDescent="0.3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9"/>
      <c r="M584" s="30"/>
      <c r="N584" s="50"/>
      <c r="O584" s="49"/>
    </row>
    <row r="585" spans="1:15" ht="15.75" customHeight="1" x14ac:dyDescent="0.3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9"/>
      <c r="M585" s="30"/>
      <c r="N585" s="50"/>
      <c r="O585" s="49"/>
    </row>
    <row r="586" spans="1:15" ht="15.75" customHeight="1" x14ac:dyDescent="0.3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9"/>
      <c r="M586" s="30"/>
      <c r="N586" s="50"/>
      <c r="O586" s="49"/>
    </row>
    <row r="587" spans="1:15" ht="15.75" customHeight="1" x14ac:dyDescent="0.3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9"/>
      <c r="M587" s="30"/>
      <c r="N587" s="50"/>
      <c r="O587" s="49"/>
    </row>
    <row r="588" spans="1:15" ht="15.75" customHeight="1" x14ac:dyDescent="0.3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9"/>
      <c r="M588" s="30"/>
      <c r="N588" s="50"/>
      <c r="O588" s="49"/>
    </row>
    <row r="589" spans="1:15" ht="15.75" customHeight="1" x14ac:dyDescent="0.3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9"/>
      <c r="M589" s="30"/>
      <c r="N589" s="50"/>
      <c r="O589" s="49"/>
    </row>
    <row r="590" spans="1:15" ht="15.75" customHeight="1" x14ac:dyDescent="0.3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9"/>
      <c r="M590" s="30"/>
      <c r="N590" s="50"/>
      <c r="O590" s="49"/>
    </row>
    <row r="591" spans="1:15" ht="15.75" customHeight="1" x14ac:dyDescent="0.3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9"/>
      <c r="M591" s="30"/>
      <c r="N591" s="50"/>
      <c r="O591" s="49"/>
    </row>
    <row r="592" spans="1:15" ht="15.75" customHeight="1" x14ac:dyDescent="0.3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9"/>
      <c r="M592" s="30"/>
      <c r="N592" s="50"/>
      <c r="O592" s="49"/>
    </row>
    <row r="593" spans="1:15" ht="15.75" customHeight="1" x14ac:dyDescent="0.3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9"/>
      <c r="M593" s="30"/>
      <c r="N593" s="50"/>
      <c r="O593" s="49"/>
    </row>
    <row r="594" spans="1:15" ht="15.75" customHeight="1" x14ac:dyDescent="0.3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9"/>
      <c r="M594" s="30"/>
      <c r="N594" s="50"/>
      <c r="O594" s="49"/>
    </row>
    <row r="595" spans="1:15" ht="15.75" customHeight="1" x14ac:dyDescent="0.3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9"/>
      <c r="M595" s="30"/>
      <c r="N595" s="50"/>
      <c r="O595" s="49"/>
    </row>
    <row r="596" spans="1:15" ht="15.75" customHeight="1" x14ac:dyDescent="0.3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9"/>
      <c r="M596" s="30"/>
      <c r="N596" s="50"/>
      <c r="O596" s="49"/>
    </row>
    <row r="597" spans="1:15" ht="15.75" customHeight="1" x14ac:dyDescent="0.3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9"/>
      <c r="M597" s="30"/>
      <c r="N597" s="50"/>
      <c r="O597" s="49"/>
    </row>
    <row r="598" spans="1:15" ht="15.75" customHeight="1" x14ac:dyDescent="0.3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9"/>
      <c r="M598" s="30"/>
      <c r="N598" s="50"/>
      <c r="O598" s="49"/>
    </row>
    <row r="599" spans="1:15" ht="15.75" customHeight="1" x14ac:dyDescent="0.3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9"/>
      <c r="M599" s="30"/>
      <c r="N599" s="50"/>
      <c r="O599" s="49"/>
    </row>
    <row r="600" spans="1:15" ht="15.75" customHeight="1" x14ac:dyDescent="0.3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9"/>
      <c r="M600" s="30"/>
      <c r="N600" s="50"/>
      <c r="O600" s="49"/>
    </row>
    <row r="601" spans="1:15" ht="15.75" customHeight="1" x14ac:dyDescent="0.3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9"/>
      <c r="M601" s="30"/>
      <c r="N601" s="50"/>
      <c r="O601" s="49"/>
    </row>
    <row r="602" spans="1:15" ht="15.75" customHeight="1" x14ac:dyDescent="0.3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9"/>
      <c r="M602" s="30"/>
      <c r="N602" s="50"/>
      <c r="O602" s="49"/>
    </row>
    <row r="603" spans="1:15" ht="15.75" customHeight="1" x14ac:dyDescent="0.3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9"/>
      <c r="M603" s="30"/>
      <c r="N603" s="50"/>
      <c r="O603" s="49"/>
    </row>
    <row r="604" spans="1:15" ht="15.75" customHeight="1" x14ac:dyDescent="0.3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9"/>
      <c r="M604" s="30"/>
      <c r="N604" s="50"/>
      <c r="O604" s="49"/>
    </row>
    <row r="605" spans="1:15" ht="15.75" customHeight="1" x14ac:dyDescent="0.3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9"/>
      <c r="M605" s="30"/>
      <c r="N605" s="50"/>
      <c r="O605" s="49"/>
    </row>
    <row r="606" spans="1:15" ht="15.75" customHeight="1" x14ac:dyDescent="0.3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9"/>
      <c r="M606" s="30"/>
      <c r="N606" s="50"/>
      <c r="O606" s="49"/>
    </row>
    <row r="607" spans="1:15" ht="15.75" customHeight="1" x14ac:dyDescent="0.3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9"/>
      <c r="M607" s="30"/>
      <c r="N607" s="50"/>
      <c r="O607" s="49"/>
    </row>
    <row r="608" spans="1:15" ht="15.75" customHeight="1" x14ac:dyDescent="0.3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9"/>
      <c r="M608" s="30"/>
      <c r="N608" s="50"/>
      <c r="O608" s="49"/>
    </row>
    <row r="609" spans="1:15" ht="15.75" customHeight="1" x14ac:dyDescent="0.3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9"/>
      <c r="M609" s="30"/>
      <c r="N609" s="50"/>
      <c r="O609" s="49"/>
    </row>
    <row r="610" spans="1:15" ht="15.75" customHeight="1" x14ac:dyDescent="0.3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9"/>
      <c r="M610" s="30"/>
      <c r="N610" s="50"/>
      <c r="O610" s="49"/>
    </row>
    <row r="611" spans="1:15" ht="15.75" customHeight="1" x14ac:dyDescent="0.3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9"/>
      <c r="M611" s="30"/>
      <c r="N611" s="50"/>
      <c r="O611" s="49"/>
    </row>
    <row r="612" spans="1:15" ht="15.75" customHeight="1" x14ac:dyDescent="0.3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9"/>
      <c r="M612" s="30"/>
      <c r="N612" s="50"/>
      <c r="O612" s="49"/>
    </row>
    <row r="613" spans="1:15" ht="15.75" customHeight="1" x14ac:dyDescent="0.3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9"/>
      <c r="M613" s="30"/>
      <c r="N613" s="50"/>
      <c r="O613" s="49"/>
    </row>
    <row r="614" spans="1:15" ht="15.75" customHeight="1" x14ac:dyDescent="0.3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9"/>
      <c r="M614" s="30"/>
      <c r="N614" s="50"/>
      <c r="O614" s="49"/>
    </row>
    <row r="615" spans="1:15" ht="15.75" customHeight="1" x14ac:dyDescent="0.3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9"/>
      <c r="M615" s="30"/>
      <c r="N615" s="50"/>
      <c r="O615" s="49"/>
    </row>
    <row r="616" spans="1:15" ht="15.75" customHeight="1" x14ac:dyDescent="0.3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9"/>
      <c r="M616" s="30"/>
      <c r="N616" s="50"/>
      <c r="O616" s="49"/>
    </row>
    <row r="617" spans="1:15" ht="15.75" customHeight="1" x14ac:dyDescent="0.3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9"/>
      <c r="M617" s="30"/>
      <c r="N617" s="50"/>
      <c r="O617" s="49"/>
    </row>
    <row r="618" spans="1:15" ht="15.75" customHeight="1" x14ac:dyDescent="0.3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9"/>
      <c r="M618" s="30"/>
      <c r="N618" s="50"/>
      <c r="O618" s="49"/>
    </row>
    <row r="619" spans="1:15" ht="15.75" customHeight="1" x14ac:dyDescent="0.3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9"/>
      <c r="M619" s="30"/>
      <c r="N619" s="50"/>
      <c r="O619" s="49"/>
    </row>
    <row r="620" spans="1:15" ht="15.75" customHeight="1" x14ac:dyDescent="0.3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9"/>
      <c r="M620" s="30"/>
      <c r="N620" s="50"/>
      <c r="O620" s="49"/>
    </row>
    <row r="621" spans="1:15" ht="15.75" customHeight="1" x14ac:dyDescent="0.3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9"/>
      <c r="M621" s="30"/>
      <c r="N621" s="50"/>
      <c r="O621" s="49"/>
    </row>
    <row r="622" spans="1:15" ht="15.75" customHeight="1" x14ac:dyDescent="0.3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9"/>
      <c r="M622" s="30"/>
      <c r="N622" s="50"/>
      <c r="O622" s="49"/>
    </row>
    <row r="623" spans="1:15" ht="15.75" customHeight="1" x14ac:dyDescent="0.3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9"/>
      <c r="M623" s="30"/>
      <c r="N623" s="50"/>
      <c r="O623" s="49"/>
    </row>
    <row r="624" spans="1:15" ht="15.75" customHeight="1" x14ac:dyDescent="0.3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9"/>
      <c r="M624" s="30"/>
      <c r="N624" s="50"/>
      <c r="O624" s="49"/>
    </row>
    <row r="625" spans="1:15" ht="15.75" customHeight="1" x14ac:dyDescent="0.3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9"/>
      <c r="M625" s="30"/>
      <c r="N625" s="50"/>
      <c r="O625" s="49"/>
    </row>
    <row r="626" spans="1:15" ht="15.75" customHeight="1" x14ac:dyDescent="0.3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9"/>
      <c r="M626" s="30"/>
      <c r="N626" s="50"/>
      <c r="O626" s="49"/>
    </row>
    <row r="627" spans="1:15" ht="15.75" customHeight="1" x14ac:dyDescent="0.3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9"/>
      <c r="M627" s="30"/>
      <c r="N627" s="50"/>
      <c r="O627" s="49"/>
    </row>
    <row r="628" spans="1:15" ht="15.75" customHeight="1" x14ac:dyDescent="0.3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9"/>
      <c r="M628" s="30"/>
      <c r="N628" s="50"/>
      <c r="O628" s="49"/>
    </row>
    <row r="629" spans="1:15" ht="15.75" customHeight="1" x14ac:dyDescent="0.3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9"/>
      <c r="M629" s="30"/>
      <c r="N629" s="50"/>
      <c r="O629" s="49"/>
    </row>
    <row r="630" spans="1:15" ht="15.75" customHeight="1" x14ac:dyDescent="0.3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9"/>
      <c r="M630" s="30"/>
      <c r="N630" s="50"/>
      <c r="O630" s="49"/>
    </row>
    <row r="631" spans="1:15" ht="15.75" customHeight="1" x14ac:dyDescent="0.3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9"/>
      <c r="M631" s="30"/>
      <c r="N631" s="50"/>
      <c r="O631" s="49"/>
    </row>
    <row r="632" spans="1:15" ht="15.75" customHeight="1" x14ac:dyDescent="0.3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9"/>
      <c r="M632" s="30"/>
      <c r="N632" s="50"/>
      <c r="O632" s="49"/>
    </row>
    <row r="633" spans="1:15" ht="15.75" customHeight="1" x14ac:dyDescent="0.3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9"/>
      <c r="M633" s="30"/>
      <c r="N633" s="50"/>
      <c r="O633" s="49"/>
    </row>
    <row r="634" spans="1:15" ht="15.75" customHeight="1" x14ac:dyDescent="0.3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9"/>
      <c r="M634" s="30"/>
      <c r="N634" s="50"/>
      <c r="O634" s="49"/>
    </row>
    <row r="635" spans="1:15" ht="15.75" customHeight="1" x14ac:dyDescent="0.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9"/>
      <c r="M635" s="30"/>
      <c r="N635" s="50"/>
      <c r="O635" s="49"/>
    </row>
    <row r="636" spans="1:15" ht="15.75" customHeight="1" x14ac:dyDescent="0.3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9"/>
      <c r="M636" s="30"/>
      <c r="N636" s="50"/>
      <c r="O636" s="49"/>
    </row>
    <row r="637" spans="1:15" ht="15.75" customHeight="1" x14ac:dyDescent="0.3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9"/>
      <c r="M637" s="30"/>
      <c r="N637" s="50"/>
      <c r="O637" s="49"/>
    </row>
    <row r="638" spans="1:15" ht="15.75" customHeight="1" x14ac:dyDescent="0.3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9"/>
      <c r="M638" s="30"/>
      <c r="N638" s="50"/>
      <c r="O638" s="49"/>
    </row>
    <row r="639" spans="1:15" ht="15.75" customHeight="1" x14ac:dyDescent="0.3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9"/>
      <c r="M639" s="30"/>
      <c r="N639" s="50"/>
      <c r="O639" s="49"/>
    </row>
    <row r="640" spans="1:15" ht="15.75" customHeight="1" x14ac:dyDescent="0.3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9"/>
      <c r="M640" s="30"/>
      <c r="N640" s="50"/>
      <c r="O640" s="49"/>
    </row>
    <row r="641" spans="1:15" ht="15.75" customHeight="1" x14ac:dyDescent="0.3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9"/>
      <c r="M641" s="30"/>
      <c r="N641" s="50"/>
      <c r="O641" s="49"/>
    </row>
    <row r="642" spans="1:15" ht="15.75" customHeight="1" x14ac:dyDescent="0.3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9"/>
      <c r="M642" s="30"/>
      <c r="N642" s="50"/>
      <c r="O642" s="49"/>
    </row>
    <row r="643" spans="1:15" ht="15.75" customHeight="1" x14ac:dyDescent="0.3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9"/>
      <c r="M643" s="30"/>
      <c r="N643" s="50"/>
      <c r="O643" s="49"/>
    </row>
    <row r="644" spans="1:15" ht="15.75" customHeight="1" x14ac:dyDescent="0.3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9"/>
      <c r="M644" s="30"/>
      <c r="N644" s="50"/>
      <c r="O644" s="49"/>
    </row>
    <row r="645" spans="1:15" ht="15.75" customHeight="1" x14ac:dyDescent="0.3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9"/>
      <c r="M645" s="30"/>
      <c r="N645" s="50"/>
      <c r="O645" s="49"/>
    </row>
    <row r="646" spans="1:15" ht="15.75" customHeight="1" x14ac:dyDescent="0.3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9"/>
      <c r="M646" s="30"/>
      <c r="N646" s="50"/>
      <c r="O646" s="49"/>
    </row>
    <row r="647" spans="1:15" ht="15.75" customHeight="1" x14ac:dyDescent="0.3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9"/>
      <c r="M647" s="30"/>
      <c r="N647" s="50"/>
      <c r="O647" s="49"/>
    </row>
    <row r="648" spans="1:15" ht="15.75" customHeight="1" x14ac:dyDescent="0.3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9"/>
      <c r="M648" s="30"/>
      <c r="N648" s="50"/>
      <c r="O648" s="49"/>
    </row>
    <row r="649" spans="1:15" ht="15.75" customHeight="1" x14ac:dyDescent="0.3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9"/>
      <c r="M649" s="30"/>
      <c r="N649" s="50"/>
      <c r="O649" s="49"/>
    </row>
    <row r="650" spans="1:15" ht="15.75" customHeight="1" x14ac:dyDescent="0.3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9"/>
      <c r="M650" s="30"/>
      <c r="N650" s="50"/>
      <c r="O650" s="49"/>
    </row>
    <row r="651" spans="1:15" ht="15.75" customHeight="1" x14ac:dyDescent="0.3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9"/>
      <c r="M651" s="30"/>
      <c r="N651" s="50"/>
      <c r="O651" s="49"/>
    </row>
    <row r="652" spans="1:15" ht="15.75" customHeight="1" x14ac:dyDescent="0.3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9"/>
      <c r="M652" s="30"/>
      <c r="N652" s="50"/>
      <c r="O652" s="49"/>
    </row>
    <row r="653" spans="1:15" ht="15.75" customHeight="1" x14ac:dyDescent="0.3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9"/>
      <c r="M653" s="30"/>
      <c r="N653" s="50"/>
      <c r="O653" s="49"/>
    </row>
    <row r="654" spans="1:15" ht="15.75" customHeight="1" x14ac:dyDescent="0.3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9"/>
      <c r="M654" s="30"/>
      <c r="N654" s="50"/>
      <c r="O654" s="49"/>
    </row>
    <row r="655" spans="1:15" ht="15.75" customHeight="1" x14ac:dyDescent="0.3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9"/>
      <c r="M655" s="30"/>
      <c r="N655" s="50"/>
      <c r="O655" s="49"/>
    </row>
    <row r="656" spans="1:15" ht="15.75" customHeight="1" x14ac:dyDescent="0.3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9"/>
      <c r="M656" s="30"/>
      <c r="N656" s="50"/>
      <c r="O656" s="49"/>
    </row>
    <row r="657" spans="1:15" ht="15.75" customHeight="1" x14ac:dyDescent="0.3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9"/>
      <c r="M657" s="30"/>
      <c r="N657" s="50"/>
      <c r="O657" s="49"/>
    </row>
    <row r="658" spans="1:15" ht="15.75" customHeight="1" x14ac:dyDescent="0.3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9"/>
      <c r="M658" s="30"/>
      <c r="N658" s="50"/>
      <c r="O658" s="49"/>
    </row>
    <row r="659" spans="1:15" ht="15.75" customHeight="1" x14ac:dyDescent="0.3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9"/>
      <c r="M659" s="30"/>
      <c r="N659" s="50"/>
      <c r="O659" s="49"/>
    </row>
    <row r="660" spans="1:15" ht="15.75" customHeight="1" x14ac:dyDescent="0.3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9"/>
      <c r="M660" s="30"/>
      <c r="N660" s="50"/>
      <c r="O660" s="49"/>
    </row>
    <row r="661" spans="1:15" ht="15.75" customHeight="1" x14ac:dyDescent="0.3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9"/>
      <c r="M661" s="30"/>
      <c r="N661" s="50"/>
      <c r="O661" s="49"/>
    </row>
    <row r="662" spans="1:15" ht="15.75" customHeight="1" x14ac:dyDescent="0.3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9"/>
      <c r="M662" s="30"/>
      <c r="N662" s="50"/>
      <c r="O662" s="49"/>
    </row>
    <row r="663" spans="1:15" ht="15.75" customHeight="1" x14ac:dyDescent="0.3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9"/>
      <c r="M663" s="30"/>
      <c r="N663" s="50"/>
      <c r="O663" s="49"/>
    </row>
    <row r="664" spans="1:15" ht="15.75" customHeight="1" x14ac:dyDescent="0.3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9"/>
      <c r="M664" s="30"/>
      <c r="N664" s="50"/>
      <c r="O664" s="49"/>
    </row>
    <row r="665" spans="1:15" ht="15.75" customHeight="1" x14ac:dyDescent="0.3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9"/>
      <c r="M665" s="30"/>
      <c r="N665" s="50"/>
      <c r="O665" s="49"/>
    </row>
    <row r="666" spans="1:15" ht="15.75" customHeight="1" x14ac:dyDescent="0.3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9"/>
      <c r="M666" s="30"/>
      <c r="N666" s="50"/>
      <c r="O666" s="49"/>
    </row>
    <row r="667" spans="1:15" ht="15.75" customHeight="1" x14ac:dyDescent="0.3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9"/>
      <c r="M667" s="30"/>
      <c r="N667" s="50"/>
      <c r="O667" s="49"/>
    </row>
    <row r="668" spans="1:15" ht="15.75" customHeight="1" x14ac:dyDescent="0.3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9"/>
      <c r="M668" s="30"/>
      <c r="N668" s="50"/>
      <c r="O668" s="49"/>
    </row>
    <row r="669" spans="1:15" ht="15.75" customHeight="1" x14ac:dyDescent="0.3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9"/>
      <c r="M669" s="30"/>
      <c r="N669" s="50"/>
      <c r="O669" s="49"/>
    </row>
    <row r="670" spans="1:15" ht="15.75" customHeight="1" x14ac:dyDescent="0.3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9"/>
      <c r="M670" s="30"/>
      <c r="N670" s="50"/>
      <c r="O670" s="49"/>
    </row>
    <row r="671" spans="1:15" ht="15.75" customHeight="1" x14ac:dyDescent="0.3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9"/>
      <c r="M671" s="30"/>
      <c r="N671" s="50"/>
      <c r="O671" s="49"/>
    </row>
    <row r="672" spans="1:15" ht="15.75" customHeight="1" x14ac:dyDescent="0.3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9"/>
      <c r="M672" s="30"/>
      <c r="N672" s="50"/>
      <c r="O672" s="49"/>
    </row>
    <row r="673" spans="1:15" ht="15.75" customHeight="1" x14ac:dyDescent="0.3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9"/>
      <c r="M673" s="30"/>
      <c r="N673" s="50"/>
      <c r="O673" s="49"/>
    </row>
    <row r="674" spans="1:15" ht="15.75" customHeight="1" x14ac:dyDescent="0.3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9"/>
      <c r="M674" s="30"/>
      <c r="N674" s="50"/>
      <c r="O674" s="49"/>
    </row>
    <row r="675" spans="1:15" ht="15.75" customHeight="1" x14ac:dyDescent="0.3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9"/>
      <c r="M675" s="30"/>
      <c r="N675" s="50"/>
      <c r="O675" s="49"/>
    </row>
    <row r="676" spans="1:15" ht="15.75" customHeight="1" x14ac:dyDescent="0.3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9"/>
      <c r="M676" s="30"/>
      <c r="N676" s="50"/>
      <c r="O676" s="49"/>
    </row>
    <row r="677" spans="1:15" ht="15.75" customHeight="1" x14ac:dyDescent="0.3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9"/>
      <c r="M677" s="30"/>
      <c r="N677" s="50"/>
      <c r="O677" s="49"/>
    </row>
    <row r="678" spans="1:15" ht="15.75" customHeight="1" x14ac:dyDescent="0.3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9"/>
      <c r="M678" s="30"/>
      <c r="N678" s="50"/>
      <c r="O678" s="49"/>
    </row>
    <row r="679" spans="1:15" ht="15.75" customHeight="1" x14ac:dyDescent="0.3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9"/>
      <c r="M679" s="30"/>
      <c r="N679" s="50"/>
      <c r="O679" s="49"/>
    </row>
    <row r="680" spans="1:15" ht="15.75" customHeight="1" x14ac:dyDescent="0.3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9"/>
      <c r="M680" s="30"/>
      <c r="N680" s="50"/>
      <c r="O680" s="49"/>
    </row>
    <row r="681" spans="1:15" ht="15.75" customHeight="1" x14ac:dyDescent="0.3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9"/>
      <c r="M681" s="30"/>
      <c r="N681" s="50"/>
      <c r="O681" s="49"/>
    </row>
    <row r="682" spans="1:15" ht="15.75" customHeight="1" x14ac:dyDescent="0.3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9"/>
      <c r="M682" s="30"/>
      <c r="N682" s="50"/>
      <c r="O682" s="49"/>
    </row>
    <row r="683" spans="1:15" ht="15.75" customHeight="1" x14ac:dyDescent="0.3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9"/>
      <c r="M683" s="30"/>
      <c r="N683" s="50"/>
      <c r="O683" s="49"/>
    </row>
    <row r="684" spans="1:15" ht="15.75" customHeight="1" x14ac:dyDescent="0.3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9"/>
      <c r="M684" s="30"/>
      <c r="N684" s="50"/>
      <c r="O684" s="49"/>
    </row>
    <row r="685" spans="1:15" ht="15.75" customHeight="1" x14ac:dyDescent="0.3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9"/>
      <c r="M685" s="30"/>
      <c r="N685" s="50"/>
      <c r="O685" s="49"/>
    </row>
    <row r="686" spans="1:15" ht="15.75" customHeight="1" x14ac:dyDescent="0.3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9"/>
      <c r="M686" s="30"/>
      <c r="N686" s="50"/>
      <c r="O686" s="49"/>
    </row>
    <row r="687" spans="1:15" ht="15.75" customHeight="1" x14ac:dyDescent="0.3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9"/>
      <c r="M687" s="30"/>
      <c r="N687" s="50"/>
      <c r="O687" s="49"/>
    </row>
    <row r="688" spans="1:15" ht="15.75" customHeight="1" x14ac:dyDescent="0.3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9"/>
      <c r="M688" s="30"/>
      <c r="N688" s="50"/>
      <c r="O688" s="49"/>
    </row>
    <row r="689" spans="1:15" ht="15.75" customHeight="1" x14ac:dyDescent="0.3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9"/>
      <c r="M689" s="30"/>
      <c r="N689" s="50"/>
      <c r="O689" s="49"/>
    </row>
    <row r="690" spans="1:15" ht="15.75" customHeight="1" x14ac:dyDescent="0.3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9"/>
      <c r="M690" s="30"/>
      <c r="N690" s="50"/>
      <c r="O690" s="49"/>
    </row>
    <row r="691" spans="1:15" ht="15.75" customHeight="1" x14ac:dyDescent="0.3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9"/>
      <c r="M691" s="30"/>
      <c r="N691" s="50"/>
      <c r="O691" s="49"/>
    </row>
    <row r="692" spans="1:15" ht="15.75" customHeight="1" x14ac:dyDescent="0.3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9"/>
      <c r="M692" s="30"/>
      <c r="N692" s="50"/>
      <c r="O692" s="49"/>
    </row>
    <row r="693" spans="1:15" ht="15.75" customHeight="1" x14ac:dyDescent="0.3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9"/>
      <c r="M693" s="30"/>
      <c r="N693" s="50"/>
      <c r="O693" s="49"/>
    </row>
    <row r="694" spans="1:15" ht="15.75" customHeight="1" x14ac:dyDescent="0.3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9"/>
      <c r="M694" s="30"/>
      <c r="N694" s="50"/>
      <c r="O694" s="49"/>
    </row>
    <row r="695" spans="1:15" ht="15.75" customHeight="1" x14ac:dyDescent="0.3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9"/>
      <c r="M695" s="30"/>
      <c r="N695" s="50"/>
      <c r="O695" s="49"/>
    </row>
    <row r="696" spans="1:15" ht="15.75" customHeight="1" x14ac:dyDescent="0.3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9"/>
      <c r="M696" s="30"/>
      <c r="N696" s="50"/>
      <c r="O696" s="49"/>
    </row>
    <row r="697" spans="1:15" ht="15.75" customHeight="1" x14ac:dyDescent="0.3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9"/>
      <c r="M697" s="30"/>
      <c r="N697" s="50"/>
      <c r="O697" s="49"/>
    </row>
    <row r="698" spans="1:15" ht="15.75" customHeight="1" x14ac:dyDescent="0.3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9"/>
      <c r="M698" s="30"/>
      <c r="N698" s="50"/>
      <c r="O698" s="49"/>
    </row>
    <row r="699" spans="1:15" ht="15.75" customHeight="1" x14ac:dyDescent="0.3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9"/>
      <c r="M699" s="30"/>
      <c r="N699" s="50"/>
      <c r="O699" s="49"/>
    </row>
    <row r="700" spans="1:15" ht="15.75" customHeight="1" x14ac:dyDescent="0.3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9"/>
      <c r="M700" s="30"/>
      <c r="N700" s="50"/>
      <c r="O700" s="49"/>
    </row>
    <row r="701" spans="1:15" ht="15.75" customHeight="1" x14ac:dyDescent="0.3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9"/>
      <c r="M701" s="30"/>
      <c r="N701" s="50"/>
      <c r="O701" s="49"/>
    </row>
    <row r="702" spans="1:15" ht="15.75" customHeight="1" x14ac:dyDescent="0.3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9"/>
      <c r="M702" s="30"/>
      <c r="N702" s="50"/>
      <c r="O702" s="49"/>
    </row>
    <row r="703" spans="1:15" ht="15.75" customHeight="1" x14ac:dyDescent="0.3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9"/>
      <c r="M703" s="30"/>
      <c r="N703" s="50"/>
      <c r="O703" s="49"/>
    </row>
    <row r="704" spans="1:15" ht="15.75" customHeight="1" x14ac:dyDescent="0.3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9"/>
      <c r="M704" s="30"/>
      <c r="N704" s="50"/>
      <c r="O704" s="49"/>
    </row>
    <row r="705" spans="1:15" ht="15.75" customHeight="1" x14ac:dyDescent="0.3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9"/>
      <c r="M705" s="30"/>
      <c r="N705" s="50"/>
      <c r="O705" s="49"/>
    </row>
    <row r="706" spans="1:15" ht="15.75" customHeight="1" x14ac:dyDescent="0.3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9"/>
      <c r="M706" s="30"/>
      <c r="N706" s="50"/>
      <c r="O706" s="49"/>
    </row>
    <row r="707" spans="1:15" ht="15.75" customHeight="1" x14ac:dyDescent="0.3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9"/>
      <c r="M707" s="30"/>
      <c r="N707" s="50"/>
      <c r="O707" s="49"/>
    </row>
    <row r="708" spans="1:15" ht="15.75" customHeight="1" x14ac:dyDescent="0.3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9"/>
      <c r="M708" s="30"/>
      <c r="N708" s="50"/>
      <c r="O708" s="49"/>
    </row>
    <row r="709" spans="1:15" ht="15.75" customHeight="1" x14ac:dyDescent="0.3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9"/>
      <c r="M709" s="30"/>
      <c r="N709" s="50"/>
      <c r="O709" s="49"/>
    </row>
    <row r="710" spans="1:15" ht="15.75" customHeight="1" x14ac:dyDescent="0.3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9"/>
      <c r="M710" s="30"/>
      <c r="N710" s="50"/>
      <c r="O710" s="49"/>
    </row>
    <row r="711" spans="1:15" ht="15.75" customHeight="1" x14ac:dyDescent="0.3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9"/>
      <c r="M711" s="30"/>
      <c r="N711" s="50"/>
      <c r="O711" s="49"/>
    </row>
    <row r="712" spans="1:15" ht="15.75" customHeight="1" x14ac:dyDescent="0.3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9"/>
      <c r="M712" s="30"/>
      <c r="N712" s="50"/>
      <c r="O712" s="49"/>
    </row>
    <row r="713" spans="1:15" ht="15.75" customHeight="1" x14ac:dyDescent="0.3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9"/>
      <c r="M713" s="30"/>
      <c r="N713" s="50"/>
      <c r="O713" s="49"/>
    </row>
    <row r="714" spans="1:15" ht="15.75" customHeight="1" x14ac:dyDescent="0.3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9"/>
      <c r="M714" s="30"/>
      <c r="N714" s="50"/>
      <c r="O714" s="49"/>
    </row>
    <row r="715" spans="1:15" ht="15.75" customHeight="1" x14ac:dyDescent="0.3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9"/>
      <c r="M715" s="30"/>
      <c r="N715" s="50"/>
      <c r="O715" s="49"/>
    </row>
    <row r="716" spans="1:15" ht="15.75" customHeight="1" x14ac:dyDescent="0.3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9"/>
      <c r="M716" s="30"/>
      <c r="N716" s="50"/>
      <c r="O716" s="49"/>
    </row>
    <row r="717" spans="1:15" ht="15.75" customHeight="1" x14ac:dyDescent="0.3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9"/>
      <c r="M717" s="30"/>
      <c r="N717" s="50"/>
      <c r="O717" s="49"/>
    </row>
    <row r="718" spans="1:15" ht="15.75" customHeight="1" x14ac:dyDescent="0.3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9"/>
      <c r="M718" s="30"/>
      <c r="N718" s="50"/>
      <c r="O718" s="49"/>
    </row>
    <row r="719" spans="1:15" ht="15.75" customHeight="1" x14ac:dyDescent="0.3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9"/>
      <c r="M719" s="30"/>
      <c r="N719" s="50"/>
      <c r="O719" s="49"/>
    </row>
    <row r="720" spans="1:15" ht="15.75" customHeight="1" x14ac:dyDescent="0.3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9"/>
      <c r="M720" s="30"/>
      <c r="N720" s="50"/>
      <c r="O720" s="49"/>
    </row>
    <row r="721" spans="1:15" ht="15.75" customHeight="1" x14ac:dyDescent="0.3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9"/>
      <c r="M721" s="30"/>
      <c r="N721" s="50"/>
      <c r="O721" s="49"/>
    </row>
    <row r="722" spans="1:15" ht="15.75" customHeight="1" x14ac:dyDescent="0.3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9"/>
      <c r="M722" s="30"/>
      <c r="N722" s="50"/>
      <c r="O722" s="49"/>
    </row>
    <row r="723" spans="1:15" ht="15.75" customHeight="1" x14ac:dyDescent="0.3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9"/>
      <c r="M723" s="30"/>
      <c r="N723" s="50"/>
      <c r="O723" s="49"/>
    </row>
    <row r="724" spans="1:15" ht="15.75" customHeight="1" x14ac:dyDescent="0.3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9"/>
      <c r="M724" s="30"/>
      <c r="N724" s="50"/>
      <c r="O724" s="49"/>
    </row>
    <row r="725" spans="1:15" ht="15.75" customHeight="1" x14ac:dyDescent="0.3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9"/>
      <c r="M725" s="30"/>
      <c r="N725" s="50"/>
      <c r="O725" s="49"/>
    </row>
    <row r="726" spans="1:15" ht="15.75" customHeight="1" x14ac:dyDescent="0.3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9"/>
      <c r="M726" s="30"/>
      <c r="N726" s="50"/>
      <c r="O726" s="49"/>
    </row>
    <row r="727" spans="1:15" ht="15.75" customHeight="1" x14ac:dyDescent="0.3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9"/>
      <c r="M727" s="30"/>
      <c r="N727" s="50"/>
      <c r="O727" s="49"/>
    </row>
    <row r="728" spans="1:15" ht="15.75" customHeight="1" x14ac:dyDescent="0.3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9"/>
      <c r="M728" s="30"/>
      <c r="N728" s="50"/>
      <c r="O728" s="49"/>
    </row>
    <row r="729" spans="1:15" ht="15.75" customHeight="1" x14ac:dyDescent="0.3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9"/>
      <c r="M729" s="30"/>
      <c r="N729" s="50"/>
      <c r="O729" s="49"/>
    </row>
    <row r="730" spans="1:15" ht="15.75" customHeight="1" x14ac:dyDescent="0.3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9"/>
      <c r="M730" s="30"/>
      <c r="N730" s="50"/>
      <c r="O730" s="49"/>
    </row>
    <row r="731" spans="1:15" ht="15.75" customHeight="1" x14ac:dyDescent="0.3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9"/>
      <c r="M731" s="30"/>
      <c r="N731" s="50"/>
      <c r="O731" s="49"/>
    </row>
    <row r="732" spans="1:15" ht="15.75" customHeight="1" x14ac:dyDescent="0.3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9"/>
      <c r="M732" s="30"/>
      <c r="N732" s="50"/>
      <c r="O732" s="49"/>
    </row>
    <row r="733" spans="1:15" ht="15.75" customHeight="1" x14ac:dyDescent="0.3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9"/>
      <c r="M733" s="30"/>
      <c r="N733" s="50"/>
      <c r="O733" s="49"/>
    </row>
    <row r="734" spans="1:15" ht="15.75" customHeight="1" x14ac:dyDescent="0.3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9"/>
      <c r="M734" s="30"/>
      <c r="N734" s="50"/>
      <c r="O734" s="49"/>
    </row>
    <row r="735" spans="1:15" ht="15.75" customHeight="1" x14ac:dyDescent="0.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9"/>
      <c r="M735" s="30"/>
      <c r="N735" s="50"/>
      <c r="O735" s="49"/>
    </row>
    <row r="736" spans="1:15" ht="15.75" customHeight="1" x14ac:dyDescent="0.3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9"/>
      <c r="M736" s="30"/>
      <c r="N736" s="50"/>
      <c r="O736" s="49"/>
    </row>
    <row r="737" spans="1:15" ht="15.75" customHeight="1" x14ac:dyDescent="0.3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9"/>
      <c r="M737" s="30"/>
      <c r="N737" s="50"/>
      <c r="O737" s="49"/>
    </row>
    <row r="738" spans="1:15" ht="15.75" customHeight="1" x14ac:dyDescent="0.3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9"/>
      <c r="M738" s="30"/>
      <c r="N738" s="50"/>
      <c r="O738" s="49"/>
    </row>
    <row r="739" spans="1:15" ht="15.75" customHeight="1" x14ac:dyDescent="0.3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9"/>
      <c r="M739" s="30"/>
      <c r="N739" s="50"/>
      <c r="O739" s="49"/>
    </row>
    <row r="740" spans="1:15" ht="15.75" customHeight="1" x14ac:dyDescent="0.3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9"/>
      <c r="M740" s="30"/>
      <c r="N740" s="50"/>
      <c r="O740" s="49"/>
    </row>
    <row r="741" spans="1:15" ht="15.75" customHeight="1" x14ac:dyDescent="0.3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9"/>
      <c r="M741" s="30"/>
      <c r="N741" s="50"/>
      <c r="O741" s="49"/>
    </row>
    <row r="742" spans="1:15" ht="15.75" customHeight="1" x14ac:dyDescent="0.3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9"/>
      <c r="M742" s="30"/>
      <c r="N742" s="50"/>
      <c r="O742" s="49"/>
    </row>
    <row r="743" spans="1:15" ht="15.75" customHeight="1" x14ac:dyDescent="0.3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9"/>
      <c r="M743" s="30"/>
      <c r="N743" s="50"/>
      <c r="O743" s="49"/>
    </row>
    <row r="744" spans="1:15" ht="15.75" customHeight="1" x14ac:dyDescent="0.3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9"/>
      <c r="M744" s="30"/>
      <c r="N744" s="50"/>
      <c r="O744" s="49"/>
    </row>
    <row r="745" spans="1:15" ht="15.75" customHeight="1" x14ac:dyDescent="0.3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9"/>
      <c r="M745" s="30"/>
      <c r="N745" s="50"/>
      <c r="O745" s="49"/>
    </row>
    <row r="746" spans="1:15" ht="15.75" customHeight="1" x14ac:dyDescent="0.3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9"/>
      <c r="M746" s="30"/>
      <c r="N746" s="50"/>
      <c r="O746" s="49"/>
    </row>
    <row r="747" spans="1:15" ht="15.75" customHeight="1" x14ac:dyDescent="0.3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9"/>
      <c r="M747" s="30"/>
      <c r="N747" s="50"/>
      <c r="O747" s="49"/>
    </row>
    <row r="748" spans="1:15" ht="15.75" customHeight="1" x14ac:dyDescent="0.3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9"/>
      <c r="M748" s="30"/>
      <c r="N748" s="50"/>
      <c r="O748" s="49"/>
    </row>
    <row r="749" spans="1:15" ht="15.75" customHeight="1" x14ac:dyDescent="0.3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9"/>
      <c r="M749" s="30"/>
      <c r="N749" s="50"/>
      <c r="O749" s="49"/>
    </row>
    <row r="750" spans="1:15" ht="15.75" customHeight="1" x14ac:dyDescent="0.3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9"/>
      <c r="M750" s="30"/>
      <c r="N750" s="50"/>
      <c r="O750" s="49"/>
    </row>
    <row r="751" spans="1:15" ht="15.75" customHeight="1" x14ac:dyDescent="0.3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9"/>
      <c r="M751" s="30"/>
      <c r="N751" s="50"/>
      <c r="O751" s="49"/>
    </row>
    <row r="752" spans="1:15" ht="15.75" customHeight="1" x14ac:dyDescent="0.3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9"/>
      <c r="M752" s="30"/>
      <c r="N752" s="50"/>
      <c r="O752" s="49"/>
    </row>
    <row r="753" spans="1:15" ht="15.75" customHeight="1" x14ac:dyDescent="0.3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9"/>
      <c r="M753" s="30"/>
      <c r="N753" s="50"/>
      <c r="O753" s="49"/>
    </row>
    <row r="754" spans="1:15" ht="15.75" customHeight="1" x14ac:dyDescent="0.3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9"/>
      <c r="M754" s="30"/>
      <c r="N754" s="50"/>
      <c r="O754" s="49"/>
    </row>
    <row r="755" spans="1:15" ht="15.75" customHeight="1" x14ac:dyDescent="0.3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9"/>
      <c r="M755" s="30"/>
      <c r="N755" s="50"/>
      <c r="O755" s="49"/>
    </row>
    <row r="756" spans="1:15" ht="15.75" customHeight="1" x14ac:dyDescent="0.3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9"/>
      <c r="M756" s="30"/>
      <c r="N756" s="50"/>
      <c r="O756" s="49"/>
    </row>
    <row r="757" spans="1:15" ht="15.75" customHeight="1" x14ac:dyDescent="0.3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9"/>
      <c r="M757" s="30"/>
      <c r="N757" s="50"/>
      <c r="O757" s="49"/>
    </row>
    <row r="758" spans="1:15" ht="15.75" customHeight="1" x14ac:dyDescent="0.3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9"/>
      <c r="M758" s="30"/>
      <c r="N758" s="50"/>
      <c r="O758" s="49"/>
    </row>
    <row r="759" spans="1:15" ht="15.75" customHeight="1" x14ac:dyDescent="0.3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9"/>
      <c r="M759" s="30"/>
      <c r="N759" s="50"/>
      <c r="O759" s="49"/>
    </row>
    <row r="760" spans="1:15" ht="15.75" customHeight="1" x14ac:dyDescent="0.3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9"/>
      <c r="M760" s="30"/>
      <c r="N760" s="50"/>
      <c r="O760" s="49"/>
    </row>
    <row r="761" spans="1:15" ht="15.75" customHeight="1" x14ac:dyDescent="0.3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9"/>
      <c r="M761" s="30"/>
      <c r="N761" s="50"/>
      <c r="O761" s="49"/>
    </row>
    <row r="762" spans="1:15" ht="15.75" customHeight="1" x14ac:dyDescent="0.3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9"/>
      <c r="M762" s="30"/>
      <c r="N762" s="50"/>
      <c r="O762" s="49"/>
    </row>
    <row r="763" spans="1:15" ht="15.75" customHeight="1" x14ac:dyDescent="0.3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9"/>
      <c r="M763" s="30"/>
      <c r="N763" s="50"/>
      <c r="O763" s="49"/>
    </row>
    <row r="764" spans="1:15" ht="15.75" customHeight="1" x14ac:dyDescent="0.3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9"/>
      <c r="M764" s="30"/>
      <c r="N764" s="50"/>
      <c r="O764" s="49"/>
    </row>
    <row r="765" spans="1:15" ht="15.75" customHeight="1" x14ac:dyDescent="0.3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9"/>
      <c r="M765" s="30"/>
      <c r="N765" s="50"/>
      <c r="O765" s="49"/>
    </row>
    <row r="766" spans="1:15" ht="15.75" customHeight="1" x14ac:dyDescent="0.3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9"/>
      <c r="M766" s="30"/>
      <c r="N766" s="50"/>
      <c r="O766" s="49"/>
    </row>
    <row r="767" spans="1:15" ht="15.75" customHeight="1" x14ac:dyDescent="0.3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9"/>
      <c r="M767" s="30"/>
      <c r="N767" s="50"/>
      <c r="O767" s="49"/>
    </row>
    <row r="768" spans="1:15" ht="15.75" customHeight="1" x14ac:dyDescent="0.3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9"/>
      <c r="M768" s="30"/>
      <c r="N768" s="50"/>
      <c r="O768" s="49"/>
    </row>
    <row r="769" spans="1:15" ht="15.75" customHeight="1" x14ac:dyDescent="0.3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9"/>
      <c r="M769" s="30"/>
      <c r="N769" s="50"/>
      <c r="O769" s="49"/>
    </row>
    <row r="770" spans="1:15" ht="15.75" customHeight="1" x14ac:dyDescent="0.3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9"/>
      <c r="M770" s="30"/>
      <c r="N770" s="50"/>
      <c r="O770" s="49"/>
    </row>
    <row r="771" spans="1:15" ht="15.75" customHeight="1" x14ac:dyDescent="0.3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9"/>
      <c r="M771" s="30"/>
      <c r="N771" s="50"/>
      <c r="O771" s="49"/>
    </row>
    <row r="772" spans="1:15" ht="15.75" customHeight="1" x14ac:dyDescent="0.3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9"/>
      <c r="M772" s="30"/>
      <c r="N772" s="50"/>
      <c r="O772" s="49"/>
    </row>
    <row r="773" spans="1:15" ht="15.75" customHeight="1" x14ac:dyDescent="0.3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9"/>
      <c r="M773" s="30"/>
      <c r="N773" s="50"/>
      <c r="O773" s="49"/>
    </row>
    <row r="774" spans="1:15" ht="15.75" customHeight="1" x14ac:dyDescent="0.3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9"/>
      <c r="M774" s="30"/>
      <c r="N774" s="50"/>
      <c r="O774" s="49"/>
    </row>
    <row r="775" spans="1:15" ht="15.75" customHeight="1" x14ac:dyDescent="0.3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9"/>
      <c r="M775" s="30"/>
      <c r="N775" s="50"/>
      <c r="O775" s="49"/>
    </row>
    <row r="776" spans="1:15" ht="15.75" customHeight="1" x14ac:dyDescent="0.3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9"/>
      <c r="M776" s="30"/>
      <c r="N776" s="50"/>
      <c r="O776" s="49"/>
    </row>
    <row r="777" spans="1:15" ht="15.75" customHeight="1" x14ac:dyDescent="0.3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9"/>
      <c r="M777" s="30"/>
      <c r="N777" s="50"/>
      <c r="O777" s="49"/>
    </row>
    <row r="778" spans="1:15" ht="15.75" customHeight="1" x14ac:dyDescent="0.3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9"/>
      <c r="M778" s="30"/>
      <c r="N778" s="50"/>
      <c r="O778" s="49"/>
    </row>
    <row r="779" spans="1:15" ht="15.75" customHeight="1" x14ac:dyDescent="0.3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9"/>
      <c r="M779" s="30"/>
      <c r="N779" s="50"/>
      <c r="O779" s="49"/>
    </row>
    <row r="780" spans="1:15" ht="15.75" customHeight="1" x14ac:dyDescent="0.3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9"/>
      <c r="M780" s="30"/>
      <c r="N780" s="50"/>
      <c r="O780" s="49"/>
    </row>
    <row r="781" spans="1:15" ht="15.75" customHeight="1" x14ac:dyDescent="0.3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9"/>
      <c r="M781" s="30"/>
      <c r="N781" s="50"/>
      <c r="O781" s="49"/>
    </row>
    <row r="782" spans="1:15" ht="15.75" customHeight="1" x14ac:dyDescent="0.3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9"/>
      <c r="M782" s="30"/>
      <c r="N782" s="50"/>
      <c r="O782" s="49"/>
    </row>
    <row r="783" spans="1:15" ht="15.75" customHeight="1" x14ac:dyDescent="0.3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9"/>
      <c r="M783" s="30"/>
      <c r="N783" s="50"/>
      <c r="O783" s="49"/>
    </row>
    <row r="784" spans="1:15" ht="15.75" customHeight="1" x14ac:dyDescent="0.3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9"/>
      <c r="M784" s="30"/>
      <c r="N784" s="50"/>
      <c r="O784" s="49"/>
    </row>
    <row r="785" spans="1:15" ht="15.75" customHeight="1" x14ac:dyDescent="0.3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9"/>
      <c r="M785" s="30"/>
      <c r="N785" s="50"/>
      <c r="O785" s="49"/>
    </row>
    <row r="786" spans="1:15" ht="15.75" customHeight="1" x14ac:dyDescent="0.3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9"/>
      <c r="M786" s="30"/>
      <c r="N786" s="50"/>
      <c r="O786" s="49"/>
    </row>
    <row r="787" spans="1:15" ht="15.75" customHeight="1" x14ac:dyDescent="0.3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9"/>
      <c r="M787" s="30"/>
      <c r="N787" s="50"/>
      <c r="O787" s="49"/>
    </row>
    <row r="788" spans="1:15" ht="15.75" customHeight="1" x14ac:dyDescent="0.3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9"/>
      <c r="M788" s="30"/>
      <c r="N788" s="50"/>
      <c r="O788" s="49"/>
    </row>
    <row r="789" spans="1:15" ht="15.75" customHeight="1" x14ac:dyDescent="0.3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9"/>
      <c r="M789" s="30"/>
      <c r="N789" s="50"/>
      <c r="O789" s="49"/>
    </row>
    <row r="790" spans="1:15" ht="15.75" customHeight="1" x14ac:dyDescent="0.3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9"/>
      <c r="M790" s="30"/>
      <c r="N790" s="50"/>
      <c r="O790" s="49"/>
    </row>
    <row r="791" spans="1:15" ht="15.75" customHeight="1" x14ac:dyDescent="0.3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9"/>
      <c r="M791" s="30"/>
      <c r="N791" s="50"/>
      <c r="O791" s="49"/>
    </row>
    <row r="792" spans="1:15" ht="15.75" customHeight="1" x14ac:dyDescent="0.3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9"/>
      <c r="M792" s="30"/>
      <c r="N792" s="50"/>
      <c r="O792" s="49"/>
    </row>
    <row r="793" spans="1:15" ht="15.75" customHeight="1" x14ac:dyDescent="0.3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9"/>
      <c r="M793" s="30"/>
      <c r="N793" s="50"/>
      <c r="O793" s="49"/>
    </row>
    <row r="794" spans="1:15" ht="15.75" customHeight="1" x14ac:dyDescent="0.3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9"/>
      <c r="M794" s="30"/>
      <c r="N794" s="50"/>
      <c r="O794" s="49"/>
    </row>
    <row r="795" spans="1:15" ht="15.75" customHeight="1" x14ac:dyDescent="0.3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9"/>
      <c r="M795" s="30"/>
      <c r="N795" s="50"/>
      <c r="O795" s="49"/>
    </row>
    <row r="796" spans="1:15" ht="15.75" customHeight="1" x14ac:dyDescent="0.3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9"/>
      <c r="M796" s="30"/>
      <c r="N796" s="50"/>
      <c r="O796" s="49"/>
    </row>
    <row r="797" spans="1:15" ht="15.75" customHeight="1" x14ac:dyDescent="0.3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9"/>
      <c r="M797" s="30"/>
      <c r="N797" s="50"/>
      <c r="O797" s="49"/>
    </row>
    <row r="798" spans="1:15" ht="15.75" customHeight="1" x14ac:dyDescent="0.3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9"/>
      <c r="M798" s="30"/>
      <c r="N798" s="50"/>
      <c r="O798" s="49"/>
    </row>
    <row r="799" spans="1:15" ht="15.75" customHeight="1" x14ac:dyDescent="0.3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9"/>
      <c r="M799" s="30"/>
      <c r="N799" s="50"/>
      <c r="O799" s="49"/>
    </row>
    <row r="800" spans="1:15" ht="15.75" customHeight="1" x14ac:dyDescent="0.3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9"/>
      <c r="M800" s="30"/>
      <c r="N800" s="50"/>
      <c r="O800" s="49"/>
    </row>
    <row r="801" spans="1:15" ht="15.75" customHeight="1" x14ac:dyDescent="0.3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9"/>
      <c r="M801" s="30"/>
      <c r="N801" s="50"/>
      <c r="O801" s="49"/>
    </row>
    <row r="802" spans="1:15" ht="15.75" customHeight="1" x14ac:dyDescent="0.3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9"/>
      <c r="M802" s="30"/>
      <c r="N802" s="50"/>
      <c r="O802" s="49"/>
    </row>
    <row r="803" spans="1:15" ht="15.75" customHeight="1" x14ac:dyDescent="0.3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9"/>
      <c r="M803" s="30"/>
      <c r="N803" s="50"/>
      <c r="O803" s="49"/>
    </row>
    <row r="804" spans="1:15" ht="15.75" customHeight="1" x14ac:dyDescent="0.3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9"/>
      <c r="M804" s="30"/>
      <c r="N804" s="50"/>
      <c r="O804" s="49"/>
    </row>
    <row r="805" spans="1:15" ht="15.75" customHeight="1" x14ac:dyDescent="0.3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9"/>
      <c r="M805" s="30"/>
      <c r="N805" s="50"/>
      <c r="O805" s="49"/>
    </row>
    <row r="806" spans="1:15" ht="15.75" customHeight="1" x14ac:dyDescent="0.3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9"/>
      <c r="M806" s="30"/>
      <c r="N806" s="50"/>
      <c r="O806" s="49"/>
    </row>
    <row r="807" spans="1:15" ht="15.75" customHeight="1" x14ac:dyDescent="0.3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9"/>
      <c r="M807" s="30"/>
      <c r="N807" s="50"/>
      <c r="O807" s="49"/>
    </row>
    <row r="808" spans="1:15" ht="15.75" customHeight="1" x14ac:dyDescent="0.3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9"/>
      <c r="M808" s="30"/>
      <c r="N808" s="50"/>
      <c r="O808" s="49"/>
    </row>
    <row r="809" spans="1:15" ht="15.75" customHeight="1" x14ac:dyDescent="0.3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9"/>
      <c r="M809" s="30"/>
      <c r="N809" s="50"/>
      <c r="O809" s="49"/>
    </row>
    <row r="810" spans="1:15" ht="15.75" customHeight="1" x14ac:dyDescent="0.3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9"/>
      <c r="M810" s="30"/>
      <c r="N810" s="50"/>
      <c r="O810" s="49"/>
    </row>
    <row r="811" spans="1:15" ht="15.75" customHeight="1" x14ac:dyDescent="0.3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9"/>
      <c r="M811" s="30"/>
      <c r="N811" s="50"/>
      <c r="O811" s="49"/>
    </row>
    <row r="812" spans="1:15" ht="15.75" customHeight="1" x14ac:dyDescent="0.3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9"/>
      <c r="M812" s="30"/>
      <c r="N812" s="50"/>
      <c r="O812" s="49"/>
    </row>
    <row r="813" spans="1:15" ht="15.75" customHeight="1" x14ac:dyDescent="0.3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9"/>
      <c r="M813" s="30"/>
      <c r="N813" s="50"/>
      <c r="O813" s="49"/>
    </row>
    <row r="814" spans="1:15" ht="15.75" customHeight="1" x14ac:dyDescent="0.3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9"/>
      <c r="M814" s="30"/>
      <c r="N814" s="50"/>
      <c r="O814" s="49"/>
    </row>
    <row r="815" spans="1:15" ht="15.75" customHeight="1" x14ac:dyDescent="0.3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9"/>
      <c r="M815" s="30"/>
      <c r="N815" s="50"/>
      <c r="O815" s="49"/>
    </row>
    <row r="816" spans="1:15" ht="15.75" customHeight="1" x14ac:dyDescent="0.3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9"/>
      <c r="M816" s="30"/>
      <c r="N816" s="50"/>
      <c r="O816" s="49"/>
    </row>
    <row r="817" spans="1:15" ht="15.75" customHeight="1" x14ac:dyDescent="0.3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9"/>
      <c r="M817" s="30"/>
      <c r="N817" s="50"/>
      <c r="O817" s="49"/>
    </row>
    <row r="818" spans="1:15" ht="15.75" customHeight="1" x14ac:dyDescent="0.3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9"/>
      <c r="M818" s="30"/>
      <c r="N818" s="50"/>
      <c r="O818" s="49"/>
    </row>
    <row r="819" spans="1:15" ht="15.75" customHeight="1" x14ac:dyDescent="0.3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9"/>
      <c r="M819" s="30"/>
      <c r="N819" s="50"/>
      <c r="O819" s="49"/>
    </row>
    <row r="820" spans="1:15" ht="15.75" customHeight="1" x14ac:dyDescent="0.3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9"/>
      <c r="M820" s="30"/>
      <c r="N820" s="50"/>
      <c r="O820" s="49"/>
    </row>
    <row r="821" spans="1:15" ht="15.75" customHeight="1" x14ac:dyDescent="0.3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9"/>
      <c r="M821" s="30"/>
      <c r="N821" s="50"/>
      <c r="O821" s="49"/>
    </row>
    <row r="822" spans="1:15" ht="15.75" customHeight="1" x14ac:dyDescent="0.3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9"/>
      <c r="M822" s="30"/>
      <c r="N822" s="50"/>
      <c r="O822" s="49"/>
    </row>
    <row r="823" spans="1:15" ht="15.75" customHeight="1" x14ac:dyDescent="0.3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9"/>
      <c r="M823" s="30"/>
      <c r="N823" s="50"/>
      <c r="O823" s="49"/>
    </row>
    <row r="824" spans="1:15" ht="15.75" customHeight="1" x14ac:dyDescent="0.3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9"/>
      <c r="M824" s="30"/>
      <c r="N824" s="50"/>
      <c r="O824" s="49"/>
    </row>
    <row r="825" spans="1:15" ht="15.75" customHeight="1" x14ac:dyDescent="0.3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9"/>
      <c r="M825" s="30"/>
      <c r="N825" s="50"/>
      <c r="O825" s="49"/>
    </row>
    <row r="826" spans="1:15" ht="15.75" customHeight="1" x14ac:dyDescent="0.3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9"/>
      <c r="M826" s="30"/>
      <c r="N826" s="50"/>
      <c r="O826" s="49"/>
    </row>
    <row r="827" spans="1:15" ht="15.75" customHeight="1" x14ac:dyDescent="0.3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9"/>
      <c r="M827" s="30"/>
      <c r="N827" s="50"/>
      <c r="O827" s="49"/>
    </row>
    <row r="828" spans="1:15" ht="15.75" customHeight="1" x14ac:dyDescent="0.3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9"/>
      <c r="M828" s="30"/>
      <c r="N828" s="50"/>
      <c r="O828" s="49"/>
    </row>
    <row r="829" spans="1:15" ht="15.75" customHeight="1" x14ac:dyDescent="0.3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9"/>
      <c r="M829" s="30"/>
      <c r="N829" s="50"/>
      <c r="O829" s="49"/>
    </row>
    <row r="830" spans="1:15" ht="15.75" customHeight="1" x14ac:dyDescent="0.3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9"/>
      <c r="M830" s="30"/>
      <c r="N830" s="50"/>
      <c r="O830" s="49"/>
    </row>
    <row r="831" spans="1:15" ht="15.75" customHeight="1" x14ac:dyDescent="0.3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9"/>
      <c r="M831" s="30"/>
      <c r="N831" s="50"/>
      <c r="O831" s="49"/>
    </row>
    <row r="832" spans="1:15" ht="15.75" customHeight="1" x14ac:dyDescent="0.3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9"/>
      <c r="M832" s="30"/>
      <c r="N832" s="50"/>
      <c r="O832" s="49"/>
    </row>
    <row r="833" spans="1:15" ht="15.75" customHeight="1" x14ac:dyDescent="0.3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9"/>
      <c r="M833" s="30"/>
      <c r="N833" s="50"/>
      <c r="O833" s="49"/>
    </row>
    <row r="834" spans="1:15" ht="15.75" customHeight="1" x14ac:dyDescent="0.3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9"/>
      <c r="M834" s="30"/>
      <c r="N834" s="50"/>
      <c r="O834" s="49"/>
    </row>
    <row r="835" spans="1:15" ht="15.75" customHeight="1" x14ac:dyDescent="0.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9"/>
      <c r="M835" s="30"/>
      <c r="N835" s="50"/>
      <c r="O835" s="49"/>
    </row>
    <row r="836" spans="1:15" ht="15.75" customHeight="1" x14ac:dyDescent="0.3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9"/>
      <c r="M836" s="30"/>
      <c r="N836" s="50"/>
      <c r="O836" s="49"/>
    </row>
    <row r="837" spans="1:15" ht="15.75" customHeight="1" x14ac:dyDescent="0.3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9"/>
      <c r="M837" s="30"/>
      <c r="N837" s="50"/>
      <c r="O837" s="49"/>
    </row>
    <row r="838" spans="1:15" ht="15.75" customHeight="1" x14ac:dyDescent="0.3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9"/>
      <c r="M838" s="30"/>
      <c r="N838" s="50"/>
      <c r="O838" s="49"/>
    </row>
    <row r="839" spans="1:15" ht="15.75" customHeight="1" x14ac:dyDescent="0.3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9"/>
      <c r="M839" s="30"/>
      <c r="N839" s="50"/>
      <c r="O839" s="49"/>
    </row>
    <row r="840" spans="1:15" ht="15.75" customHeight="1" x14ac:dyDescent="0.3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9"/>
      <c r="M840" s="30"/>
      <c r="N840" s="50"/>
      <c r="O840" s="49"/>
    </row>
    <row r="841" spans="1:15" ht="15.75" customHeight="1" x14ac:dyDescent="0.3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9"/>
      <c r="M841" s="30"/>
      <c r="N841" s="50"/>
      <c r="O841" s="49"/>
    </row>
    <row r="842" spans="1:15" ht="15.75" customHeight="1" x14ac:dyDescent="0.3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9"/>
      <c r="M842" s="30"/>
      <c r="N842" s="50"/>
      <c r="O842" s="49"/>
    </row>
    <row r="843" spans="1:15" ht="15.75" customHeight="1" x14ac:dyDescent="0.3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9"/>
      <c r="M843" s="30"/>
      <c r="N843" s="50"/>
      <c r="O843" s="49"/>
    </row>
    <row r="844" spans="1:15" ht="15.75" customHeight="1" x14ac:dyDescent="0.3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9"/>
      <c r="M844" s="30"/>
      <c r="N844" s="50"/>
      <c r="O844" s="49"/>
    </row>
    <row r="845" spans="1:15" ht="15.75" customHeight="1" x14ac:dyDescent="0.3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9"/>
      <c r="M845" s="30"/>
      <c r="N845" s="50"/>
      <c r="O845" s="49"/>
    </row>
    <row r="846" spans="1:15" ht="15.75" customHeight="1" x14ac:dyDescent="0.3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9"/>
      <c r="M846" s="30"/>
      <c r="N846" s="50"/>
      <c r="O846" s="49"/>
    </row>
    <row r="847" spans="1:15" ht="15.75" customHeight="1" x14ac:dyDescent="0.3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9"/>
      <c r="M847" s="30"/>
      <c r="N847" s="50"/>
      <c r="O847" s="49"/>
    </row>
    <row r="848" spans="1:15" ht="15.75" customHeight="1" x14ac:dyDescent="0.3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9"/>
      <c r="M848" s="30"/>
      <c r="N848" s="50"/>
      <c r="O848" s="49"/>
    </row>
    <row r="849" spans="1:15" ht="15.75" customHeight="1" x14ac:dyDescent="0.3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9"/>
      <c r="M849" s="30"/>
      <c r="N849" s="50"/>
      <c r="O849" s="49"/>
    </row>
    <row r="850" spans="1:15" ht="15.75" customHeight="1" x14ac:dyDescent="0.3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9"/>
      <c r="M850" s="30"/>
      <c r="N850" s="50"/>
      <c r="O850" s="49"/>
    </row>
    <row r="851" spans="1:15" ht="15.75" customHeight="1" x14ac:dyDescent="0.3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9"/>
      <c r="M851" s="30"/>
      <c r="N851" s="50"/>
      <c r="O851" s="49"/>
    </row>
    <row r="852" spans="1:15" ht="15.75" customHeight="1" x14ac:dyDescent="0.3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9"/>
      <c r="M852" s="30"/>
      <c r="N852" s="50"/>
      <c r="O852" s="49"/>
    </row>
    <row r="853" spans="1:15" ht="15.75" customHeight="1" x14ac:dyDescent="0.3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9"/>
      <c r="M853" s="30"/>
      <c r="N853" s="50"/>
      <c r="O853" s="49"/>
    </row>
    <row r="854" spans="1:15" ht="15.75" customHeight="1" x14ac:dyDescent="0.3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9"/>
      <c r="M854" s="30"/>
      <c r="N854" s="50"/>
      <c r="O854" s="49"/>
    </row>
    <row r="855" spans="1:15" ht="15.75" customHeight="1" x14ac:dyDescent="0.3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9"/>
      <c r="M855" s="30"/>
      <c r="N855" s="50"/>
      <c r="O855" s="49"/>
    </row>
    <row r="856" spans="1:15" ht="15.75" customHeight="1" x14ac:dyDescent="0.3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9"/>
      <c r="M856" s="30"/>
      <c r="N856" s="50"/>
      <c r="O856" s="49"/>
    </row>
    <row r="857" spans="1:15" ht="15.75" customHeight="1" x14ac:dyDescent="0.3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9"/>
      <c r="M857" s="30"/>
      <c r="N857" s="50"/>
      <c r="O857" s="49"/>
    </row>
    <row r="858" spans="1:15" ht="15.75" customHeight="1" x14ac:dyDescent="0.3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9"/>
      <c r="M858" s="30"/>
      <c r="N858" s="50"/>
      <c r="O858" s="49"/>
    </row>
    <row r="859" spans="1:15" ht="15.75" customHeight="1" x14ac:dyDescent="0.3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9"/>
      <c r="M859" s="30"/>
      <c r="N859" s="50"/>
      <c r="O859" s="49"/>
    </row>
    <row r="860" spans="1:15" ht="15.75" customHeight="1" x14ac:dyDescent="0.3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9"/>
      <c r="M860" s="30"/>
      <c r="N860" s="50"/>
      <c r="O860" s="49"/>
    </row>
    <row r="861" spans="1:15" ht="15.75" customHeight="1" x14ac:dyDescent="0.3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9"/>
      <c r="M861" s="30"/>
      <c r="N861" s="50"/>
      <c r="O861" s="49"/>
    </row>
    <row r="862" spans="1:15" ht="15.75" customHeight="1" x14ac:dyDescent="0.3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9"/>
      <c r="M862" s="30"/>
      <c r="N862" s="50"/>
      <c r="O862" s="49"/>
    </row>
    <row r="863" spans="1:15" ht="15.75" customHeight="1" x14ac:dyDescent="0.3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9"/>
      <c r="M863" s="30"/>
      <c r="N863" s="50"/>
      <c r="O863" s="49"/>
    </row>
    <row r="864" spans="1:15" ht="15.75" customHeight="1" x14ac:dyDescent="0.3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9"/>
      <c r="M864" s="30"/>
      <c r="N864" s="50"/>
      <c r="O864" s="49"/>
    </row>
    <row r="865" spans="1:15" ht="15.75" customHeight="1" x14ac:dyDescent="0.3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9"/>
      <c r="M865" s="30"/>
      <c r="N865" s="50"/>
      <c r="O865" s="49"/>
    </row>
    <row r="866" spans="1:15" ht="15.75" customHeight="1" x14ac:dyDescent="0.3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9"/>
      <c r="M866" s="30"/>
      <c r="N866" s="50"/>
      <c r="O866" s="49"/>
    </row>
    <row r="867" spans="1:15" ht="15.75" customHeight="1" x14ac:dyDescent="0.3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9"/>
      <c r="M867" s="30"/>
      <c r="N867" s="50"/>
      <c r="O867" s="49"/>
    </row>
    <row r="868" spans="1:15" ht="15.75" customHeight="1" x14ac:dyDescent="0.3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9"/>
      <c r="M868" s="30"/>
      <c r="N868" s="50"/>
      <c r="O868" s="49"/>
    </row>
    <row r="869" spans="1:15" ht="15.75" customHeight="1" x14ac:dyDescent="0.3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9"/>
      <c r="M869" s="30"/>
      <c r="N869" s="50"/>
      <c r="O869" s="49"/>
    </row>
    <row r="870" spans="1:15" ht="15.75" customHeight="1" x14ac:dyDescent="0.3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9"/>
      <c r="M870" s="30"/>
      <c r="N870" s="50"/>
      <c r="O870" s="49"/>
    </row>
    <row r="871" spans="1:15" ht="15.75" customHeight="1" x14ac:dyDescent="0.3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9"/>
      <c r="M871" s="30"/>
      <c r="N871" s="50"/>
      <c r="O871" s="49"/>
    </row>
    <row r="872" spans="1:15" ht="15.75" customHeight="1" x14ac:dyDescent="0.3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9"/>
      <c r="M872" s="30"/>
      <c r="N872" s="50"/>
      <c r="O872" s="49"/>
    </row>
    <row r="873" spans="1:15" ht="15.75" customHeight="1" x14ac:dyDescent="0.3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9"/>
      <c r="M873" s="30"/>
      <c r="N873" s="50"/>
      <c r="O873" s="49"/>
    </row>
    <row r="874" spans="1:15" ht="15.75" customHeight="1" x14ac:dyDescent="0.3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9"/>
      <c r="M874" s="30"/>
      <c r="N874" s="50"/>
      <c r="O874" s="49"/>
    </row>
    <row r="875" spans="1:15" ht="15.75" customHeight="1" x14ac:dyDescent="0.3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9"/>
      <c r="M875" s="30"/>
      <c r="N875" s="50"/>
      <c r="O875" s="49"/>
    </row>
    <row r="876" spans="1:15" ht="15.75" customHeight="1" x14ac:dyDescent="0.3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9"/>
      <c r="M876" s="30"/>
      <c r="N876" s="50"/>
      <c r="O876" s="49"/>
    </row>
    <row r="877" spans="1:15" ht="15.75" customHeight="1" x14ac:dyDescent="0.3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9"/>
      <c r="M877" s="30"/>
      <c r="N877" s="50"/>
      <c r="O877" s="49"/>
    </row>
    <row r="878" spans="1:15" ht="15.75" customHeight="1" x14ac:dyDescent="0.3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9"/>
      <c r="M878" s="30"/>
      <c r="N878" s="50"/>
      <c r="O878" s="49"/>
    </row>
    <row r="879" spans="1:15" ht="15.75" customHeight="1" x14ac:dyDescent="0.3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9"/>
      <c r="M879" s="30"/>
      <c r="N879" s="50"/>
      <c r="O879" s="49"/>
    </row>
    <row r="880" spans="1:15" ht="15.75" customHeight="1" x14ac:dyDescent="0.3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9"/>
      <c r="M880" s="30"/>
      <c r="N880" s="50"/>
      <c r="O880" s="49"/>
    </row>
    <row r="881" spans="1:15" ht="15.75" customHeight="1" x14ac:dyDescent="0.3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9"/>
      <c r="M881" s="30"/>
      <c r="N881" s="50"/>
      <c r="O881" s="49"/>
    </row>
    <row r="882" spans="1:15" ht="15.75" customHeight="1" x14ac:dyDescent="0.3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9"/>
      <c r="M882" s="30"/>
      <c r="N882" s="50"/>
      <c r="O882" s="49"/>
    </row>
    <row r="883" spans="1:15" ht="15.75" customHeight="1" x14ac:dyDescent="0.3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9"/>
      <c r="M883" s="30"/>
      <c r="N883" s="50"/>
      <c r="O883" s="49"/>
    </row>
    <row r="884" spans="1:15" ht="15.75" customHeight="1" x14ac:dyDescent="0.3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9"/>
      <c r="M884" s="30"/>
      <c r="N884" s="50"/>
      <c r="O884" s="49"/>
    </row>
    <row r="885" spans="1:15" ht="15.75" customHeight="1" x14ac:dyDescent="0.3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9"/>
      <c r="M885" s="30"/>
      <c r="N885" s="50"/>
      <c r="O885" s="49"/>
    </row>
    <row r="886" spans="1:15" ht="15.75" customHeight="1" x14ac:dyDescent="0.3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9"/>
      <c r="M886" s="30"/>
      <c r="N886" s="50"/>
      <c r="O886" s="49"/>
    </row>
    <row r="887" spans="1:15" ht="15.75" customHeight="1" x14ac:dyDescent="0.3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9"/>
      <c r="M887" s="30"/>
      <c r="N887" s="50"/>
      <c r="O887" s="49"/>
    </row>
    <row r="888" spans="1:15" ht="15.75" customHeight="1" x14ac:dyDescent="0.3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9"/>
      <c r="M888" s="30"/>
      <c r="N888" s="50"/>
      <c r="O888" s="49"/>
    </row>
    <row r="889" spans="1:15" ht="15.75" customHeight="1" x14ac:dyDescent="0.3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9"/>
      <c r="M889" s="30"/>
      <c r="N889" s="50"/>
      <c r="O889" s="49"/>
    </row>
    <row r="890" spans="1:15" ht="15.75" customHeight="1" x14ac:dyDescent="0.3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9"/>
      <c r="M890" s="30"/>
      <c r="N890" s="50"/>
      <c r="O890" s="49"/>
    </row>
    <row r="891" spans="1:15" ht="15.75" customHeight="1" x14ac:dyDescent="0.3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9"/>
      <c r="M891" s="30"/>
      <c r="N891" s="50"/>
      <c r="O891" s="49"/>
    </row>
    <row r="892" spans="1:15" ht="15.75" customHeight="1" x14ac:dyDescent="0.3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9"/>
      <c r="M892" s="30"/>
      <c r="N892" s="50"/>
      <c r="O892" s="49"/>
    </row>
    <row r="893" spans="1:15" ht="15.75" customHeight="1" x14ac:dyDescent="0.3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9"/>
      <c r="M893" s="30"/>
      <c r="N893" s="50"/>
      <c r="O893" s="49"/>
    </row>
    <row r="894" spans="1:15" ht="15.75" customHeight="1" x14ac:dyDescent="0.3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9"/>
      <c r="M894" s="30"/>
      <c r="N894" s="50"/>
      <c r="O894" s="49"/>
    </row>
    <row r="895" spans="1:15" ht="15.75" customHeight="1" x14ac:dyDescent="0.3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9"/>
      <c r="M895" s="30"/>
      <c r="N895" s="50"/>
      <c r="O895" s="49"/>
    </row>
    <row r="896" spans="1:15" ht="15.75" customHeight="1" x14ac:dyDescent="0.3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9"/>
      <c r="M896" s="30"/>
      <c r="N896" s="50"/>
      <c r="O896" s="49"/>
    </row>
    <row r="897" spans="1:15" ht="15.75" customHeight="1" x14ac:dyDescent="0.3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9"/>
      <c r="M897" s="30"/>
      <c r="N897" s="50"/>
      <c r="O897" s="49"/>
    </row>
    <row r="898" spans="1:15" ht="15.75" customHeight="1" x14ac:dyDescent="0.3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9"/>
      <c r="M898" s="30"/>
      <c r="N898" s="50"/>
      <c r="O898" s="49"/>
    </row>
    <row r="899" spans="1:15" ht="15.75" customHeight="1" x14ac:dyDescent="0.3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9"/>
      <c r="M899" s="30"/>
      <c r="N899" s="50"/>
      <c r="O899" s="49"/>
    </row>
    <row r="900" spans="1:15" ht="15.75" customHeight="1" x14ac:dyDescent="0.3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9"/>
      <c r="M900" s="30"/>
      <c r="N900" s="50"/>
      <c r="O900" s="49"/>
    </row>
    <row r="901" spans="1:15" ht="15.75" customHeight="1" x14ac:dyDescent="0.3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9"/>
      <c r="M901" s="30"/>
      <c r="N901" s="50"/>
      <c r="O901" s="49"/>
    </row>
    <row r="902" spans="1:15" ht="15.75" customHeight="1" x14ac:dyDescent="0.3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9"/>
      <c r="M902" s="30"/>
      <c r="N902" s="50"/>
      <c r="O902" s="49"/>
    </row>
    <row r="903" spans="1:15" ht="15.75" customHeight="1" x14ac:dyDescent="0.3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9"/>
      <c r="M903" s="30"/>
      <c r="N903" s="50"/>
      <c r="O903" s="49"/>
    </row>
    <row r="904" spans="1:15" ht="15.75" customHeight="1" x14ac:dyDescent="0.3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9"/>
      <c r="M904" s="30"/>
      <c r="N904" s="50"/>
      <c r="O904" s="49"/>
    </row>
    <row r="905" spans="1:15" ht="15.75" customHeight="1" x14ac:dyDescent="0.3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9"/>
      <c r="M905" s="30"/>
      <c r="N905" s="50"/>
      <c r="O905" s="49"/>
    </row>
    <row r="906" spans="1:15" ht="15.75" customHeight="1" x14ac:dyDescent="0.3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9"/>
      <c r="M906" s="30"/>
      <c r="N906" s="50"/>
      <c r="O906" s="49"/>
    </row>
    <row r="907" spans="1:15" ht="15.75" customHeight="1" x14ac:dyDescent="0.3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9"/>
      <c r="M907" s="30"/>
      <c r="N907" s="50"/>
      <c r="O907" s="49"/>
    </row>
    <row r="908" spans="1:15" ht="15.75" customHeight="1" x14ac:dyDescent="0.3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9"/>
      <c r="M908" s="30"/>
      <c r="N908" s="50"/>
      <c r="O908" s="49"/>
    </row>
    <row r="909" spans="1:15" ht="15.75" customHeight="1" x14ac:dyDescent="0.3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9"/>
      <c r="M909" s="30"/>
      <c r="N909" s="50"/>
      <c r="O909" s="49"/>
    </row>
    <row r="910" spans="1:15" ht="15.75" customHeight="1" x14ac:dyDescent="0.3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9"/>
      <c r="M910" s="30"/>
      <c r="N910" s="50"/>
      <c r="O910" s="49"/>
    </row>
    <row r="911" spans="1:15" ht="15.75" customHeight="1" x14ac:dyDescent="0.3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9"/>
      <c r="M911" s="30"/>
      <c r="N911" s="50"/>
      <c r="O911" s="49"/>
    </row>
    <row r="912" spans="1:15" ht="15.75" customHeight="1" x14ac:dyDescent="0.3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9"/>
      <c r="M912" s="30"/>
      <c r="N912" s="50"/>
      <c r="O912" s="49"/>
    </row>
    <row r="913" spans="1:15" ht="15.75" customHeight="1" x14ac:dyDescent="0.3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9"/>
      <c r="M913" s="30"/>
      <c r="N913" s="50"/>
      <c r="O913" s="49"/>
    </row>
    <row r="914" spans="1:15" ht="15.75" customHeight="1" x14ac:dyDescent="0.3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9"/>
      <c r="M914" s="30"/>
      <c r="N914" s="50"/>
      <c r="O914" s="49"/>
    </row>
    <row r="915" spans="1:15" ht="15.75" customHeight="1" x14ac:dyDescent="0.3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9"/>
      <c r="M915" s="30"/>
      <c r="N915" s="50"/>
      <c r="O915" s="49"/>
    </row>
    <row r="916" spans="1:15" ht="15.75" customHeight="1" x14ac:dyDescent="0.3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9"/>
      <c r="M916" s="30"/>
      <c r="N916" s="50"/>
      <c r="O916" s="49"/>
    </row>
    <row r="917" spans="1:15" ht="15.75" customHeight="1" x14ac:dyDescent="0.3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9"/>
      <c r="M917" s="30"/>
      <c r="N917" s="50"/>
      <c r="O917" s="49"/>
    </row>
    <row r="918" spans="1:15" ht="15.75" customHeight="1" x14ac:dyDescent="0.3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9"/>
      <c r="M918" s="30"/>
      <c r="N918" s="50"/>
      <c r="O918" s="49"/>
    </row>
    <row r="919" spans="1:15" ht="15.75" customHeight="1" x14ac:dyDescent="0.3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9"/>
      <c r="M919" s="30"/>
      <c r="N919" s="50"/>
      <c r="O919" s="49"/>
    </row>
    <row r="920" spans="1:15" ht="15.75" customHeight="1" x14ac:dyDescent="0.3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9"/>
      <c r="M920" s="30"/>
      <c r="N920" s="50"/>
      <c r="O920" s="49"/>
    </row>
    <row r="921" spans="1:15" ht="15.75" customHeight="1" x14ac:dyDescent="0.3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9"/>
      <c r="M921" s="30"/>
      <c r="N921" s="50"/>
      <c r="O921" s="49"/>
    </row>
    <row r="922" spans="1:15" ht="15.75" customHeight="1" x14ac:dyDescent="0.3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9"/>
      <c r="M922" s="30"/>
      <c r="N922" s="50"/>
      <c r="O922" s="49"/>
    </row>
    <row r="923" spans="1:15" ht="15.75" customHeight="1" x14ac:dyDescent="0.3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9"/>
      <c r="M923" s="30"/>
      <c r="N923" s="50"/>
      <c r="O923" s="49"/>
    </row>
    <row r="924" spans="1:15" ht="15.75" customHeight="1" x14ac:dyDescent="0.3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9"/>
      <c r="M924" s="30"/>
      <c r="N924" s="50"/>
      <c r="O924" s="49"/>
    </row>
    <row r="925" spans="1:15" ht="15.75" customHeight="1" x14ac:dyDescent="0.3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9"/>
      <c r="M925" s="30"/>
      <c r="N925" s="50"/>
      <c r="O925" s="49"/>
    </row>
    <row r="926" spans="1:15" ht="15.75" customHeight="1" x14ac:dyDescent="0.3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9"/>
      <c r="M926" s="30"/>
      <c r="N926" s="50"/>
      <c r="O926" s="49"/>
    </row>
    <row r="927" spans="1:15" ht="15.75" customHeight="1" x14ac:dyDescent="0.3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9"/>
      <c r="M927" s="30"/>
      <c r="N927" s="50"/>
      <c r="O927" s="49"/>
    </row>
    <row r="928" spans="1:15" ht="15.75" customHeight="1" x14ac:dyDescent="0.3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9"/>
      <c r="M928" s="30"/>
      <c r="N928" s="50"/>
      <c r="O928" s="49"/>
    </row>
    <row r="929" spans="1:15" ht="15.75" customHeight="1" x14ac:dyDescent="0.3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9"/>
      <c r="M929" s="30"/>
      <c r="N929" s="50"/>
      <c r="O929" s="49"/>
    </row>
    <row r="930" spans="1:15" ht="15.75" customHeight="1" x14ac:dyDescent="0.3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9"/>
      <c r="M930" s="30"/>
      <c r="N930" s="50"/>
      <c r="O930" s="49"/>
    </row>
    <row r="931" spans="1:15" ht="15.75" customHeight="1" x14ac:dyDescent="0.3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9"/>
      <c r="M931" s="30"/>
      <c r="N931" s="50"/>
      <c r="O931" s="49"/>
    </row>
    <row r="932" spans="1:15" ht="15.75" customHeight="1" x14ac:dyDescent="0.3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9"/>
      <c r="M932" s="30"/>
      <c r="N932" s="50"/>
      <c r="O932" s="49"/>
    </row>
    <row r="933" spans="1:15" ht="15.75" customHeight="1" x14ac:dyDescent="0.3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9"/>
      <c r="M933" s="30"/>
      <c r="N933" s="50"/>
      <c r="O933" s="49"/>
    </row>
    <row r="934" spans="1:15" ht="15.75" customHeight="1" x14ac:dyDescent="0.3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9"/>
      <c r="M934" s="30"/>
      <c r="N934" s="50"/>
      <c r="O934" s="49"/>
    </row>
    <row r="935" spans="1:15" ht="15.75" customHeight="1" x14ac:dyDescent="0.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9"/>
      <c r="M935" s="30"/>
      <c r="N935" s="50"/>
      <c r="O935" s="49"/>
    </row>
    <row r="936" spans="1:15" ht="15.75" customHeight="1" x14ac:dyDescent="0.3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9"/>
      <c r="M936" s="30"/>
      <c r="N936" s="50"/>
      <c r="O936" s="49"/>
    </row>
    <row r="937" spans="1:15" ht="15.75" customHeight="1" x14ac:dyDescent="0.3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9"/>
      <c r="M937" s="30"/>
      <c r="N937" s="50"/>
      <c r="O937" s="49"/>
    </row>
    <row r="938" spans="1:15" ht="15.75" customHeight="1" x14ac:dyDescent="0.3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9"/>
      <c r="M938" s="30"/>
      <c r="N938" s="50"/>
      <c r="O938" s="49"/>
    </row>
    <row r="939" spans="1:15" ht="15.75" customHeight="1" x14ac:dyDescent="0.3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9"/>
      <c r="M939" s="30"/>
      <c r="N939" s="50"/>
      <c r="O939" s="49"/>
    </row>
    <row r="940" spans="1:15" ht="15.75" customHeight="1" x14ac:dyDescent="0.3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9"/>
      <c r="M940" s="30"/>
      <c r="N940" s="50"/>
      <c r="O940" s="49"/>
    </row>
    <row r="941" spans="1:15" ht="15.75" customHeight="1" x14ac:dyDescent="0.3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9"/>
      <c r="M941" s="30"/>
      <c r="N941" s="50"/>
      <c r="O941" s="49"/>
    </row>
    <row r="942" spans="1:15" ht="15.75" customHeight="1" x14ac:dyDescent="0.3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9"/>
      <c r="M942" s="30"/>
      <c r="N942" s="50"/>
      <c r="O942" s="49"/>
    </row>
    <row r="943" spans="1:15" ht="15.75" customHeight="1" x14ac:dyDescent="0.3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9"/>
      <c r="M943" s="30"/>
      <c r="N943" s="50"/>
      <c r="O943" s="49"/>
    </row>
    <row r="944" spans="1:15" ht="15.75" customHeight="1" x14ac:dyDescent="0.3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9"/>
      <c r="M944" s="30"/>
      <c r="N944" s="50"/>
      <c r="O944" s="49"/>
    </row>
    <row r="945" spans="1:15" ht="15.75" customHeight="1" x14ac:dyDescent="0.3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9"/>
      <c r="M945" s="30"/>
      <c r="N945" s="50"/>
      <c r="O945" s="49"/>
    </row>
    <row r="946" spans="1:15" ht="15.75" customHeight="1" x14ac:dyDescent="0.3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9"/>
      <c r="M946" s="30"/>
      <c r="N946" s="50"/>
      <c r="O946" s="49"/>
    </row>
    <row r="947" spans="1:15" ht="15.75" customHeight="1" x14ac:dyDescent="0.3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9"/>
      <c r="M947" s="30"/>
      <c r="N947" s="50"/>
      <c r="O947" s="49"/>
    </row>
    <row r="948" spans="1:15" ht="15.75" customHeight="1" x14ac:dyDescent="0.3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9"/>
      <c r="M948" s="30"/>
      <c r="N948" s="50"/>
      <c r="O948" s="49"/>
    </row>
    <row r="949" spans="1:15" ht="15.75" customHeight="1" x14ac:dyDescent="0.3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9"/>
      <c r="M949" s="30"/>
      <c r="N949" s="50"/>
      <c r="O949" s="49"/>
    </row>
    <row r="950" spans="1:15" ht="15.75" customHeight="1" x14ac:dyDescent="0.3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9"/>
      <c r="M950" s="30"/>
      <c r="N950" s="50"/>
      <c r="O950" s="49"/>
    </row>
    <row r="951" spans="1:15" ht="15.75" customHeight="1" x14ac:dyDescent="0.3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9"/>
      <c r="M951" s="30"/>
      <c r="N951" s="50"/>
      <c r="O951" s="49"/>
    </row>
    <row r="952" spans="1:15" ht="15.75" customHeight="1" x14ac:dyDescent="0.3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9"/>
      <c r="M952" s="30"/>
      <c r="N952" s="50"/>
      <c r="O952" s="49"/>
    </row>
    <row r="953" spans="1:15" ht="15.75" customHeight="1" x14ac:dyDescent="0.3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9"/>
      <c r="M953" s="30"/>
      <c r="N953" s="50"/>
      <c r="O953" s="49"/>
    </row>
    <row r="954" spans="1:15" ht="15.75" customHeight="1" x14ac:dyDescent="0.3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9"/>
      <c r="M954" s="30"/>
      <c r="N954" s="50"/>
      <c r="O954" s="49"/>
    </row>
    <row r="955" spans="1:15" ht="15.75" customHeight="1" x14ac:dyDescent="0.3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9"/>
      <c r="M955" s="30"/>
      <c r="N955" s="50"/>
      <c r="O955" s="49"/>
    </row>
    <row r="956" spans="1:15" ht="15.75" customHeight="1" x14ac:dyDescent="0.3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9"/>
      <c r="M956" s="30"/>
      <c r="N956" s="50"/>
      <c r="O956" s="49"/>
    </row>
    <row r="957" spans="1:15" ht="15.75" customHeight="1" x14ac:dyDescent="0.3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9"/>
      <c r="M957" s="30"/>
      <c r="N957" s="50"/>
      <c r="O957" s="49"/>
    </row>
    <row r="958" spans="1:15" ht="15.75" customHeight="1" x14ac:dyDescent="0.3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9"/>
      <c r="M958" s="30"/>
      <c r="N958" s="50"/>
      <c r="O958" s="49"/>
    </row>
    <row r="959" spans="1:15" ht="15.75" customHeight="1" x14ac:dyDescent="0.3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9"/>
      <c r="M959" s="30"/>
      <c r="N959" s="50"/>
      <c r="O959" s="49"/>
    </row>
    <row r="960" spans="1:15" ht="15.75" customHeight="1" x14ac:dyDescent="0.3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9"/>
      <c r="M960" s="30"/>
      <c r="N960" s="50"/>
      <c r="O960" s="49"/>
    </row>
    <row r="961" spans="1:15" ht="15.75" customHeight="1" x14ac:dyDescent="0.3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9"/>
      <c r="M961" s="30"/>
      <c r="N961" s="50"/>
      <c r="O961" s="49"/>
    </row>
    <row r="962" spans="1:15" ht="15.75" customHeight="1" x14ac:dyDescent="0.3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9"/>
      <c r="M962" s="30"/>
      <c r="N962" s="50"/>
      <c r="O962" s="49"/>
    </row>
    <row r="963" spans="1:15" ht="15.75" customHeight="1" x14ac:dyDescent="0.3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9"/>
      <c r="M963" s="30"/>
      <c r="N963" s="50"/>
      <c r="O963" s="49"/>
    </row>
    <row r="964" spans="1:15" ht="15.75" customHeight="1" x14ac:dyDescent="0.3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9"/>
      <c r="M964" s="30"/>
      <c r="N964" s="50"/>
      <c r="O964" s="49"/>
    </row>
    <row r="965" spans="1:15" ht="15.75" customHeight="1" x14ac:dyDescent="0.3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9"/>
      <c r="M965" s="30"/>
      <c r="N965" s="50"/>
      <c r="O965" s="49"/>
    </row>
    <row r="966" spans="1:15" ht="15.75" customHeight="1" x14ac:dyDescent="0.3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9"/>
      <c r="M966" s="30"/>
      <c r="N966" s="50"/>
      <c r="O966" s="49"/>
    </row>
    <row r="967" spans="1:15" ht="15.75" customHeight="1" x14ac:dyDescent="0.3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9"/>
      <c r="M967" s="30"/>
      <c r="N967" s="50"/>
      <c r="O967" s="49"/>
    </row>
    <row r="968" spans="1:15" ht="15.75" customHeight="1" x14ac:dyDescent="0.3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9"/>
      <c r="M968" s="30"/>
      <c r="N968" s="50"/>
      <c r="O968" s="49"/>
    </row>
    <row r="969" spans="1:15" ht="15.75" customHeight="1" x14ac:dyDescent="0.3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9"/>
      <c r="M969" s="30"/>
      <c r="N969" s="50"/>
      <c r="O969" s="49"/>
    </row>
    <row r="970" spans="1:15" ht="15.75" customHeight="1" x14ac:dyDescent="0.3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9"/>
      <c r="M970" s="30"/>
      <c r="N970" s="50"/>
      <c r="O970" s="49"/>
    </row>
    <row r="971" spans="1:15" ht="15.75" customHeight="1" x14ac:dyDescent="0.3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9"/>
      <c r="M971" s="30"/>
      <c r="N971" s="50"/>
      <c r="O971" s="49"/>
    </row>
    <row r="972" spans="1:15" ht="15.75" customHeight="1" x14ac:dyDescent="0.3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9"/>
      <c r="M972" s="30"/>
      <c r="N972" s="50"/>
      <c r="O972" s="49"/>
    </row>
    <row r="973" spans="1:15" ht="15.75" customHeight="1" x14ac:dyDescent="0.3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9"/>
      <c r="M973" s="30"/>
      <c r="N973" s="50"/>
      <c r="O973" s="49"/>
    </row>
    <row r="974" spans="1:15" ht="15.75" customHeight="1" x14ac:dyDescent="0.3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9"/>
      <c r="M974" s="30"/>
      <c r="N974" s="50"/>
      <c r="O974" s="49"/>
    </row>
    <row r="975" spans="1:15" ht="15.75" customHeight="1" x14ac:dyDescent="0.3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9"/>
      <c r="M975" s="30"/>
      <c r="N975" s="50"/>
      <c r="O975" s="49"/>
    </row>
    <row r="976" spans="1:15" ht="15.75" customHeight="1" x14ac:dyDescent="0.3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9"/>
      <c r="M976" s="30"/>
      <c r="N976" s="50"/>
      <c r="O976" s="49"/>
    </row>
    <row r="977" spans="1:15" ht="15.75" customHeight="1" x14ac:dyDescent="0.3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9"/>
      <c r="M977" s="30"/>
      <c r="N977" s="50"/>
      <c r="O977" s="49"/>
    </row>
    <row r="978" spans="1:15" ht="15.75" customHeight="1" x14ac:dyDescent="0.3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9"/>
      <c r="M978" s="30"/>
      <c r="N978" s="50"/>
      <c r="O978" s="49"/>
    </row>
    <row r="979" spans="1:15" ht="15.75" customHeight="1" x14ac:dyDescent="0.3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9"/>
      <c r="M979" s="30"/>
      <c r="N979" s="50"/>
      <c r="O979" s="49"/>
    </row>
    <row r="980" spans="1:15" ht="15.75" customHeight="1" x14ac:dyDescent="0.3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9"/>
      <c r="M980" s="30"/>
      <c r="N980" s="50"/>
      <c r="O980" s="49"/>
    </row>
    <row r="981" spans="1:15" ht="15.75" customHeight="1" x14ac:dyDescent="0.3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9"/>
      <c r="M981" s="30"/>
      <c r="N981" s="50"/>
      <c r="O981" s="49"/>
    </row>
    <row r="982" spans="1:15" ht="15.75" customHeight="1" x14ac:dyDescent="0.3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9"/>
      <c r="M982" s="30"/>
      <c r="N982" s="50"/>
      <c r="O982" s="49"/>
    </row>
    <row r="983" spans="1:15" ht="15.75" customHeight="1" x14ac:dyDescent="0.35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9"/>
      <c r="M983" s="30"/>
      <c r="N983" s="50"/>
      <c r="O983" s="49"/>
    </row>
    <row r="984" spans="1:15" ht="15.75" customHeight="1" x14ac:dyDescent="0.3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9"/>
      <c r="M984" s="30"/>
      <c r="N984" s="50"/>
      <c r="O984" s="49"/>
    </row>
    <row r="985" spans="1:15" ht="15.75" customHeight="1" x14ac:dyDescent="0.3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9"/>
      <c r="M985" s="30"/>
      <c r="N985" s="50"/>
      <c r="O985" s="49"/>
    </row>
    <row r="986" spans="1:15" ht="15.75" customHeight="1" x14ac:dyDescent="0.3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9"/>
      <c r="M986" s="30"/>
      <c r="N986" s="50"/>
      <c r="O986" s="49"/>
    </row>
    <row r="987" spans="1:15" ht="15.75" customHeight="1" x14ac:dyDescent="0.35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9"/>
      <c r="M987" s="30"/>
      <c r="N987" s="50"/>
      <c r="O987" s="49"/>
    </row>
    <row r="988" spans="1:15" ht="15.75" customHeight="1" x14ac:dyDescent="0.3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9"/>
      <c r="M988" s="30"/>
      <c r="N988" s="50"/>
      <c r="O988" s="49"/>
    </row>
    <row r="989" spans="1:15" ht="15.75" customHeight="1" x14ac:dyDescent="0.3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9"/>
      <c r="M989" s="30"/>
      <c r="N989" s="50"/>
      <c r="O989" s="49"/>
    </row>
    <row r="990" spans="1:15" ht="15.75" customHeight="1" x14ac:dyDescent="0.3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9"/>
      <c r="M990" s="30"/>
      <c r="N990" s="50"/>
      <c r="O990" s="49"/>
    </row>
    <row r="991" spans="1:15" ht="15.75" customHeight="1" x14ac:dyDescent="0.3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9"/>
      <c r="M991" s="30"/>
      <c r="N991" s="50"/>
      <c r="O991" s="49"/>
    </row>
    <row r="992" spans="1:15" ht="15.75" customHeight="1" x14ac:dyDescent="0.3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9"/>
      <c r="M992" s="30"/>
      <c r="N992" s="50"/>
      <c r="O992" s="49"/>
    </row>
    <row r="993" spans="1:15" ht="15.75" customHeight="1" x14ac:dyDescent="0.3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9"/>
      <c r="M993" s="30"/>
      <c r="N993" s="50"/>
      <c r="O993" s="49"/>
    </row>
    <row r="994" spans="1:15" ht="15.75" customHeight="1" x14ac:dyDescent="0.3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9"/>
      <c r="M994" s="30"/>
      <c r="N994" s="50"/>
      <c r="O994" s="49"/>
    </row>
    <row r="995" spans="1:15" ht="15.75" customHeight="1" x14ac:dyDescent="0.3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9"/>
      <c r="M995" s="30"/>
      <c r="N995" s="50"/>
      <c r="O995" s="49"/>
    </row>
    <row r="996" spans="1:15" ht="15.75" customHeight="1" x14ac:dyDescent="0.3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9"/>
      <c r="M996" s="30"/>
      <c r="N996" s="50"/>
      <c r="O996" s="49"/>
    </row>
    <row r="997" spans="1:15" ht="15.75" customHeight="1" x14ac:dyDescent="0.35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9"/>
      <c r="M997" s="30"/>
      <c r="N997" s="50"/>
      <c r="O997" s="49"/>
    </row>
    <row r="998" spans="1:15" ht="15.75" customHeight="1" x14ac:dyDescent="0.3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9"/>
      <c r="M998" s="30"/>
      <c r="N998" s="50"/>
      <c r="O998" s="49"/>
    </row>
  </sheetData>
  <autoFilter ref="A2:O96" xr:uid="{00000000-0009-0000-0000-000001000000}">
    <sortState xmlns:xlrd2="http://schemas.microsoft.com/office/spreadsheetml/2017/richdata2" ref="A3:O96">
      <sortCondition ref="L2:L96"/>
    </sortState>
  </autoFilter>
  <pageMargins left="0.7" right="0.7" top="0.75" bottom="0.75" header="0" footer="0"/>
  <pageSetup paperSize="8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E470-90DF-45C5-88F0-12F05B3DDB95}">
  <dimension ref="A1:R995"/>
  <sheetViews>
    <sheetView zoomScale="90" zoomScaleNormal="90" workbookViewId="0">
      <selection activeCell="S19" sqref="S19"/>
    </sheetView>
  </sheetViews>
  <sheetFormatPr defaultColWidth="14.453125" defaultRowHeight="15" customHeight="1" x14ac:dyDescent="0.35"/>
  <cols>
    <col min="1" max="1" width="22" customWidth="1"/>
    <col min="2" max="2" width="5.26953125" customWidth="1"/>
    <col min="3" max="3" width="7.54296875" customWidth="1"/>
    <col min="4" max="10" width="7.7265625" customWidth="1"/>
    <col min="11" max="11" width="9" customWidth="1"/>
    <col min="12" max="12" width="10.54296875" customWidth="1"/>
    <col min="13" max="13" width="10.1796875" customWidth="1"/>
    <col min="14" max="14" width="9.7265625" customWidth="1"/>
    <col min="15" max="15" width="5.7265625" style="62" customWidth="1"/>
    <col min="16" max="16" width="10.26953125" customWidth="1"/>
    <col min="17" max="25" width="8.7265625" customWidth="1"/>
  </cols>
  <sheetData>
    <row r="1" spans="1:18" ht="44.25" customHeight="1" x14ac:dyDescent="0.35">
      <c r="A1" s="51" t="s">
        <v>125</v>
      </c>
      <c r="B1" s="40"/>
      <c r="C1" s="40"/>
      <c r="D1" s="41"/>
      <c r="E1" s="42"/>
      <c r="F1" s="41"/>
      <c r="G1" s="43"/>
      <c r="H1" s="43"/>
      <c r="I1" s="41"/>
      <c r="J1" s="42"/>
      <c r="K1" s="43"/>
      <c r="M1" s="39"/>
      <c r="N1" s="44"/>
      <c r="O1" s="45"/>
      <c r="P1" s="65" t="s">
        <v>141</v>
      </c>
    </row>
    <row r="2" spans="1:18" ht="42" customHeight="1" x14ac:dyDescent="0.35">
      <c r="A2" s="46" t="s">
        <v>12</v>
      </c>
      <c r="B2" s="46" t="s">
        <v>13</v>
      </c>
      <c r="C2" s="46" t="s">
        <v>14</v>
      </c>
      <c r="D2" s="47" t="s">
        <v>127</v>
      </c>
      <c r="E2" s="47" t="s">
        <v>8</v>
      </c>
      <c r="F2" s="47" t="s">
        <v>9</v>
      </c>
      <c r="G2" s="47" t="s">
        <v>10</v>
      </c>
      <c r="H2" s="47" t="s">
        <v>11</v>
      </c>
      <c r="I2" s="79" t="s">
        <v>128</v>
      </c>
      <c r="J2" s="47" t="s">
        <v>129</v>
      </c>
      <c r="K2" s="47" t="s">
        <v>139</v>
      </c>
      <c r="L2" s="47" t="s">
        <v>130</v>
      </c>
      <c r="M2" s="48" t="s">
        <v>143</v>
      </c>
      <c r="N2" s="67" t="s">
        <v>142</v>
      </c>
      <c r="O2" s="63" t="s">
        <v>132</v>
      </c>
      <c r="P2" s="66" t="s">
        <v>140</v>
      </c>
    </row>
    <row r="3" spans="1:18" ht="14.5" x14ac:dyDescent="0.35">
      <c r="A3" s="54" t="s">
        <v>36</v>
      </c>
      <c r="B3" s="55" t="s">
        <v>58</v>
      </c>
      <c r="C3" s="55" t="s">
        <v>134</v>
      </c>
      <c r="D3" s="55"/>
      <c r="E3" s="55">
        <v>116</v>
      </c>
      <c r="F3" s="55">
        <v>116</v>
      </c>
      <c r="G3" s="55"/>
      <c r="H3" s="55">
        <v>106</v>
      </c>
      <c r="I3" s="70"/>
      <c r="J3" s="55"/>
      <c r="K3" s="80">
        <v>120</v>
      </c>
      <c r="L3" s="69">
        <f>AVERAGE(D3:J3)</f>
        <v>112.66666666666667</v>
      </c>
      <c r="M3" s="69">
        <f t="shared" ref="M3:M32" si="0">MIN(13.2, MAX(0, 120 - L3) * 0.66)</f>
        <v>4.8399999999999972</v>
      </c>
      <c r="N3" s="58">
        <f t="shared" ref="N3:N34" si="1">K3</f>
        <v>120</v>
      </c>
      <c r="O3" s="60">
        <v>11</v>
      </c>
      <c r="P3" s="59">
        <f t="shared" ref="P3:P34" si="2">IF(ISBLANK(K3), 0, K3 + M3)</f>
        <v>124.84</v>
      </c>
    </row>
    <row r="4" spans="1:18" ht="14.5" x14ac:dyDescent="0.35">
      <c r="A4" s="54" t="s">
        <v>61</v>
      </c>
      <c r="B4" s="55" t="s">
        <v>58</v>
      </c>
      <c r="C4" s="55" t="s">
        <v>59</v>
      </c>
      <c r="D4" s="55"/>
      <c r="E4" s="55"/>
      <c r="F4" s="55"/>
      <c r="G4" s="55"/>
      <c r="H4" s="55">
        <v>112</v>
      </c>
      <c r="I4" s="70"/>
      <c r="J4" s="55">
        <v>109</v>
      </c>
      <c r="K4" s="80">
        <v>118</v>
      </c>
      <c r="L4" s="69">
        <f>AVERAGE(D4:J4)</f>
        <v>110.5</v>
      </c>
      <c r="M4" s="69">
        <f t="shared" si="0"/>
        <v>6.2700000000000005</v>
      </c>
      <c r="N4" s="58">
        <f t="shared" si="1"/>
        <v>118</v>
      </c>
      <c r="O4" s="60">
        <v>12</v>
      </c>
      <c r="P4" s="59">
        <f t="shared" si="2"/>
        <v>124.27</v>
      </c>
    </row>
    <row r="5" spans="1:18" ht="14.5" x14ac:dyDescent="0.35">
      <c r="A5" s="54" t="s">
        <v>111</v>
      </c>
      <c r="B5" s="55" t="s">
        <v>58</v>
      </c>
      <c r="C5" s="55" t="s">
        <v>136</v>
      </c>
      <c r="D5" s="55"/>
      <c r="E5" s="55">
        <v>115</v>
      </c>
      <c r="F5" s="55">
        <v>118</v>
      </c>
      <c r="G5" s="55">
        <v>111</v>
      </c>
      <c r="H5" s="55">
        <v>104</v>
      </c>
      <c r="I5" s="70"/>
      <c r="J5" s="55"/>
      <c r="K5" s="80">
        <v>120</v>
      </c>
      <c r="L5" s="69">
        <f>AVERAGE(D5:K5)</f>
        <v>113.6</v>
      </c>
      <c r="M5" s="69">
        <f t="shared" si="0"/>
        <v>4.2240000000000038</v>
      </c>
      <c r="N5" s="58">
        <f t="shared" si="1"/>
        <v>120</v>
      </c>
      <c r="O5" s="60">
        <v>9</v>
      </c>
      <c r="P5" s="59">
        <f t="shared" si="2"/>
        <v>124.224</v>
      </c>
    </row>
    <row r="6" spans="1:18" ht="14.5" x14ac:dyDescent="0.35">
      <c r="A6" s="54" t="s">
        <v>84</v>
      </c>
      <c r="B6" s="55" t="s">
        <v>58</v>
      </c>
      <c r="C6" s="55" t="s">
        <v>83</v>
      </c>
      <c r="D6" s="55">
        <v>116</v>
      </c>
      <c r="E6" s="55"/>
      <c r="F6" s="55">
        <v>109</v>
      </c>
      <c r="G6" s="55">
        <v>106</v>
      </c>
      <c r="H6" s="55"/>
      <c r="I6" s="70"/>
      <c r="J6" s="55">
        <v>111</v>
      </c>
      <c r="K6" s="80">
        <v>119</v>
      </c>
      <c r="L6" s="69">
        <f>AVERAGE(D6:K6)</f>
        <v>112.2</v>
      </c>
      <c r="M6" s="69">
        <f t="shared" si="0"/>
        <v>5.1479999999999988</v>
      </c>
      <c r="N6" s="58">
        <f t="shared" si="1"/>
        <v>119</v>
      </c>
      <c r="O6" s="60">
        <v>7</v>
      </c>
      <c r="P6" s="59">
        <f t="shared" si="2"/>
        <v>124.148</v>
      </c>
    </row>
    <row r="7" spans="1:18" ht="14.5" x14ac:dyDescent="0.35">
      <c r="A7" s="54" t="s">
        <v>70</v>
      </c>
      <c r="B7" s="55" t="s">
        <v>58</v>
      </c>
      <c r="C7" s="55" t="s">
        <v>59</v>
      </c>
      <c r="D7" s="55">
        <v>116</v>
      </c>
      <c r="E7" s="55"/>
      <c r="F7" s="55"/>
      <c r="G7" s="55">
        <v>110</v>
      </c>
      <c r="H7" s="55">
        <v>106</v>
      </c>
      <c r="I7" s="70"/>
      <c r="J7" s="55">
        <v>105</v>
      </c>
      <c r="K7" s="80">
        <v>118</v>
      </c>
      <c r="L7" s="69">
        <f>AVERAGE(D7:K7)</f>
        <v>111</v>
      </c>
      <c r="M7" s="69">
        <f t="shared" si="0"/>
        <v>5.94</v>
      </c>
      <c r="N7" s="58">
        <f t="shared" si="1"/>
        <v>118</v>
      </c>
      <c r="O7" s="60">
        <v>8</v>
      </c>
      <c r="P7" s="59">
        <f t="shared" si="2"/>
        <v>123.94</v>
      </c>
    </row>
    <row r="8" spans="1:18" ht="14.5" x14ac:dyDescent="0.35">
      <c r="A8" s="54" t="s">
        <v>101</v>
      </c>
      <c r="B8" s="55" t="s">
        <v>58</v>
      </c>
      <c r="C8" s="55" t="s">
        <v>144</v>
      </c>
      <c r="D8" s="55">
        <v>116</v>
      </c>
      <c r="E8" s="55">
        <v>116</v>
      </c>
      <c r="F8" s="55">
        <v>117</v>
      </c>
      <c r="G8" s="55">
        <v>120</v>
      </c>
      <c r="H8" s="55">
        <v>109</v>
      </c>
      <c r="I8" s="70"/>
      <c r="J8" s="55">
        <v>113</v>
      </c>
      <c r="K8" s="80">
        <v>120</v>
      </c>
      <c r="L8" s="69">
        <f>AVERAGE(D8:K8)</f>
        <v>115.85714285714286</v>
      </c>
      <c r="M8" s="69">
        <f t="shared" si="0"/>
        <v>2.7342857142857118</v>
      </c>
      <c r="N8" s="58">
        <f t="shared" si="1"/>
        <v>120</v>
      </c>
      <c r="O8" s="60">
        <v>13</v>
      </c>
      <c r="P8" s="59">
        <f t="shared" si="2"/>
        <v>122.73428571428572</v>
      </c>
    </row>
    <row r="9" spans="1:18" ht="14.5" x14ac:dyDescent="0.35">
      <c r="A9" s="54" t="s">
        <v>75</v>
      </c>
      <c r="B9" s="55" t="s">
        <v>58</v>
      </c>
      <c r="C9" s="55" t="s">
        <v>59</v>
      </c>
      <c r="D9" s="55"/>
      <c r="E9" s="55"/>
      <c r="F9" s="55">
        <v>110</v>
      </c>
      <c r="G9" s="55">
        <v>106</v>
      </c>
      <c r="H9" s="55">
        <v>114</v>
      </c>
      <c r="I9" s="70"/>
      <c r="J9" s="55"/>
      <c r="K9" s="80">
        <v>117</v>
      </c>
      <c r="L9" s="69">
        <f>AVERAGE(D9:K9)</f>
        <v>111.75</v>
      </c>
      <c r="M9" s="69">
        <f t="shared" si="0"/>
        <v>5.4450000000000003</v>
      </c>
      <c r="N9" s="58">
        <f t="shared" si="1"/>
        <v>117</v>
      </c>
      <c r="O9" s="60">
        <v>8</v>
      </c>
      <c r="P9" s="59">
        <f t="shared" si="2"/>
        <v>122.44499999999999</v>
      </c>
    </row>
    <row r="10" spans="1:18" ht="14.5" x14ac:dyDescent="0.35">
      <c r="A10" s="54" t="s">
        <v>123</v>
      </c>
      <c r="B10" s="55" t="s">
        <v>58</v>
      </c>
      <c r="C10" s="55" t="s">
        <v>136</v>
      </c>
      <c r="D10" s="55"/>
      <c r="E10" s="55"/>
      <c r="F10" s="55"/>
      <c r="G10" s="55">
        <v>98</v>
      </c>
      <c r="H10" s="55">
        <v>96</v>
      </c>
      <c r="I10" s="70"/>
      <c r="J10" s="55"/>
      <c r="K10" s="80">
        <v>109</v>
      </c>
      <c r="L10" s="69">
        <f>AVERAGE(D10:J10)</f>
        <v>97</v>
      </c>
      <c r="M10" s="69">
        <f t="shared" si="0"/>
        <v>13.2</v>
      </c>
      <c r="N10" s="58">
        <f t="shared" si="1"/>
        <v>109</v>
      </c>
      <c r="O10" s="60">
        <v>6</v>
      </c>
      <c r="P10" s="59">
        <f t="shared" si="2"/>
        <v>122.2</v>
      </c>
    </row>
    <row r="11" spans="1:18" ht="14.5" x14ac:dyDescent="0.35">
      <c r="A11" s="54" t="s">
        <v>34</v>
      </c>
      <c r="B11" s="55" t="s">
        <v>58</v>
      </c>
      <c r="C11" s="55" t="s">
        <v>134</v>
      </c>
      <c r="D11" s="55">
        <v>119</v>
      </c>
      <c r="E11" s="55"/>
      <c r="F11" s="55"/>
      <c r="G11" s="55">
        <v>112</v>
      </c>
      <c r="H11" s="55">
        <v>115</v>
      </c>
      <c r="I11" s="70"/>
      <c r="J11" s="55"/>
      <c r="K11" s="80">
        <v>119</v>
      </c>
      <c r="L11" s="69">
        <f>AVERAGE(D11:J11)</f>
        <v>115.33333333333333</v>
      </c>
      <c r="M11" s="69">
        <f t="shared" si="0"/>
        <v>3.0800000000000032</v>
      </c>
      <c r="N11" s="58">
        <f t="shared" si="1"/>
        <v>119</v>
      </c>
      <c r="O11" s="60">
        <v>7</v>
      </c>
      <c r="P11" s="59">
        <f t="shared" si="2"/>
        <v>122.08</v>
      </c>
    </row>
    <row r="12" spans="1:18" ht="14.5" x14ac:dyDescent="0.35">
      <c r="A12" s="54" t="s">
        <v>64</v>
      </c>
      <c r="B12" s="55" t="s">
        <v>58</v>
      </c>
      <c r="C12" s="55" t="s">
        <v>59</v>
      </c>
      <c r="D12" s="55">
        <v>117</v>
      </c>
      <c r="E12" s="55">
        <v>119</v>
      </c>
      <c r="F12" s="55"/>
      <c r="G12" s="55"/>
      <c r="H12" s="55"/>
      <c r="I12" s="70"/>
      <c r="J12" s="55"/>
      <c r="K12" s="80">
        <v>120</v>
      </c>
      <c r="L12" s="69">
        <f>AVERAGE(D12:J12)</f>
        <v>118</v>
      </c>
      <c r="M12" s="69">
        <f t="shared" si="0"/>
        <v>1.32</v>
      </c>
      <c r="N12" s="58">
        <f t="shared" si="1"/>
        <v>120</v>
      </c>
      <c r="O12" s="60">
        <v>14</v>
      </c>
      <c r="P12" s="59">
        <f t="shared" si="2"/>
        <v>121.32</v>
      </c>
    </row>
    <row r="13" spans="1:18" ht="14.5" x14ac:dyDescent="0.35">
      <c r="A13" s="54" t="s">
        <v>76</v>
      </c>
      <c r="B13" s="55" t="s">
        <v>58</v>
      </c>
      <c r="C13" s="55" t="s">
        <v>134</v>
      </c>
      <c r="D13" s="55"/>
      <c r="E13" s="55">
        <v>113</v>
      </c>
      <c r="F13" s="55">
        <v>111</v>
      </c>
      <c r="G13" s="55">
        <v>113</v>
      </c>
      <c r="H13" s="55">
        <v>101</v>
      </c>
      <c r="I13" s="70"/>
      <c r="J13" s="55">
        <v>112</v>
      </c>
      <c r="K13" s="80">
        <v>115</v>
      </c>
      <c r="L13" s="69">
        <f>AVERAGE(D13:K13)</f>
        <v>110.83333333333333</v>
      </c>
      <c r="M13" s="69">
        <f t="shared" si="0"/>
        <v>6.0500000000000034</v>
      </c>
      <c r="N13" s="58">
        <f t="shared" si="1"/>
        <v>115</v>
      </c>
      <c r="O13" s="60">
        <v>6</v>
      </c>
      <c r="P13" s="59">
        <f t="shared" si="2"/>
        <v>121.05</v>
      </c>
    </row>
    <row r="14" spans="1:18" ht="14.5" x14ac:dyDescent="0.35">
      <c r="A14" s="54" t="s">
        <v>53</v>
      </c>
      <c r="B14" s="55" t="s">
        <v>58</v>
      </c>
      <c r="C14" s="55" t="s">
        <v>134</v>
      </c>
      <c r="D14" s="55"/>
      <c r="E14" s="55"/>
      <c r="F14" s="55">
        <v>119</v>
      </c>
      <c r="G14" s="55">
        <v>110</v>
      </c>
      <c r="H14" s="55"/>
      <c r="I14" s="70"/>
      <c r="J14" s="55">
        <v>119</v>
      </c>
      <c r="K14" s="80">
        <v>118</v>
      </c>
      <c r="L14" s="69">
        <f>AVERAGE(D14:K14)</f>
        <v>116.5</v>
      </c>
      <c r="M14" s="69">
        <f t="shared" si="0"/>
        <v>2.31</v>
      </c>
      <c r="N14" s="58">
        <f t="shared" si="1"/>
        <v>118</v>
      </c>
      <c r="O14" s="60">
        <v>11</v>
      </c>
      <c r="P14" s="59">
        <f t="shared" si="2"/>
        <v>120.31</v>
      </c>
      <c r="R14" s="82"/>
    </row>
    <row r="15" spans="1:18" ht="14.5" x14ac:dyDescent="0.35">
      <c r="A15" s="54" t="s">
        <v>60</v>
      </c>
      <c r="B15" s="55" t="s">
        <v>58</v>
      </c>
      <c r="C15" s="55" t="s">
        <v>134</v>
      </c>
      <c r="D15" s="55">
        <v>106</v>
      </c>
      <c r="E15" s="55">
        <v>112</v>
      </c>
      <c r="F15" s="55">
        <v>114</v>
      </c>
      <c r="G15" s="55">
        <v>102</v>
      </c>
      <c r="H15" s="55">
        <v>107</v>
      </c>
      <c r="I15" s="70"/>
      <c r="J15" s="55">
        <v>115</v>
      </c>
      <c r="K15" s="80">
        <v>113</v>
      </c>
      <c r="L15" s="69">
        <f>AVERAGE(D15:K15)</f>
        <v>109.85714285714286</v>
      </c>
      <c r="M15" s="69">
        <f t="shared" si="0"/>
        <v>6.6942857142857122</v>
      </c>
      <c r="N15" s="58">
        <f t="shared" si="1"/>
        <v>113</v>
      </c>
      <c r="O15" s="60">
        <v>6</v>
      </c>
      <c r="P15" s="59">
        <f t="shared" si="2"/>
        <v>119.69428571428571</v>
      </c>
    </row>
    <row r="16" spans="1:18" ht="14.5" x14ac:dyDescent="0.35">
      <c r="A16" s="78" t="s">
        <v>146</v>
      </c>
      <c r="B16" s="71" t="s">
        <v>58</v>
      </c>
      <c r="C16" s="71" t="s">
        <v>144</v>
      </c>
      <c r="D16" s="71"/>
      <c r="E16" s="71"/>
      <c r="F16" s="71"/>
      <c r="G16" s="71"/>
      <c r="H16" s="71"/>
      <c r="I16" s="72"/>
      <c r="J16" s="71">
        <v>119</v>
      </c>
      <c r="K16" s="81">
        <v>119</v>
      </c>
      <c r="L16" s="73">
        <f>AVERAGE(D16:J16)</f>
        <v>119</v>
      </c>
      <c r="M16" s="69">
        <f t="shared" si="0"/>
        <v>0.66</v>
      </c>
      <c r="N16" s="74">
        <f t="shared" si="1"/>
        <v>119</v>
      </c>
      <c r="O16" s="77">
        <v>10</v>
      </c>
      <c r="P16" s="76">
        <f t="shared" si="2"/>
        <v>119.66</v>
      </c>
    </row>
    <row r="17" spans="1:16" ht="14.5" x14ac:dyDescent="0.35">
      <c r="A17" s="54" t="s">
        <v>121</v>
      </c>
      <c r="B17" s="55" t="s">
        <v>58</v>
      </c>
      <c r="C17" s="55" t="s">
        <v>136</v>
      </c>
      <c r="D17" s="55"/>
      <c r="E17" s="55"/>
      <c r="F17" s="55">
        <v>116</v>
      </c>
      <c r="G17" s="55">
        <v>109</v>
      </c>
      <c r="H17" s="55">
        <v>107</v>
      </c>
      <c r="I17" s="70"/>
      <c r="J17" s="55"/>
      <c r="K17" s="80">
        <v>114</v>
      </c>
      <c r="L17" s="69">
        <f>AVERAGE(D17:K17)</f>
        <v>111.5</v>
      </c>
      <c r="M17" s="69">
        <f t="shared" si="0"/>
        <v>5.61</v>
      </c>
      <c r="N17" s="58">
        <f t="shared" si="1"/>
        <v>114</v>
      </c>
      <c r="O17" s="60">
        <v>6</v>
      </c>
      <c r="P17" s="59">
        <f t="shared" si="2"/>
        <v>119.61</v>
      </c>
    </row>
    <row r="18" spans="1:16" ht="14.5" x14ac:dyDescent="0.35">
      <c r="A18" s="54" t="s">
        <v>93</v>
      </c>
      <c r="B18" s="55" t="s">
        <v>58</v>
      </c>
      <c r="C18" s="55" t="s">
        <v>83</v>
      </c>
      <c r="D18" s="55"/>
      <c r="E18" s="55"/>
      <c r="F18" s="55"/>
      <c r="G18" s="55">
        <v>101</v>
      </c>
      <c r="H18" s="55">
        <v>107</v>
      </c>
      <c r="I18" s="70"/>
      <c r="J18" s="55"/>
      <c r="K18" s="80">
        <v>109</v>
      </c>
      <c r="L18" s="69">
        <f>AVERAGE(D18:J18)</f>
        <v>104</v>
      </c>
      <c r="M18" s="69">
        <f t="shared" si="0"/>
        <v>10.56</v>
      </c>
      <c r="N18" s="58">
        <f t="shared" si="1"/>
        <v>109</v>
      </c>
      <c r="O18" s="60">
        <v>8</v>
      </c>
      <c r="P18" s="59">
        <f t="shared" si="2"/>
        <v>119.56</v>
      </c>
    </row>
    <row r="19" spans="1:16" ht="15.75" customHeight="1" x14ac:dyDescent="0.35">
      <c r="A19" s="78" t="s">
        <v>51</v>
      </c>
      <c r="B19" s="71" t="s">
        <v>58</v>
      </c>
      <c r="C19" s="71" t="s">
        <v>134</v>
      </c>
      <c r="D19" s="71"/>
      <c r="E19" s="71"/>
      <c r="F19" s="71"/>
      <c r="G19" s="71"/>
      <c r="H19" s="71"/>
      <c r="I19" s="72"/>
      <c r="J19" s="71">
        <v>118</v>
      </c>
      <c r="K19" s="81">
        <v>118</v>
      </c>
      <c r="L19" s="73">
        <f>AVERAGE(D19:J19)</f>
        <v>118</v>
      </c>
      <c r="M19" s="69">
        <f t="shared" si="0"/>
        <v>1.32</v>
      </c>
      <c r="N19" s="74">
        <f t="shared" si="1"/>
        <v>118</v>
      </c>
      <c r="O19" s="77">
        <v>9</v>
      </c>
      <c r="P19" s="76">
        <f t="shared" si="2"/>
        <v>119.32</v>
      </c>
    </row>
    <row r="20" spans="1:16" ht="15.75" customHeight="1" x14ac:dyDescent="0.35">
      <c r="A20" s="78" t="s">
        <v>149</v>
      </c>
      <c r="B20" s="71" t="s">
        <v>58</v>
      </c>
      <c r="C20" s="71" t="s">
        <v>134</v>
      </c>
      <c r="D20" s="71"/>
      <c r="E20" s="71"/>
      <c r="F20" s="71"/>
      <c r="G20" s="71"/>
      <c r="H20" s="71"/>
      <c r="I20" s="72"/>
      <c r="J20" s="71">
        <v>117</v>
      </c>
      <c r="K20" s="81">
        <v>117</v>
      </c>
      <c r="L20" s="73">
        <f>AVERAGE(D20:J20)</f>
        <v>117</v>
      </c>
      <c r="M20" s="69">
        <f t="shared" si="0"/>
        <v>1.98</v>
      </c>
      <c r="N20" s="74">
        <f t="shared" si="1"/>
        <v>117</v>
      </c>
      <c r="O20" s="77">
        <v>8</v>
      </c>
      <c r="P20" s="76">
        <f t="shared" si="2"/>
        <v>118.98</v>
      </c>
    </row>
    <row r="21" spans="1:16" ht="15.75" customHeight="1" x14ac:dyDescent="0.35">
      <c r="A21" s="54" t="s">
        <v>19</v>
      </c>
      <c r="B21" s="55" t="s">
        <v>58</v>
      </c>
      <c r="C21" s="55" t="s">
        <v>134</v>
      </c>
      <c r="D21" s="55"/>
      <c r="E21" s="55">
        <v>114</v>
      </c>
      <c r="F21" s="55"/>
      <c r="G21" s="55"/>
      <c r="H21" s="55"/>
      <c r="I21" s="70"/>
      <c r="J21" s="55"/>
      <c r="K21" s="80">
        <v>115</v>
      </c>
      <c r="L21" s="69">
        <f>AVERAGE(D21:J21)</f>
        <v>114</v>
      </c>
      <c r="M21" s="69">
        <f t="shared" si="0"/>
        <v>3.96</v>
      </c>
      <c r="N21" s="58">
        <f t="shared" si="1"/>
        <v>115</v>
      </c>
      <c r="O21" s="60">
        <v>4</v>
      </c>
      <c r="P21" s="59">
        <f t="shared" si="2"/>
        <v>118.96</v>
      </c>
    </row>
    <row r="22" spans="1:16" ht="15.75" customHeight="1" x14ac:dyDescent="0.35">
      <c r="A22" s="54" t="s">
        <v>31</v>
      </c>
      <c r="B22" s="55" t="s">
        <v>58</v>
      </c>
      <c r="C22" s="55" t="s">
        <v>134</v>
      </c>
      <c r="D22" s="55">
        <v>114</v>
      </c>
      <c r="E22" s="55">
        <v>116</v>
      </c>
      <c r="F22" s="55"/>
      <c r="G22" s="55">
        <v>112</v>
      </c>
      <c r="H22" s="55"/>
      <c r="I22" s="70"/>
      <c r="J22" s="55"/>
      <c r="K22" s="80">
        <v>115</v>
      </c>
      <c r="L22" s="69">
        <f>AVERAGE(D22:J22)</f>
        <v>114</v>
      </c>
      <c r="M22" s="69">
        <f t="shared" si="0"/>
        <v>3.96</v>
      </c>
      <c r="N22" s="58">
        <f t="shared" si="1"/>
        <v>115</v>
      </c>
      <c r="O22" s="60">
        <v>9</v>
      </c>
      <c r="P22" s="59">
        <f t="shared" si="2"/>
        <v>118.96</v>
      </c>
    </row>
    <row r="23" spans="1:16" ht="15.75" customHeight="1" x14ac:dyDescent="0.35">
      <c r="A23" s="54" t="s">
        <v>145</v>
      </c>
      <c r="B23" s="55" t="s">
        <v>58</v>
      </c>
      <c r="C23" s="55" t="s">
        <v>144</v>
      </c>
      <c r="D23" s="55"/>
      <c r="E23" s="55"/>
      <c r="F23" s="55"/>
      <c r="G23" s="55"/>
      <c r="H23" s="55"/>
      <c r="I23" s="70"/>
      <c r="J23" s="55">
        <v>116</v>
      </c>
      <c r="K23" s="80">
        <f>58+58</f>
        <v>116</v>
      </c>
      <c r="L23" s="69">
        <f>AVERAGE(D23:K23)</f>
        <v>116</v>
      </c>
      <c r="M23" s="69">
        <f t="shared" si="0"/>
        <v>2.64</v>
      </c>
      <c r="N23" s="58">
        <f t="shared" si="1"/>
        <v>116</v>
      </c>
      <c r="O23" s="60">
        <v>9</v>
      </c>
      <c r="P23" s="59">
        <f t="shared" si="2"/>
        <v>118.64</v>
      </c>
    </row>
    <row r="24" spans="1:16" ht="15.75" customHeight="1" x14ac:dyDescent="0.35">
      <c r="A24" s="54" t="s">
        <v>118</v>
      </c>
      <c r="B24" s="55" t="s">
        <v>58</v>
      </c>
      <c r="C24" s="55" t="s">
        <v>134</v>
      </c>
      <c r="D24" s="55">
        <v>114</v>
      </c>
      <c r="E24" s="55"/>
      <c r="F24" s="55">
        <v>107</v>
      </c>
      <c r="G24" s="55">
        <v>111</v>
      </c>
      <c r="H24" s="55"/>
      <c r="I24" s="70"/>
      <c r="J24" s="55"/>
      <c r="K24" s="80">
        <v>112</v>
      </c>
      <c r="L24" s="69">
        <f>AVERAGE(D24:J24)</f>
        <v>110.66666666666667</v>
      </c>
      <c r="M24" s="69">
        <f t="shared" si="0"/>
        <v>6.1599999999999975</v>
      </c>
      <c r="N24" s="58">
        <f t="shared" si="1"/>
        <v>112</v>
      </c>
      <c r="O24" s="60">
        <v>3</v>
      </c>
      <c r="P24" s="59">
        <f t="shared" si="2"/>
        <v>118.16</v>
      </c>
    </row>
    <row r="25" spans="1:16" ht="15.75" customHeight="1" x14ac:dyDescent="0.35">
      <c r="A25" s="54" t="s">
        <v>110</v>
      </c>
      <c r="B25" s="55" t="s">
        <v>58</v>
      </c>
      <c r="C25" s="55" t="s">
        <v>136</v>
      </c>
      <c r="D25" s="55">
        <v>110</v>
      </c>
      <c r="E25" s="55">
        <v>99</v>
      </c>
      <c r="F25" s="55">
        <v>115</v>
      </c>
      <c r="G25" s="55">
        <v>105</v>
      </c>
      <c r="H25" s="55"/>
      <c r="I25" s="70"/>
      <c r="J25" s="55">
        <v>107</v>
      </c>
      <c r="K25" s="80">
        <v>110</v>
      </c>
      <c r="L25" s="69">
        <f>AVERAGE(D25:K25)</f>
        <v>107.66666666666667</v>
      </c>
      <c r="M25" s="69">
        <f t="shared" si="0"/>
        <v>8.139999999999997</v>
      </c>
      <c r="N25" s="58">
        <f t="shared" si="1"/>
        <v>110</v>
      </c>
      <c r="O25" s="60">
        <v>5</v>
      </c>
      <c r="P25" s="59">
        <f t="shared" si="2"/>
        <v>118.14</v>
      </c>
    </row>
    <row r="26" spans="1:16" ht="15.75" customHeight="1" x14ac:dyDescent="0.35">
      <c r="A26" s="54" t="s">
        <v>23</v>
      </c>
      <c r="B26" s="55" t="s">
        <v>58</v>
      </c>
      <c r="C26" s="55" t="s">
        <v>134</v>
      </c>
      <c r="D26" s="55"/>
      <c r="E26" s="55"/>
      <c r="F26" s="55">
        <v>105</v>
      </c>
      <c r="G26" s="55">
        <v>99</v>
      </c>
      <c r="H26" s="55"/>
      <c r="I26" s="70"/>
      <c r="J26" s="55"/>
      <c r="K26" s="80">
        <v>106</v>
      </c>
      <c r="L26" s="69">
        <f t="shared" ref="L26:L31" si="3">AVERAGE(D26:J26)</f>
        <v>102</v>
      </c>
      <c r="M26" s="69">
        <f t="shared" si="0"/>
        <v>11.88</v>
      </c>
      <c r="N26" s="58">
        <f t="shared" si="1"/>
        <v>106</v>
      </c>
      <c r="O26" s="60">
        <v>5</v>
      </c>
      <c r="P26" s="59">
        <f t="shared" si="2"/>
        <v>117.88</v>
      </c>
    </row>
    <row r="27" spans="1:16" ht="15.75" customHeight="1" x14ac:dyDescent="0.35">
      <c r="A27" s="54" t="s">
        <v>114</v>
      </c>
      <c r="B27" s="55" t="s">
        <v>58</v>
      </c>
      <c r="C27" s="55" t="s">
        <v>134</v>
      </c>
      <c r="D27" s="55">
        <v>98</v>
      </c>
      <c r="E27" s="55"/>
      <c r="F27" s="55"/>
      <c r="G27" s="55"/>
      <c r="H27" s="55">
        <v>87</v>
      </c>
      <c r="I27" s="70"/>
      <c r="J27" s="55"/>
      <c r="K27" s="80">
        <v>104</v>
      </c>
      <c r="L27" s="69">
        <f t="shared" si="3"/>
        <v>92.5</v>
      </c>
      <c r="M27" s="69">
        <f t="shared" si="0"/>
        <v>13.2</v>
      </c>
      <c r="N27" s="58">
        <f t="shared" si="1"/>
        <v>104</v>
      </c>
      <c r="O27" s="60">
        <v>2</v>
      </c>
      <c r="P27" s="59">
        <f t="shared" si="2"/>
        <v>117.2</v>
      </c>
    </row>
    <row r="28" spans="1:16" ht="15.75" customHeight="1" x14ac:dyDescent="0.35">
      <c r="A28" s="54" t="s">
        <v>63</v>
      </c>
      <c r="B28" s="55" t="s">
        <v>58</v>
      </c>
      <c r="C28" s="55" t="s">
        <v>144</v>
      </c>
      <c r="D28" s="55">
        <v>114</v>
      </c>
      <c r="E28" s="55">
        <v>119</v>
      </c>
      <c r="F28" s="55">
        <v>117</v>
      </c>
      <c r="G28" s="55"/>
      <c r="H28" s="55"/>
      <c r="I28" s="70"/>
      <c r="J28" s="55">
        <v>113</v>
      </c>
      <c r="K28" s="80">
        <f>58+56</f>
        <v>114</v>
      </c>
      <c r="L28" s="69">
        <f t="shared" si="3"/>
        <v>115.75</v>
      </c>
      <c r="M28" s="69">
        <f t="shared" si="0"/>
        <v>2.8050000000000002</v>
      </c>
      <c r="N28" s="58">
        <f t="shared" si="1"/>
        <v>114</v>
      </c>
      <c r="O28" s="60">
        <v>8</v>
      </c>
      <c r="P28" s="59">
        <f t="shared" si="2"/>
        <v>116.80500000000001</v>
      </c>
    </row>
    <row r="29" spans="1:16" ht="15.75" customHeight="1" x14ac:dyDescent="0.35">
      <c r="A29" s="54" t="s">
        <v>92</v>
      </c>
      <c r="B29" s="55" t="s">
        <v>58</v>
      </c>
      <c r="C29" s="55" t="s">
        <v>83</v>
      </c>
      <c r="D29" s="55">
        <v>113</v>
      </c>
      <c r="E29" s="55"/>
      <c r="F29" s="55"/>
      <c r="G29" s="55">
        <v>110</v>
      </c>
      <c r="H29" s="55">
        <v>107</v>
      </c>
      <c r="I29" s="70"/>
      <c r="J29" s="55"/>
      <c r="K29" s="80">
        <v>110</v>
      </c>
      <c r="L29" s="69">
        <f t="shared" si="3"/>
        <v>110</v>
      </c>
      <c r="M29" s="69">
        <f t="shared" si="0"/>
        <v>6.6000000000000005</v>
      </c>
      <c r="N29" s="58">
        <f t="shared" si="1"/>
        <v>110</v>
      </c>
      <c r="O29" s="60">
        <v>3</v>
      </c>
      <c r="P29" s="59">
        <f t="shared" si="2"/>
        <v>116.6</v>
      </c>
    </row>
    <row r="30" spans="1:16" ht="15.75" customHeight="1" x14ac:dyDescent="0.35">
      <c r="A30" s="54" t="s">
        <v>135</v>
      </c>
      <c r="B30" s="55" t="s">
        <v>58</v>
      </c>
      <c r="C30" s="55" t="s">
        <v>83</v>
      </c>
      <c r="D30" s="55"/>
      <c r="E30" s="55"/>
      <c r="F30" s="55"/>
      <c r="G30" s="55"/>
      <c r="H30" s="55"/>
      <c r="I30" s="70"/>
      <c r="J30" s="55">
        <v>113</v>
      </c>
      <c r="K30" s="80">
        <v>109</v>
      </c>
      <c r="L30" s="69">
        <f t="shared" si="3"/>
        <v>113</v>
      </c>
      <c r="M30" s="69">
        <f t="shared" si="0"/>
        <v>4.62</v>
      </c>
      <c r="N30" s="58">
        <f t="shared" si="1"/>
        <v>109</v>
      </c>
      <c r="O30" s="60">
        <v>2</v>
      </c>
      <c r="P30" s="59">
        <f t="shared" si="2"/>
        <v>113.62</v>
      </c>
    </row>
    <row r="31" spans="1:16" ht="15.75" customHeight="1" x14ac:dyDescent="0.35">
      <c r="A31" s="54" t="s">
        <v>103</v>
      </c>
      <c r="B31" s="55" t="s">
        <v>58</v>
      </c>
      <c r="C31" s="55" t="s">
        <v>136</v>
      </c>
      <c r="D31" s="55"/>
      <c r="E31" s="55"/>
      <c r="F31" s="55">
        <v>109</v>
      </c>
      <c r="G31" s="55"/>
      <c r="H31" s="55">
        <v>108</v>
      </c>
      <c r="I31" s="70"/>
      <c r="J31" s="55"/>
      <c r="K31" s="80">
        <v>104</v>
      </c>
      <c r="L31" s="69">
        <f t="shared" si="3"/>
        <v>108.5</v>
      </c>
      <c r="M31" s="69">
        <f t="shared" si="0"/>
        <v>7.5900000000000007</v>
      </c>
      <c r="N31" s="58">
        <f t="shared" si="1"/>
        <v>104</v>
      </c>
      <c r="O31" s="60">
        <v>2</v>
      </c>
      <c r="P31" s="59">
        <f t="shared" si="2"/>
        <v>111.59</v>
      </c>
    </row>
    <row r="32" spans="1:16" ht="15.75" customHeight="1" x14ac:dyDescent="0.35">
      <c r="A32" s="54" t="s">
        <v>73</v>
      </c>
      <c r="B32" s="55" t="s">
        <v>58</v>
      </c>
      <c r="C32" s="55" t="s">
        <v>59</v>
      </c>
      <c r="D32" s="55">
        <v>115</v>
      </c>
      <c r="E32" s="55"/>
      <c r="F32" s="55"/>
      <c r="G32" s="55">
        <v>114</v>
      </c>
      <c r="H32" s="55">
        <v>103</v>
      </c>
      <c r="I32" s="70"/>
      <c r="J32" s="55">
        <v>106</v>
      </c>
      <c r="K32" s="80">
        <v>101</v>
      </c>
      <c r="L32" s="69">
        <f>AVERAGE(D32:K32)</f>
        <v>107.8</v>
      </c>
      <c r="M32" s="69">
        <f t="shared" si="0"/>
        <v>8.0520000000000014</v>
      </c>
      <c r="N32" s="58">
        <f t="shared" si="1"/>
        <v>101</v>
      </c>
      <c r="O32" s="60">
        <v>3</v>
      </c>
      <c r="P32" s="59">
        <f t="shared" si="2"/>
        <v>109.05200000000001</v>
      </c>
    </row>
    <row r="33" spans="1:16" ht="15.75" customHeight="1" x14ac:dyDescent="0.35">
      <c r="A33" s="54" t="s">
        <v>71</v>
      </c>
      <c r="B33" s="55" t="s">
        <v>22</v>
      </c>
      <c r="C33" s="55" t="s">
        <v>59</v>
      </c>
      <c r="D33" s="55">
        <v>88</v>
      </c>
      <c r="E33" s="55">
        <v>82</v>
      </c>
      <c r="F33" s="55"/>
      <c r="G33" s="55"/>
      <c r="H33" s="55"/>
      <c r="I33" s="70"/>
      <c r="J33" s="55"/>
      <c r="K33" s="80">
        <v>99</v>
      </c>
      <c r="L33" s="69">
        <f>AVERAGE(D33:J33)</f>
        <v>85</v>
      </c>
      <c r="M33" s="69">
        <f t="shared" ref="M33:M60" si="4">MIN(13.2, MAX(0, 100 - L33) * 0.66)</f>
        <v>9.9</v>
      </c>
      <c r="N33" s="58">
        <f t="shared" si="1"/>
        <v>99</v>
      </c>
      <c r="O33" s="60">
        <v>11</v>
      </c>
      <c r="P33" s="59">
        <f t="shared" si="2"/>
        <v>108.9</v>
      </c>
    </row>
    <row r="34" spans="1:16" ht="15.75" customHeight="1" x14ac:dyDescent="0.35">
      <c r="A34" s="54" t="s">
        <v>91</v>
      </c>
      <c r="B34" s="55" t="s">
        <v>28</v>
      </c>
      <c r="C34" s="55" t="s">
        <v>83</v>
      </c>
      <c r="D34" s="55"/>
      <c r="E34" s="55">
        <v>66</v>
      </c>
      <c r="F34" s="55"/>
      <c r="G34" s="55"/>
      <c r="H34" s="55"/>
      <c r="I34" s="70"/>
      <c r="J34" s="55"/>
      <c r="K34" s="80">
        <v>95</v>
      </c>
      <c r="L34" s="69">
        <f>AVERAGE(D34:J34)</f>
        <v>66</v>
      </c>
      <c r="M34" s="69">
        <f t="shared" si="4"/>
        <v>13.2</v>
      </c>
      <c r="N34" s="58">
        <f t="shared" si="1"/>
        <v>95</v>
      </c>
      <c r="O34" s="64">
        <v>10</v>
      </c>
      <c r="P34" s="59">
        <f t="shared" si="2"/>
        <v>108.2</v>
      </c>
    </row>
    <row r="35" spans="1:16" ht="15.75" customHeight="1" x14ac:dyDescent="0.35">
      <c r="A35" s="54" t="s">
        <v>107</v>
      </c>
      <c r="B35" s="55" t="s">
        <v>28</v>
      </c>
      <c r="C35" s="55" t="s">
        <v>136</v>
      </c>
      <c r="D35" s="55"/>
      <c r="E35" s="55"/>
      <c r="F35" s="55">
        <v>96</v>
      </c>
      <c r="G35" s="55">
        <v>80</v>
      </c>
      <c r="H35" s="55">
        <v>91</v>
      </c>
      <c r="I35" s="70"/>
      <c r="J35" s="55"/>
      <c r="K35" s="80">
        <v>98</v>
      </c>
      <c r="L35" s="69">
        <f>AVERAGE(D35:K35)</f>
        <v>91.25</v>
      </c>
      <c r="M35" s="69">
        <f t="shared" si="4"/>
        <v>5.7750000000000004</v>
      </c>
      <c r="N35" s="58">
        <f t="shared" ref="N35:N66" si="5">K35</f>
        <v>98</v>
      </c>
      <c r="O35" s="64">
        <v>9</v>
      </c>
      <c r="P35" s="59">
        <f t="shared" ref="P35:P66" si="6">IF(ISBLANK(K35), 0, K35 + M35)</f>
        <v>103.77500000000001</v>
      </c>
    </row>
    <row r="36" spans="1:16" ht="15.75" customHeight="1" x14ac:dyDescent="0.35">
      <c r="A36" s="54" t="s">
        <v>100</v>
      </c>
      <c r="B36" s="55" t="s">
        <v>28</v>
      </c>
      <c r="C36" s="55" t="s">
        <v>95</v>
      </c>
      <c r="D36" s="55">
        <v>94</v>
      </c>
      <c r="E36" s="55"/>
      <c r="F36" s="55">
        <v>97</v>
      </c>
      <c r="G36" s="55">
        <v>88</v>
      </c>
      <c r="H36" s="55">
        <v>87</v>
      </c>
      <c r="I36" s="70"/>
      <c r="J36" s="55">
        <v>86</v>
      </c>
      <c r="K36" s="80">
        <v>98</v>
      </c>
      <c r="L36" s="69">
        <f>AVERAGE(D36:K36)</f>
        <v>91.666666666666671</v>
      </c>
      <c r="M36" s="69">
        <f t="shared" si="4"/>
        <v>5.4999999999999973</v>
      </c>
      <c r="N36" s="58">
        <f t="shared" si="5"/>
        <v>98</v>
      </c>
      <c r="O36" s="60">
        <v>7</v>
      </c>
      <c r="P36" s="59">
        <f t="shared" si="6"/>
        <v>103.5</v>
      </c>
    </row>
    <row r="37" spans="1:16" ht="15.75" customHeight="1" x14ac:dyDescent="0.35">
      <c r="A37" s="54" t="s">
        <v>137</v>
      </c>
      <c r="B37" s="55" t="s">
        <v>22</v>
      </c>
      <c r="C37" s="55" t="s">
        <v>59</v>
      </c>
      <c r="D37" s="55"/>
      <c r="E37" s="55"/>
      <c r="F37" s="55"/>
      <c r="G37" s="55"/>
      <c r="H37" s="55"/>
      <c r="I37" s="70"/>
      <c r="J37" s="55">
        <v>96</v>
      </c>
      <c r="K37" s="80">
        <v>100</v>
      </c>
      <c r="L37" s="69">
        <f>AVERAGE(D37:J37)</f>
        <v>96</v>
      </c>
      <c r="M37" s="69">
        <f t="shared" si="4"/>
        <v>2.64</v>
      </c>
      <c r="N37" s="58">
        <f t="shared" si="5"/>
        <v>100</v>
      </c>
      <c r="O37" s="60">
        <v>12</v>
      </c>
      <c r="P37" s="59">
        <f t="shared" si="6"/>
        <v>102.64</v>
      </c>
    </row>
    <row r="38" spans="1:16" ht="15.75" customHeight="1" x14ac:dyDescent="0.35">
      <c r="A38" s="54" t="s">
        <v>37</v>
      </c>
      <c r="B38" s="55" t="s">
        <v>22</v>
      </c>
      <c r="C38" s="55" t="s">
        <v>134</v>
      </c>
      <c r="D38" s="55"/>
      <c r="E38" s="55"/>
      <c r="F38" s="55">
        <v>94</v>
      </c>
      <c r="G38" s="55"/>
      <c r="H38" s="55"/>
      <c r="I38" s="70"/>
      <c r="J38" s="55"/>
      <c r="K38" s="80">
        <v>98</v>
      </c>
      <c r="L38" s="69">
        <f>AVERAGE(D38:J38)</f>
        <v>94</v>
      </c>
      <c r="M38" s="69">
        <f t="shared" si="4"/>
        <v>3.96</v>
      </c>
      <c r="N38" s="58">
        <f t="shared" si="5"/>
        <v>98</v>
      </c>
      <c r="O38" s="60">
        <v>5</v>
      </c>
      <c r="P38" s="59">
        <f t="shared" si="6"/>
        <v>101.96</v>
      </c>
    </row>
    <row r="39" spans="1:16" ht="15.75" customHeight="1" x14ac:dyDescent="0.35">
      <c r="A39" s="54" t="s">
        <v>72</v>
      </c>
      <c r="B39" s="55" t="s">
        <v>22</v>
      </c>
      <c r="C39" s="55" t="s">
        <v>59</v>
      </c>
      <c r="D39" s="55">
        <v>98</v>
      </c>
      <c r="E39" s="55">
        <v>91</v>
      </c>
      <c r="F39" s="55">
        <v>96</v>
      </c>
      <c r="G39" s="55"/>
      <c r="H39" s="55">
        <v>93</v>
      </c>
      <c r="I39" s="70"/>
      <c r="J39" s="55"/>
      <c r="K39" s="80">
        <v>98</v>
      </c>
      <c r="L39" s="69">
        <f>AVERAGE(D39:J39)</f>
        <v>94.5</v>
      </c>
      <c r="M39" s="69">
        <f t="shared" si="4"/>
        <v>3.6300000000000003</v>
      </c>
      <c r="N39" s="58">
        <f t="shared" si="5"/>
        <v>98</v>
      </c>
      <c r="O39" s="60">
        <v>9</v>
      </c>
      <c r="P39" s="59">
        <f t="shared" si="6"/>
        <v>101.63</v>
      </c>
    </row>
    <row r="40" spans="1:16" ht="15.75" customHeight="1" x14ac:dyDescent="0.35">
      <c r="A40" s="54" t="s">
        <v>46</v>
      </c>
      <c r="B40" s="55" t="s">
        <v>22</v>
      </c>
      <c r="C40" s="55" t="s">
        <v>134</v>
      </c>
      <c r="D40" s="55">
        <v>100</v>
      </c>
      <c r="E40" s="55">
        <v>99</v>
      </c>
      <c r="F40" s="55">
        <v>100</v>
      </c>
      <c r="G40" s="55">
        <v>93</v>
      </c>
      <c r="H40" s="55">
        <v>95</v>
      </c>
      <c r="I40" s="70"/>
      <c r="J40" s="55"/>
      <c r="K40" s="80">
        <v>100</v>
      </c>
      <c r="L40" s="69">
        <f>AVERAGE(D40:K40)</f>
        <v>97.833333333333329</v>
      </c>
      <c r="M40" s="69">
        <f t="shared" si="4"/>
        <v>1.4300000000000033</v>
      </c>
      <c r="N40" s="58">
        <f t="shared" si="5"/>
        <v>100</v>
      </c>
      <c r="O40" s="60">
        <v>16</v>
      </c>
      <c r="P40" s="59">
        <f t="shared" si="6"/>
        <v>101.43</v>
      </c>
    </row>
    <row r="41" spans="1:16" ht="15.75" customHeight="1" x14ac:dyDescent="0.35">
      <c r="A41" s="54" t="s">
        <v>87</v>
      </c>
      <c r="B41" s="55" t="s">
        <v>28</v>
      </c>
      <c r="C41" s="55" t="s">
        <v>83</v>
      </c>
      <c r="D41" s="55">
        <v>94</v>
      </c>
      <c r="E41" s="55">
        <v>97</v>
      </c>
      <c r="F41" s="55">
        <v>100</v>
      </c>
      <c r="G41" s="55">
        <v>91</v>
      </c>
      <c r="H41" s="55">
        <v>89</v>
      </c>
      <c r="I41" s="70"/>
      <c r="J41" s="55"/>
      <c r="K41" s="80">
        <v>98</v>
      </c>
      <c r="L41" s="69">
        <f>AVERAGE(D41:K41)</f>
        <v>94.833333333333329</v>
      </c>
      <c r="M41" s="69">
        <f t="shared" si="4"/>
        <v>3.4100000000000033</v>
      </c>
      <c r="N41" s="58">
        <f t="shared" si="5"/>
        <v>98</v>
      </c>
      <c r="O41" s="64">
        <v>10</v>
      </c>
      <c r="P41" s="59">
        <f t="shared" si="6"/>
        <v>101.41</v>
      </c>
    </row>
    <row r="42" spans="1:16" s="68" customFormat="1" ht="15.75" customHeight="1" x14ac:dyDescent="0.35">
      <c r="A42" s="54" t="s">
        <v>41</v>
      </c>
      <c r="B42" s="55" t="s">
        <v>28</v>
      </c>
      <c r="C42" s="55" t="s">
        <v>134</v>
      </c>
      <c r="D42" s="55">
        <v>87</v>
      </c>
      <c r="E42" s="55"/>
      <c r="F42" s="55">
        <v>93</v>
      </c>
      <c r="G42" s="55">
        <v>85</v>
      </c>
      <c r="H42" s="55">
        <f>39+47</f>
        <v>86</v>
      </c>
      <c r="I42" s="70"/>
      <c r="J42" s="55">
        <v>93</v>
      </c>
      <c r="K42" s="80">
        <f>45+49</f>
        <v>94</v>
      </c>
      <c r="L42" s="69">
        <f>AVERAGE(D42:J42)</f>
        <v>88.8</v>
      </c>
      <c r="M42" s="69">
        <f t="shared" si="4"/>
        <v>7.3920000000000021</v>
      </c>
      <c r="N42" s="58">
        <f t="shared" si="5"/>
        <v>94</v>
      </c>
      <c r="O42" s="60">
        <v>7</v>
      </c>
      <c r="P42" s="59">
        <f t="shared" si="6"/>
        <v>101.392</v>
      </c>
    </row>
    <row r="43" spans="1:16" ht="15.75" customHeight="1" x14ac:dyDescent="0.35">
      <c r="A43" s="54" t="s">
        <v>138</v>
      </c>
      <c r="B43" s="55" t="s">
        <v>22</v>
      </c>
      <c r="C43" s="55" t="s">
        <v>134</v>
      </c>
      <c r="D43" s="55"/>
      <c r="E43" s="55"/>
      <c r="F43" s="55"/>
      <c r="G43" s="55"/>
      <c r="H43" s="55"/>
      <c r="I43" s="70"/>
      <c r="J43" s="55">
        <v>95</v>
      </c>
      <c r="K43" s="80">
        <v>98</v>
      </c>
      <c r="L43" s="69">
        <f>AVERAGE(D43:J43)</f>
        <v>95</v>
      </c>
      <c r="M43" s="69">
        <f t="shared" si="4"/>
        <v>3.3000000000000003</v>
      </c>
      <c r="N43" s="58">
        <f t="shared" si="5"/>
        <v>98</v>
      </c>
      <c r="O43" s="60">
        <v>7</v>
      </c>
      <c r="P43" s="59">
        <f t="shared" si="6"/>
        <v>101.3</v>
      </c>
    </row>
    <row r="44" spans="1:16" ht="15.75" customHeight="1" x14ac:dyDescent="0.35">
      <c r="A44" s="54" t="s">
        <v>65</v>
      </c>
      <c r="B44" s="55" t="s">
        <v>22</v>
      </c>
      <c r="C44" s="55" t="s">
        <v>59</v>
      </c>
      <c r="D44" s="55">
        <v>98</v>
      </c>
      <c r="E44" s="55"/>
      <c r="F44" s="55">
        <v>100</v>
      </c>
      <c r="G44" s="55"/>
      <c r="H44" s="55"/>
      <c r="I44" s="70"/>
      <c r="J44" s="55">
        <v>98</v>
      </c>
      <c r="K44" s="80">
        <v>100</v>
      </c>
      <c r="L44" s="69">
        <f>AVERAGE(D44:J44)</f>
        <v>98.666666666666671</v>
      </c>
      <c r="M44" s="69">
        <f t="shared" si="4"/>
        <v>0.8799999999999969</v>
      </c>
      <c r="N44" s="58">
        <f t="shared" si="5"/>
        <v>100</v>
      </c>
      <c r="O44" s="60">
        <v>15</v>
      </c>
      <c r="P44" s="59">
        <f t="shared" si="6"/>
        <v>100.88</v>
      </c>
    </row>
    <row r="45" spans="1:16" ht="15.75" customHeight="1" x14ac:dyDescent="0.35">
      <c r="A45" s="54" t="s">
        <v>98</v>
      </c>
      <c r="B45" s="55" t="s">
        <v>28</v>
      </c>
      <c r="C45" s="55" t="s">
        <v>95</v>
      </c>
      <c r="D45" s="55">
        <v>95</v>
      </c>
      <c r="E45" s="55">
        <v>99</v>
      </c>
      <c r="F45" s="55"/>
      <c r="G45" s="55"/>
      <c r="H45" s="55">
        <v>98</v>
      </c>
      <c r="I45" s="70"/>
      <c r="J45" s="55">
        <v>97</v>
      </c>
      <c r="K45" s="80">
        <v>99</v>
      </c>
      <c r="L45" s="69">
        <f>AVERAGE(D45:J45)</f>
        <v>97.25</v>
      </c>
      <c r="M45" s="69">
        <f t="shared" si="4"/>
        <v>1.8150000000000002</v>
      </c>
      <c r="N45" s="58">
        <f t="shared" si="5"/>
        <v>99</v>
      </c>
      <c r="O45" s="60">
        <v>9</v>
      </c>
      <c r="P45" s="59">
        <f t="shared" si="6"/>
        <v>100.815</v>
      </c>
    </row>
    <row r="46" spans="1:16" ht="15.75" customHeight="1" x14ac:dyDescent="0.35">
      <c r="A46" s="54" t="s">
        <v>88</v>
      </c>
      <c r="B46" s="55" t="s">
        <v>28</v>
      </c>
      <c r="C46" s="55" t="s">
        <v>83</v>
      </c>
      <c r="D46" s="55">
        <v>95</v>
      </c>
      <c r="E46" s="55"/>
      <c r="F46" s="55"/>
      <c r="G46" s="55">
        <v>97</v>
      </c>
      <c r="H46" s="55"/>
      <c r="I46" s="70"/>
      <c r="J46" s="55">
        <v>91</v>
      </c>
      <c r="K46" s="80">
        <v>97</v>
      </c>
      <c r="L46" s="69">
        <f>AVERAGE(D46:J46)</f>
        <v>94.333333333333329</v>
      </c>
      <c r="M46" s="69">
        <f t="shared" si="4"/>
        <v>3.7400000000000033</v>
      </c>
      <c r="N46" s="58">
        <f t="shared" si="5"/>
        <v>97</v>
      </c>
      <c r="O46" s="60">
        <v>4</v>
      </c>
      <c r="P46" s="59">
        <f t="shared" si="6"/>
        <v>100.74000000000001</v>
      </c>
    </row>
    <row r="47" spans="1:16" ht="15.75" customHeight="1" x14ac:dyDescent="0.35">
      <c r="A47" s="54" t="s">
        <v>50</v>
      </c>
      <c r="B47" s="55" t="s">
        <v>22</v>
      </c>
      <c r="C47" s="55" t="s">
        <v>134</v>
      </c>
      <c r="D47" s="55">
        <v>99</v>
      </c>
      <c r="E47" s="55">
        <v>98</v>
      </c>
      <c r="F47" s="55">
        <v>97</v>
      </c>
      <c r="G47" s="55">
        <v>97</v>
      </c>
      <c r="H47" s="55">
        <v>94</v>
      </c>
      <c r="I47" s="70"/>
      <c r="J47" s="55">
        <v>98</v>
      </c>
      <c r="K47" s="80">
        <v>99</v>
      </c>
      <c r="L47" s="69">
        <f>AVERAGE(D47:K47)</f>
        <v>97.428571428571431</v>
      </c>
      <c r="M47" s="69">
        <f t="shared" si="4"/>
        <v>1.697142857142856</v>
      </c>
      <c r="N47" s="58">
        <f t="shared" si="5"/>
        <v>99</v>
      </c>
      <c r="O47" s="60">
        <v>15</v>
      </c>
      <c r="P47" s="59">
        <f t="shared" si="6"/>
        <v>100.69714285714285</v>
      </c>
    </row>
    <row r="48" spans="1:16" ht="15.75" customHeight="1" x14ac:dyDescent="0.35">
      <c r="A48" s="54" t="s">
        <v>112</v>
      </c>
      <c r="B48" s="55" t="s">
        <v>28</v>
      </c>
      <c r="C48" s="55" t="s">
        <v>136</v>
      </c>
      <c r="D48" s="55">
        <v>95</v>
      </c>
      <c r="E48" s="55">
        <v>95</v>
      </c>
      <c r="F48" s="55">
        <v>98</v>
      </c>
      <c r="G48" s="55">
        <v>83</v>
      </c>
      <c r="H48" s="55">
        <v>83</v>
      </c>
      <c r="I48" s="70"/>
      <c r="J48" s="55"/>
      <c r="K48" s="80">
        <v>95</v>
      </c>
      <c r="L48" s="69">
        <f>AVERAGE(D48:K48)</f>
        <v>91.5</v>
      </c>
      <c r="M48" s="69">
        <f t="shared" si="4"/>
        <v>5.61</v>
      </c>
      <c r="N48" s="58">
        <f t="shared" si="5"/>
        <v>95</v>
      </c>
      <c r="O48" s="64">
        <v>11</v>
      </c>
      <c r="P48" s="59">
        <f t="shared" si="6"/>
        <v>100.61</v>
      </c>
    </row>
    <row r="49" spans="1:16" ht="15.75" customHeight="1" x14ac:dyDescent="0.35">
      <c r="A49" s="54" t="s">
        <v>39</v>
      </c>
      <c r="B49" s="55" t="s">
        <v>22</v>
      </c>
      <c r="C49" s="55" t="s">
        <v>134</v>
      </c>
      <c r="D49" s="55"/>
      <c r="E49" s="55">
        <v>98</v>
      </c>
      <c r="F49" s="55"/>
      <c r="G49" s="55"/>
      <c r="H49" s="55"/>
      <c r="I49" s="70"/>
      <c r="J49" s="55"/>
      <c r="K49" s="80">
        <v>99</v>
      </c>
      <c r="L49" s="69">
        <f>AVERAGE(D49:J49)</f>
        <v>98</v>
      </c>
      <c r="M49" s="69">
        <f t="shared" si="4"/>
        <v>1.32</v>
      </c>
      <c r="N49" s="58">
        <f t="shared" si="5"/>
        <v>99</v>
      </c>
      <c r="O49" s="60">
        <v>11</v>
      </c>
      <c r="P49" s="59">
        <f t="shared" si="6"/>
        <v>100.32</v>
      </c>
    </row>
    <row r="50" spans="1:16" ht="15.75" customHeight="1" x14ac:dyDescent="0.35">
      <c r="A50" s="54" t="s">
        <v>81</v>
      </c>
      <c r="B50" s="55" t="s">
        <v>22</v>
      </c>
      <c r="C50" s="55" t="s">
        <v>59</v>
      </c>
      <c r="D50" s="55">
        <v>100</v>
      </c>
      <c r="E50" s="55">
        <v>100</v>
      </c>
      <c r="F50" s="55">
        <v>100</v>
      </c>
      <c r="G50" s="55"/>
      <c r="H50" s="55"/>
      <c r="I50" s="70"/>
      <c r="J50" s="55">
        <v>99</v>
      </c>
      <c r="K50" s="80">
        <v>100</v>
      </c>
      <c r="L50" s="69">
        <f>AVERAGE(D50:J50)</f>
        <v>99.75</v>
      </c>
      <c r="M50" s="69">
        <f t="shared" si="4"/>
        <v>0.16500000000000001</v>
      </c>
      <c r="N50" s="58">
        <f t="shared" si="5"/>
        <v>100</v>
      </c>
      <c r="O50" s="60">
        <v>15</v>
      </c>
      <c r="P50" s="59">
        <f t="shared" si="6"/>
        <v>100.16500000000001</v>
      </c>
    </row>
    <row r="51" spans="1:16" ht="15.75" customHeight="1" x14ac:dyDescent="0.35">
      <c r="A51" s="78" t="s">
        <v>148</v>
      </c>
      <c r="B51" s="71" t="s">
        <v>22</v>
      </c>
      <c r="C51" s="71" t="s">
        <v>134</v>
      </c>
      <c r="D51" s="71"/>
      <c r="E51" s="71"/>
      <c r="F51" s="71"/>
      <c r="G51" s="71"/>
      <c r="H51" s="71"/>
      <c r="I51" s="72"/>
      <c r="J51" s="71">
        <v>100</v>
      </c>
      <c r="K51" s="81">
        <v>100</v>
      </c>
      <c r="L51" s="73">
        <f>AVERAGE(D51:J51)</f>
        <v>100</v>
      </c>
      <c r="M51" s="69">
        <f t="shared" si="4"/>
        <v>0</v>
      </c>
      <c r="N51" s="74">
        <f t="shared" si="5"/>
        <v>100</v>
      </c>
      <c r="O51" s="75">
        <v>18</v>
      </c>
      <c r="P51" s="76">
        <f t="shared" si="6"/>
        <v>100</v>
      </c>
    </row>
    <row r="52" spans="1:16" ht="15.75" customHeight="1" x14ac:dyDescent="0.35">
      <c r="A52" s="78" t="s">
        <v>147</v>
      </c>
      <c r="B52" s="71" t="s">
        <v>22</v>
      </c>
      <c r="C52" s="71" t="s">
        <v>134</v>
      </c>
      <c r="D52" s="71"/>
      <c r="E52" s="71"/>
      <c r="F52" s="71"/>
      <c r="G52" s="71"/>
      <c r="H52" s="71"/>
      <c r="I52" s="72"/>
      <c r="J52" s="71">
        <v>100</v>
      </c>
      <c r="K52" s="81">
        <v>100</v>
      </c>
      <c r="L52" s="73">
        <f>AVERAGE(D52:J52)</f>
        <v>100</v>
      </c>
      <c r="M52" s="69">
        <f t="shared" si="4"/>
        <v>0</v>
      </c>
      <c r="N52" s="74">
        <f t="shared" si="5"/>
        <v>100</v>
      </c>
      <c r="O52" s="77">
        <v>19</v>
      </c>
      <c r="P52" s="76">
        <f t="shared" si="6"/>
        <v>100</v>
      </c>
    </row>
    <row r="53" spans="1:16" ht="15.75" customHeight="1" x14ac:dyDescent="0.35">
      <c r="A53" s="54" t="s">
        <v>56</v>
      </c>
      <c r="B53" s="55" t="s">
        <v>28</v>
      </c>
      <c r="C53" s="55" t="s">
        <v>134</v>
      </c>
      <c r="D53" s="55">
        <v>98</v>
      </c>
      <c r="E53" s="55">
        <v>92</v>
      </c>
      <c r="F53" s="55"/>
      <c r="G53" s="55">
        <v>92</v>
      </c>
      <c r="H53" s="55">
        <v>85</v>
      </c>
      <c r="I53" s="70"/>
      <c r="J53" s="55">
        <v>97</v>
      </c>
      <c r="K53" s="80">
        <f>45+50</f>
        <v>95</v>
      </c>
      <c r="L53" s="69">
        <f>AVERAGE(D53:J53)</f>
        <v>92.8</v>
      </c>
      <c r="M53" s="69">
        <f t="shared" si="4"/>
        <v>4.7520000000000024</v>
      </c>
      <c r="N53" s="58">
        <f t="shared" si="5"/>
        <v>95</v>
      </c>
      <c r="O53" s="60">
        <v>11</v>
      </c>
      <c r="P53" s="59">
        <f t="shared" si="6"/>
        <v>99.75200000000001</v>
      </c>
    </row>
    <row r="54" spans="1:16" ht="15.75" customHeight="1" x14ac:dyDescent="0.35">
      <c r="A54" s="54" t="s">
        <v>85</v>
      </c>
      <c r="B54" s="55" t="s">
        <v>28</v>
      </c>
      <c r="C54" s="55" t="s">
        <v>83</v>
      </c>
      <c r="D54" s="55">
        <v>94</v>
      </c>
      <c r="E54" s="55">
        <v>94</v>
      </c>
      <c r="F54" s="55">
        <v>97</v>
      </c>
      <c r="G54" s="55">
        <v>88</v>
      </c>
      <c r="H54" s="55">
        <v>92</v>
      </c>
      <c r="I54" s="70"/>
      <c r="J54" s="55">
        <v>92</v>
      </c>
      <c r="K54" s="80">
        <v>95</v>
      </c>
      <c r="L54" s="69">
        <f>AVERAGE(D54:K54)</f>
        <v>93.142857142857139</v>
      </c>
      <c r="M54" s="69">
        <f t="shared" si="4"/>
        <v>4.5257142857142885</v>
      </c>
      <c r="N54" s="58">
        <f t="shared" si="5"/>
        <v>95</v>
      </c>
      <c r="O54" s="60">
        <v>6</v>
      </c>
      <c r="P54" s="59">
        <f t="shared" si="6"/>
        <v>99.525714285714287</v>
      </c>
    </row>
    <row r="55" spans="1:16" ht="15.75" customHeight="1" x14ac:dyDescent="0.35">
      <c r="A55" s="54" t="s">
        <v>40</v>
      </c>
      <c r="B55" s="55" t="s">
        <v>22</v>
      </c>
      <c r="C55" s="55" t="s">
        <v>134</v>
      </c>
      <c r="D55" s="55">
        <v>91</v>
      </c>
      <c r="E55" s="55">
        <v>93</v>
      </c>
      <c r="F55" s="55">
        <v>97</v>
      </c>
      <c r="G55" s="55">
        <v>95</v>
      </c>
      <c r="H55" s="55"/>
      <c r="I55" s="70"/>
      <c r="J55" s="55">
        <v>96</v>
      </c>
      <c r="K55" s="80">
        <v>96</v>
      </c>
      <c r="L55" s="69">
        <f>AVERAGE(D55:K55)</f>
        <v>94.666666666666671</v>
      </c>
      <c r="M55" s="69">
        <f t="shared" si="4"/>
        <v>3.5199999999999969</v>
      </c>
      <c r="N55" s="58">
        <f t="shared" si="5"/>
        <v>96</v>
      </c>
      <c r="O55" s="60">
        <v>10</v>
      </c>
      <c r="P55" s="59">
        <f t="shared" si="6"/>
        <v>99.52</v>
      </c>
    </row>
    <row r="56" spans="1:16" ht="15.75" customHeight="1" x14ac:dyDescent="0.35">
      <c r="A56" s="78" t="s">
        <v>150</v>
      </c>
      <c r="B56" s="71" t="s">
        <v>22</v>
      </c>
      <c r="C56" s="71" t="s">
        <v>134</v>
      </c>
      <c r="D56" s="71"/>
      <c r="E56" s="71"/>
      <c r="F56" s="71"/>
      <c r="G56" s="71"/>
      <c r="H56" s="71"/>
      <c r="I56" s="72"/>
      <c r="J56" s="71">
        <v>98</v>
      </c>
      <c r="K56" s="81">
        <v>98</v>
      </c>
      <c r="L56" s="73">
        <f>AVERAGE(D56:J56)</f>
        <v>98</v>
      </c>
      <c r="M56" s="69">
        <f t="shared" si="4"/>
        <v>1.32</v>
      </c>
      <c r="N56" s="74">
        <f t="shared" si="5"/>
        <v>98</v>
      </c>
      <c r="O56" s="77">
        <v>12</v>
      </c>
      <c r="P56" s="76">
        <f t="shared" si="6"/>
        <v>99.32</v>
      </c>
    </row>
    <row r="57" spans="1:16" ht="15.75" customHeight="1" x14ac:dyDescent="0.35">
      <c r="A57" s="54" t="s">
        <v>79</v>
      </c>
      <c r="B57" s="55" t="s">
        <v>28</v>
      </c>
      <c r="C57" s="55" t="s">
        <v>59</v>
      </c>
      <c r="D57" s="55">
        <v>98</v>
      </c>
      <c r="E57" s="55">
        <v>100</v>
      </c>
      <c r="F57" s="55"/>
      <c r="G57" s="55"/>
      <c r="H57" s="55">
        <v>97</v>
      </c>
      <c r="I57" s="70"/>
      <c r="J57" s="55">
        <v>99</v>
      </c>
      <c r="K57" s="80">
        <v>98</v>
      </c>
      <c r="L57" s="69">
        <f>AVERAGE(D57:J57)</f>
        <v>98.5</v>
      </c>
      <c r="M57" s="69">
        <f t="shared" si="4"/>
        <v>0.99</v>
      </c>
      <c r="N57" s="58">
        <f t="shared" si="5"/>
        <v>98</v>
      </c>
      <c r="O57" s="60">
        <v>6</v>
      </c>
      <c r="P57" s="59">
        <f t="shared" si="6"/>
        <v>98.99</v>
      </c>
    </row>
    <row r="58" spans="1:16" ht="15.75" customHeight="1" x14ac:dyDescent="0.35">
      <c r="A58" s="54" t="s">
        <v>47</v>
      </c>
      <c r="B58" s="55" t="s">
        <v>22</v>
      </c>
      <c r="C58" s="55" t="s">
        <v>134</v>
      </c>
      <c r="D58" s="55"/>
      <c r="E58" s="55">
        <v>99</v>
      </c>
      <c r="F58" s="55"/>
      <c r="G58" s="55">
        <v>96</v>
      </c>
      <c r="H58" s="55"/>
      <c r="I58" s="70"/>
      <c r="J58" s="55">
        <v>93</v>
      </c>
      <c r="K58" s="80">
        <v>95</v>
      </c>
      <c r="L58" s="69">
        <f>AVERAGE(D58:J58)</f>
        <v>96</v>
      </c>
      <c r="M58" s="69">
        <f t="shared" si="4"/>
        <v>2.64</v>
      </c>
      <c r="N58" s="58">
        <f t="shared" si="5"/>
        <v>95</v>
      </c>
      <c r="O58" s="60">
        <v>6</v>
      </c>
      <c r="P58" s="59">
        <f t="shared" si="6"/>
        <v>97.64</v>
      </c>
    </row>
    <row r="59" spans="1:16" ht="15.75" customHeight="1" x14ac:dyDescent="0.35">
      <c r="A59" s="54" t="s">
        <v>97</v>
      </c>
      <c r="B59" s="55" t="s">
        <v>28</v>
      </c>
      <c r="C59" s="55" t="s">
        <v>95</v>
      </c>
      <c r="D59" s="55">
        <v>98</v>
      </c>
      <c r="E59" s="55">
        <v>98</v>
      </c>
      <c r="F59" s="55">
        <v>95</v>
      </c>
      <c r="G59" s="55">
        <v>96</v>
      </c>
      <c r="H59" s="55">
        <v>90</v>
      </c>
      <c r="I59" s="70"/>
      <c r="J59" s="55">
        <v>99</v>
      </c>
      <c r="K59" s="80">
        <v>94</v>
      </c>
      <c r="L59" s="69">
        <f>AVERAGE(D59:K59)</f>
        <v>95.714285714285708</v>
      </c>
      <c r="M59" s="69">
        <f t="shared" si="4"/>
        <v>2.8285714285714327</v>
      </c>
      <c r="N59" s="58">
        <f t="shared" si="5"/>
        <v>94</v>
      </c>
      <c r="O59" s="60">
        <v>9</v>
      </c>
      <c r="P59" s="59">
        <f t="shared" si="6"/>
        <v>96.828571428571436</v>
      </c>
    </row>
    <row r="60" spans="1:16" ht="15.75" customHeight="1" x14ac:dyDescent="0.35">
      <c r="A60" s="54" t="s">
        <v>78</v>
      </c>
      <c r="B60" s="55" t="s">
        <v>22</v>
      </c>
      <c r="C60" s="55" t="s">
        <v>59</v>
      </c>
      <c r="D60" s="55">
        <v>92</v>
      </c>
      <c r="E60" s="55">
        <v>88</v>
      </c>
      <c r="F60" s="55">
        <v>93</v>
      </c>
      <c r="G60" s="55"/>
      <c r="H60" s="55">
        <v>86</v>
      </c>
      <c r="I60" s="70"/>
      <c r="J60" s="55">
        <v>88</v>
      </c>
      <c r="K60" s="80">
        <v>86</v>
      </c>
      <c r="L60" s="69">
        <f>AVERAGE(D60:K60)</f>
        <v>88.833333333333329</v>
      </c>
      <c r="M60" s="69">
        <f t="shared" si="4"/>
        <v>7.3700000000000037</v>
      </c>
      <c r="N60" s="58">
        <f t="shared" si="5"/>
        <v>86</v>
      </c>
      <c r="O60" s="60">
        <v>3</v>
      </c>
      <c r="P60" s="59">
        <f t="shared" si="6"/>
        <v>93.37</v>
      </c>
    </row>
    <row r="61" spans="1:16" ht="15.75" customHeight="1" x14ac:dyDescent="0.35">
      <c r="A61" s="54" t="s">
        <v>86</v>
      </c>
      <c r="B61" s="55" t="s">
        <v>58</v>
      </c>
      <c r="C61" s="55" t="s">
        <v>83</v>
      </c>
      <c r="D61" s="55">
        <v>108</v>
      </c>
      <c r="E61" s="55"/>
      <c r="F61" s="55"/>
      <c r="G61" s="55"/>
      <c r="H61" s="55"/>
      <c r="I61" s="70"/>
      <c r="J61" s="55"/>
      <c r="K61" s="80"/>
      <c r="L61" s="69">
        <f t="shared" ref="L61:L100" si="7">AVERAGE(D61:J61)</f>
        <v>108</v>
      </c>
      <c r="M61" s="69">
        <f t="shared" ref="M61:M78" si="8">MIN(13.2, MAX(0, 120 - L61) * 0.66)</f>
        <v>7.92</v>
      </c>
      <c r="N61" s="58">
        <f t="shared" si="5"/>
        <v>0</v>
      </c>
      <c r="O61" s="60"/>
      <c r="P61" s="59">
        <f t="shared" si="6"/>
        <v>0</v>
      </c>
    </row>
    <row r="62" spans="1:16" ht="15.75" customHeight="1" x14ac:dyDescent="0.35">
      <c r="A62" s="54" t="s">
        <v>74</v>
      </c>
      <c r="B62" s="55" t="s">
        <v>58</v>
      </c>
      <c r="C62" s="55" t="s">
        <v>59</v>
      </c>
      <c r="D62" s="55">
        <v>118</v>
      </c>
      <c r="E62" s="55">
        <v>116</v>
      </c>
      <c r="F62" s="55">
        <v>120</v>
      </c>
      <c r="G62" s="55"/>
      <c r="H62" s="55">
        <v>110</v>
      </c>
      <c r="I62" s="70"/>
      <c r="J62" s="55"/>
      <c r="K62" s="80"/>
      <c r="L62" s="69">
        <f t="shared" si="7"/>
        <v>116</v>
      </c>
      <c r="M62" s="69">
        <f t="shared" si="8"/>
        <v>2.64</v>
      </c>
      <c r="N62" s="58">
        <f t="shared" si="5"/>
        <v>0</v>
      </c>
      <c r="O62" s="60"/>
      <c r="P62" s="59">
        <f t="shared" si="6"/>
        <v>0</v>
      </c>
    </row>
    <row r="63" spans="1:16" ht="15.75" customHeight="1" x14ac:dyDescent="0.35">
      <c r="A63" s="54" t="s">
        <v>62</v>
      </c>
      <c r="B63" s="55" t="s">
        <v>58</v>
      </c>
      <c r="C63" s="55" t="s">
        <v>59</v>
      </c>
      <c r="D63" s="55">
        <v>114</v>
      </c>
      <c r="E63" s="55"/>
      <c r="F63" s="55"/>
      <c r="G63" s="55"/>
      <c r="H63" s="55"/>
      <c r="I63" s="70"/>
      <c r="J63" s="55"/>
      <c r="K63" s="80"/>
      <c r="L63" s="69">
        <f t="shared" si="7"/>
        <v>114</v>
      </c>
      <c r="M63" s="69">
        <f t="shared" si="8"/>
        <v>3.96</v>
      </c>
      <c r="N63" s="58">
        <f t="shared" si="5"/>
        <v>0</v>
      </c>
      <c r="O63" s="60"/>
      <c r="P63" s="59">
        <f t="shared" si="6"/>
        <v>0</v>
      </c>
    </row>
    <row r="64" spans="1:16" ht="15.75" customHeight="1" x14ac:dyDescent="0.35">
      <c r="A64" s="54" t="s">
        <v>57</v>
      </c>
      <c r="B64" s="55" t="s">
        <v>58</v>
      </c>
      <c r="C64" s="55" t="s">
        <v>59</v>
      </c>
      <c r="D64" s="55">
        <v>118</v>
      </c>
      <c r="E64" s="55"/>
      <c r="F64" s="55"/>
      <c r="G64" s="55"/>
      <c r="H64" s="55"/>
      <c r="I64" s="70"/>
      <c r="J64" s="55"/>
      <c r="K64" s="80"/>
      <c r="L64" s="69">
        <f t="shared" si="7"/>
        <v>118</v>
      </c>
      <c r="M64" s="69">
        <f t="shared" si="8"/>
        <v>1.32</v>
      </c>
      <c r="N64" s="58">
        <f t="shared" si="5"/>
        <v>0</v>
      </c>
      <c r="O64" s="60"/>
      <c r="P64" s="59">
        <f t="shared" si="6"/>
        <v>0</v>
      </c>
    </row>
    <row r="65" spans="1:16" ht="15.75" customHeight="1" x14ac:dyDescent="0.35">
      <c r="A65" s="54" t="s">
        <v>68</v>
      </c>
      <c r="B65" s="55" t="s">
        <v>58</v>
      </c>
      <c r="C65" s="55" t="s">
        <v>59</v>
      </c>
      <c r="D65" s="55">
        <v>112</v>
      </c>
      <c r="E65" s="55">
        <v>118</v>
      </c>
      <c r="F65" s="55">
        <v>110</v>
      </c>
      <c r="G65" s="55"/>
      <c r="H65" s="55"/>
      <c r="I65" s="70"/>
      <c r="J65" s="55"/>
      <c r="K65" s="80"/>
      <c r="L65" s="69">
        <f t="shared" si="7"/>
        <v>113.33333333333333</v>
      </c>
      <c r="M65" s="69">
        <f t="shared" si="8"/>
        <v>4.400000000000003</v>
      </c>
      <c r="N65" s="58">
        <f t="shared" si="5"/>
        <v>0</v>
      </c>
      <c r="O65" s="60"/>
      <c r="P65" s="59">
        <f t="shared" si="6"/>
        <v>0</v>
      </c>
    </row>
    <row r="66" spans="1:16" ht="15.75" customHeight="1" x14ac:dyDescent="0.35">
      <c r="A66" s="54" t="s">
        <v>26</v>
      </c>
      <c r="B66" s="55" t="s">
        <v>58</v>
      </c>
      <c r="C66" s="55" t="s">
        <v>134</v>
      </c>
      <c r="D66" s="55">
        <v>114</v>
      </c>
      <c r="E66" s="55"/>
      <c r="F66" s="55"/>
      <c r="G66" s="55"/>
      <c r="H66" s="55">
        <v>94</v>
      </c>
      <c r="I66" s="70"/>
      <c r="J66" s="55"/>
      <c r="K66" s="80"/>
      <c r="L66" s="69">
        <f t="shared" si="7"/>
        <v>104</v>
      </c>
      <c r="M66" s="69">
        <f t="shared" si="8"/>
        <v>10.56</v>
      </c>
      <c r="N66" s="58">
        <f t="shared" si="5"/>
        <v>0</v>
      </c>
      <c r="O66" s="60"/>
      <c r="P66" s="59">
        <f t="shared" si="6"/>
        <v>0</v>
      </c>
    </row>
    <row r="67" spans="1:16" ht="15.75" customHeight="1" x14ac:dyDescent="0.35">
      <c r="A67" s="54" t="s">
        <v>33</v>
      </c>
      <c r="B67" s="55" t="s">
        <v>58</v>
      </c>
      <c r="C67" s="55" t="s">
        <v>134</v>
      </c>
      <c r="D67" s="55">
        <v>115</v>
      </c>
      <c r="E67" s="55"/>
      <c r="F67" s="55">
        <v>115</v>
      </c>
      <c r="G67" s="55"/>
      <c r="H67" s="55"/>
      <c r="I67" s="70"/>
      <c r="J67" s="55"/>
      <c r="K67" s="80"/>
      <c r="L67" s="69">
        <f t="shared" si="7"/>
        <v>115</v>
      </c>
      <c r="M67" s="69">
        <f t="shared" si="8"/>
        <v>3.3000000000000003</v>
      </c>
      <c r="N67" s="58">
        <f t="shared" ref="N67:N100" si="9">K67</f>
        <v>0</v>
      </c>
      <c r="O67" s="60"/>
      <c r="P67" s="59">
        <f t="shared" ref="P67:P100" si="10">IF(ISBLANK(K67), 0, K67 + M67)</f>
        <v>0</v>
      </c>
    </row>
    <row r="68" spans="1:16" ht="15.75" customHeight="1" x14ac:dyDescent="0.35">
      <c r="A68" s="54" t="s">
        <v>44</v>
      </c>
      <c r="B68" s="55" t="s">
        <v>58</v>
      </c>
      <c r="C68" s="55" t="s">
        <v>134</v>
      </c>
      <c r="D68" s="55"/>
      <c r="E68" s="55"/>
      <c r="F68" s="55"/>
      <c r="G68" s="55">
        <v>115</v>
      </c>
      <c r="H68" s="55"/>
      <c r="I68" s="70"/>
      <c r="J68" s="55"/>
      <c r="K68" s="80"/>
      <c r="L68" s="69">
        <f t="shared" si="7"/>
        <v>115</v>
      </c>
      <c r="M68" s="69">
        <f t="shared" si="8"/>
        <v>3.3000000000000003</v>
      </c>
      <c r="N68" s="58">
        <f t="shared" si="9"/>
        <v>0</v>
      </c>
      <c r="O68" s="60"/>
      <c r="P68" s="59">
        <f t="shared" si="10"/>
        <v>0</v>
      </c>
    </row>
    <row r="69" spans="1:16" ht="15.75" customHeight="1" x14ac:dyDescent="0.35">
      <c r="A69" s="54" t="s">
        <v>47</v>
      </c>
      <c r="B69" s="55" t="s">
        <v>58</v>
      </c>
      <c r="C69" s="55" t="s">
        <v>134</v>
      </c>
      <c r="D69" s="55"/>
      <c r="E69" s="55"/>
      <c r="F69" s="55"/>
      <c r="G69" s="55"/>
      <c r="H69" s="55">
        <v>107</v>
      </c>
      <c r="I69" s="70"/>
      <c r="J69" s="55"/>
      <c r="K69" s="80"/>
      <c r="L69" s="69">
        <f t="shared" si="7"/>
        <v>107</v>
      </c>
      <c r="M69" s="69">
        <f t="shared" si="8"/>
        <v>8.58</v>
      </c>
      <c r="N69" s="58">
        <f t="shared" si="9"/>
        <v>0</v>
      </c>
      <c r="O69" s="60"/>
      <c r="P69" s="59">
        <f t="shared" si="10"/>
        <v>0</v>
      </c>
    </row>
    <row r="70" spans="1:16" ht="15.75" customHeight="1" x14ac:dyDescent="0.35">
      <c r="A70" s="54" t="s">
        <v>24</v>
      </c>
      <c r="B70" s="55" t="s">
        <v>58</v>
      </c>
      <c r="C70" s="55" t="s">
        <v>134</v>
      </c>
      <c r="D70" s="55"/>
      <c r="E70" s="55"/>
      <c r="F70" s="55"/>
      <c r="G70" s="55"/>
      <c r="H70" s="55">
        <v>109</v>
      </c>
      <c r="I70" s="70"/>
      <c r="J70" s="55"/>
      <c r="K70" s="80"/>
      <c r="L70" s="69">
        <f t="shared" si="7"/>
        <v>109</v>
      </c>
      <c r="M70" s="69">
        <f t="shared" si="8"/>
        <v>7.2600000000000007</v>
      </c>
      <c r="N70" s="58">
        <f t="shared" si="9"/>
        <v>0</v>
      </c>
      <c r="O70" s="60"/>
      <c r="P70" s="59">
        <f t="shared" si="10"/>
        <v>0</v>
      </c>
    </row>
    <row r="71" spans="1:16" ht="15.75" customHeight="1" x14ac:dyDescent="0.35">
      <c r="A71" s="54" t="s">
        <v>25</v>
      </c>
      <c r="B71" s="55" t="s">
        <v>58</v>
      </c>
      <c r="C71" s="55" t="s">
        <v>134</v>
      </c>
      <c r="D71" s="55"/>
      <c r="E71" s="55"/>
      <c r="F71" s="55">
        <v>114</v>
      </c>
      <c r="G71" s="55"/>
      <c r="H71" s="55"/>
      <c r="I71" s="70"/>
      <c r="J71" s="55"/>
      <c r="K71" s="80"/>
      <c r="L71" s="69">
        <f t="shared" si="7"/>
        <v>114</v>
      </c>
      <c r="M71" s="69">
        <f t="shared" si="8"/>
        <v>3.96</v>
      </c>
      <c r="N71" s="58">
        <f t="shared" si="9"/>
        <v>0</v>
      </c>
      <c r="O71" s="60"/>
      <c r="P71" s="59">
        <f t="shared" si="10"/>
        <v>0</v>
      </c>
    </row>
    <row r="72" spans="1:16" ht="15.75" customHeight="1" x14ac:dyDescent="0.35">
      <c r="A72" s="54" t="s">
        <v>94</v>
      </c>
      <c r="B72" s="55" t="s">
        <v>58</v>
      </c>
      <c r="C72" s="55" t="s">
        <v>95</v>
      </c>
      <c r="D72" s="55">
        <v>106</v>
      </c>
      <c r="E72" s="55">
        <v>103</v>
      </c>
      <c r="F72" s="55"/>
      <c r="G72" s="55"/>
      <c r="H72" s="55"/>
      <c r="I72" s="70"/>
      <c r="J72" s="55">
        <v>106</v>
      </c>
      <c r="K72" s="80"/>
      <c r="L72" s="69">
        <f t="shared" si="7"/>
        <v>105</v>
      </c>
      <c r="M72" s="69">
        <f t="shared" si="8"/>
        <v>9.9</v>
      </c>
      <c r="N72" s="58">
        <f t="shared" si="9"/>
        <v>0</v>
      </c>
      <c r="O72" s="60"/>
      <c r="P72" s="59">
        <f t="shared" si="10"/>
        <v>0</v>
      </c>
    </row>
    <row r="73" spans="1:16" ht="15.75" customHeight="1" x14ac:dyDescent="0.35">
      <c r="A73" s="54" t="s">
        <v>96</v>
      </c>
      <c r="B73" s="55" t="s">
        <v>58</v>
      </c>
      <c r="C73" s="55" t="s">
        <v>95</v>
      </c>
      <c r="D73" s="55">
        <v>100</v>
      </c>
      <c r="E73" s="55"/>
      <c r="F73" s="55"/>
      <c r="G73" s="55"/>
      <c r="H73" s="55"/>
      <c r="I73" s="70"/>
      <c r="J73" s="55"/>
      <c r="K73" s="80"/>
      <c r="L73" s="69">
        <f t="shared" si="7"/>
        <v>100</v>
      </c>
      <c r="M73" s="69">
        <f t="shared" si="8"/>
        <v>13.2</v>
      </c>
      <c r="N73" s="58">
        <f t="shared" si="9"/>
        <v>0</v>
      </c>
      <c r="O73" s="60"/>
      <c r="P73" s="59">
        <f t="shared" si="10"/>
        <v>0</v>
      </c>
    </row>
    <row r="74" spans="1:16" ht="15.75" customHeight="1" x14ac:dyDescent="0.35">
      <c r="A74" s="54" t="s">
        <v>122</v>
      </c>
      <c r="B74" s="55" t="s">
        <v>58</v>
      </c>
      <c r="C74" s="55" t="s">
        <v>136</v>
      </c>
      <c r="D74" s="55"/>
      <c r="E74" s="55"/>
      <c r="F74" s="55">
        <v>116</v>
      </c>
      <c r="G74" s="55"/>
      <c r="H74" s="55"/>
      <c r="I74" s="70"/>
      <c r="J74" s="55"/>
      <c r="K74" s="80"/>
      <c r="L74" s="69">
        <f t="shared" si="7"/>
        <v>116</v>
      </c>
      <c r="M74" s="69">
        <f t="shared" si="8"/>
        <v>2.64</v>
      </c>
      <c r="N74" s="58">
        <f t="shared" si="9"/>
        <v>0</v>
      </c>
      <c r="O74" s="60"/>
      <c r="P74" s="59">
        <f t="shared" si="10"/>
        <v>0</v>
      </c>
    </row>
    <row r="75" spans="1:16" ht="15.75" customHeight="1" x14ac:dyDescent="0.35">
      <c r="A75" s="54" t="s">
        <v>113</v>
      </c>
      <c r="B75" s="55" t="s">
        <v>58</v>
      </c>
      <c r="C75" s="55" t="s">
        <v>136</v>
      </c>
      <c r="D75" s="55">
        <v>108</v>
      </c>
      <c r="E75" s="55"/>
      <c r="F75" s="55"/>
      <c r="G75" s="55"/>
      <c r="H75" s="55"/>
      <c r="I75" s="70"/>
      <c r="J75" s="55"/>
      <c r="K75" s="80"/>
      <c r="L75" s="69">
        <f t="shared" si="7"/>
        <v>108</v>
      </c>
      <c r="M75" s="69">
        <f t="shared" si="8"/>
        <v>7.92</v>
      </c>
      <c r="N75" s="58">
        <f t="shared" si="9"/>
        <v>0</v>
      </c>
      <c r="O75" s="60"/>
      <c r="P75" s="59">
        <f t="shared" si="10"/>
        <v>0</v>
      </c>
    </row>
    <row r="76" spans="1:16" ht="15.75" customHeight="1" x14ac:dyDescent="0.35">
      <c r="A76" s="54" t="s">
        <v>115</v>
      </c>
      <c r="B76" s="55" t="s">
        <v>58</v>
      </c>
      <c r="C76" s="55" t="s">
        <v>136</v>
      </c>
      <c r="D76" s="55">
        <v>114</v>
      </c>
      <c r="E76" s="55"/>
      <c r="F76" s="55">
        <v>105</v>
      </c>
      <c r="G76" s="55"/>
      <c r="H76" s="55"/>
      <c r="I76" s="70"/>
      <c r="J76" s="55"/>
      <c r="K76" s="80"/>
      <c r="L76" s="69">
        <f t="shared" si="7"/>
        <v>109.5</v>
      </c>
      <c r="M76" s="69">
        <f t="shared" si="8"/>
        <v>6.9300000000000006</v>
      </c>
      <c r="N76" s="58">
        <f t="shared" si="9"/>
        <v>0</v>
      </c>
      <c r="O76" s="60"/>
      <c r="P76" s="59">
        <f t="shared" si="10"/>
        <v>0</v>
      </c>
    </row>
    <row r="77" spans="1:16" ht="15.75" customHeight="1" x14ac:dyDescent="0.35">
      <c r="A77" s="54" t="s">
        <v>124</v>
      </c>
      <c r="B77" s="55" t="s">
        <v>58</v>
      </c>
      <c r="C77" s="55" t="s">
        <v>136</v>
      </c>
      <c r="D77" s="55"/>
      <c r="E77" s="55"/>
      <c r="F77" s="55"/>
      <c r="G77" s="55"/>
      <c r="H77" s="55">
        <v>117</v>
      </c>
      <c r="I77" s="70"/>
      <c r="J77" s="55"/>
      <c r="K77" s="80"/>
      <c r="L77" s="69">
        <f t="shared" si="7"/>
        <v>117</v>
      </c>
      <c r="M77" s="69">
        <f t="shared" si="8"/>
        <v>1.98</v>
      </c>
      <c r="N77" s="58">
        <f t="shared" si="9"/>
        <v>0</v>
      </c>
      <c r="O77" s="60"/>
      <c r="P77" s="59">
        <f t="shared" si="10"/>
        <v>0</v>
      </c>
    </row>
    <row r="78" spans="1:16" ht="15.75" customHeight="1" x14ac:dyDescent="0.35">
      <c r="A78" s="54" t="s">
        <v>106</v>
      </c>
      <c r="B78" s="55" t="s">
        <v>58</v>
      </c>
      <c r="C78" s="55" t="s">
        <v>136</v>
      </c>
      <c r="D78" s="55"/>
      <c r="E78" s="55">
        <v>95</v>
      </c>
      <c r="F78" s="55"/>
      <c r="G78" s="55"/>
      <c r="H78" s="55"/>
      <c r="I78" s="70"/>
      <c r="J78" s="55"/>
      <c r="K78" s="80"/>
      <c r="L78" s="69">
        <f t="shared" si="7"/>
        <v>95</v>
      </c>
      <c r="M78" s="69">
        <f t="shared" si="8"/>
        <v>13.2</v>
      </c>
      <c r="N78" s="58">
        <f t="shared" si="9"/>
        <v>0</v>
      </c>
      <c r="O78" s="60"/>
      <c r="P78" s="59">
        <f t="shared" si="10"/>
        <v>0</v>
      </c>
    </row>
    <row r="79" spans="1:16" ht="15.75" customHeight="1" x14ac:dyDescent="0.35">
      <c r="A79" s="54" t="s">
        <v>73</v>
      </c>
      <c r="B79" s="55" t="s">
        <v>22</v>
      </c>
      <c r="C79" s="55" t="s">
        <v>59</v>
      </c>
      <c r="D79" s="55"/>
      <c r="E79" s="55">
        <v>97</v>
      </c>
      <c r="F79" s="55">
        <v>100</v>
      </c>
      <c r="G79" s="55"/>
      <c r="H79" s="55"/>
      <c r="I79" s="70"/>
      <c r="J79" s="55"/>
      <c r="K79" s="80"/>
      <c r="L79" s="69">
        <f t="shared" si="7"/>
        <v>98.5</v>
      </c>
      <c r="M79" s="69">
        <f t="shared" ref="M79:M100" si="11">MIN(13.2, MAX(0, 100 - L79) * 0.66)</f>
        <v>0.99</v>
      </c>
      <c r="N79" s="58">
        <f t="shared" si="9"/>
        <v>0</v>
      </c>
      <c r="O79" s="60"/>
      <c r="P79" s="59">
        <f t="shared" si="10"/>
        <v>0</v>
      </c>
    </row>
    <row r="80" spans="1:16" ht="15.75" customHeight="1" x14ac:dyDescent="0.35">
      <c r="A80" s="54" t="s">
        <v>76</v>
      </c>
      <c r="B80" s="55" t="s">
        <v>22</v>
      </c>
      <c r="C80" s="55" t="s">
        <v>59</v>
      </c>
      <c r="D80" s="55">
        <v>93</v>
      </c>
      <c r="E80" s="55"/>
      <c r="F80" s="55"/>
      <c r="G80" s="55"/>
      <c r="H80" s="55"/>
      <c r="I80" s="70"/>
      <c r="J80" s="55"/>
      <c r="K80" s="80"/>
      <c r="L80" s="69">
        <f t="shared" si="7"/>
        <v>93</v>
      </c>
      <c r="M80" s="69">
        <f t="shared" si="11"/>
        <v>4.62</v>
      </c>
      <c r="N80" s="58">
        <f t="shared" si="9"/>
        <v>0</v>
      </c>
      <c r="O80" s="60"/>
      <c r="P80" s="59">
        <f t="shared" si="10"/>
        <v>0</v>
      </c>
    </row>
    <row r="81" spans="1:16" ht="15.75" customHeight="1" x14ac:dyDescent="0.35">
      <c r="A81" s="54" t="s">
        <v>77</v>
      </c>
      <c r="B81" s="55" t="s">
        <v>22</v>
      </c>
      <c r="C81" s="55" t="s">
        <v>59</v>
      </c>
      <c r="D81" s="55">
        <v>93</v>
      </c>
      <c r="E81" s="55"/>
      <c r="F81" s="55"/>
      <c r="G81" s="55"/>
      <c r="H81" s="55"/>
      <c r="I81" s="70"/>
      <c r="J81" s="55"/>
      <c r="K81" s="80"/>
      <c r="L81" s="69">
        <f t="shared" si="7"/>
        <v>93</v>
      </c>
      <c r="M81" s="69">
        <f t="shared" si="11"/>
        <v>4.62</v>
      </c>
      <c r="N81" s="58">
        <f t="shared" si="9"/>
        <v>0</v>
      </c>
      <c r="O81" s="60"/>
      <c r="P81" s="59">
        <f t="shared" si="10"/>
        <v>0</v>
      </c>
    </row>
    <row r="82" spans="1:16" ht="15.75" customHeight="1" x14ac:dyDescent="0.35">
      <c r="A82" s="54" t="s">
        <v>61</v>
      </c>
      <c r="B82" s="55" t="s">
        <v>22</v>
      </c>
      <c r="C82" s="55" t="s">
        <v>59</v>
      </c>
      <c r="D82" s="55"/>
      <c r="E82" s="55">
        <v>93</v>
      </c>
      <c r="F82" s="55"/>
      <c r="G82" s="55"/>
      <c r="H82" s="55"/>
      <c r="I82" s="70"/>
      <c r="J82" s="55"/>
      <c r="K82" s="80"/>
      <c r="L82" s="69">
        <f t="shared" si="7"/>
        <v>93</v>
      </c>
      <c r="M82" s="69">
        <f t="shared" si="11"/>
        <v>4.62</v>
      </c>
      <c r="N82" s="58">
        <f t="shared" si="9"/>
        <v>0</v>
      </c>
      <c r="O82" s="60"/>
      <c r="P82" s="59">
        <f t="shared" si="10"/>
        <v>0</v>
      </c>
    </row>
    <row r="83" spans="1:16" ht="15.75" customHeight="1" x14ac:dyDescent="0.35">
      <c r="A83" s="54" t="s">
        <v>19</v>
      </c>
      <c r="B83" s="55" t="s">
        <v>22</v>
      </c>
      <c r="C83" s="55" t="s">
        <v>134</v>
      </c>
      <c r="D83" s="55">
        <v>95</v>
      </c>
      <c r="E83" s="55"/>
      <c r="F83" s="55">
        <v>86</v>
      </c>
      <c r="G83" s="55">
        <v>95</v>
      </c>
      <c r="H83" s="55">
        <v>86</v>
      </c>
      <c r="I83" s="70"/>
      <c r="J83" s="55"/>
      <c r="K83" s="80"/>
      <c r="L83" s="69">
        <f t="shared" si="7"/>
        <v>90.5</v>
      </c>
      <c r="M83" s="69">
        <f t="shared" si="11"/>
        <v>6.2700000000000005</v>
      </c>
      <c r="N83" s="58">
        <f t="shared" si="9"/>
        <v>0</v>
      </c>
      <c r="O83" s="60"/>
      <c r="P83" s="59">
        <f t="shared" si="10"/>
        <v>0</v>
      </c>
    </row>
    <row r="84" spans="1:16" ht="15.75" customHeight="1" x14ac:dyDescent="0.35">
      <c r="A84" s="54" t="s">
        <v>51</v>
      </c>
      <c r="B84" s="55" t="s">
        <v>22</v>
      </c>
      <c r="C84" s="55" t="s">
        <v>134</v>
      </c>
      <c r="D84" s="55">
        <v>99</v>
      </c>
      <c r="E84" s="55"/>
      <c r="F84" s="55"/>
      <c r="G84" s="55"/>
      <c r="H84" s="55"/>
      <c r="I84" s="70"/>
      <c r="J84" s="55"/>
      <c r="K84" s="80"/>
      <c r="L84" s="69">
        <f t="shared" si="7"/>
        <v>99</v>
      </c>
      <c r="M84" s="69">
        <f t="shared" si="11"/>
        <v>0.66</v>
      </c>
      <c r="N84" s="58">
        <f t="shared" si="9"/>
        <v>0</v>
      </c>
      <c r="O84" s="60"/>
      <c r="P84" s="59">
        <f t="shared" si="10"/>
        <v>0</v>
      </c>
    </row>
    <row r="85" spans="1:16" ht="15.75" customHeight="1" x14ac:dyDescent="0.35">
      <c r="A85" s="54" t="s">
        <v>49</v>
      </c>
      <c r="B85" s="55" t="s">
        <v>22</v>
      </c>
      <c r="C85" s="55" t="s">
        <v>134</v>
      </c>
      <c r="D85" s="55"/>
      <c r="E85" s="55"/>
      <c r="F85" s="55">
        <v>93</v>
      </c>
      <c r="G85" s="55"/>
      <c r="H85" s="55"/>
      <c r="I85" s="70"/>
      <c r="J85" s="55"/>
      <c r="K85" s="80"/>
      <c r="L85" s="69">
        <f t="shared" si="7"/>
        <v>93</v>
      </c>
      <c r="M85" s="69">
        <f t="shared" si="11"/>
        <v>4.62</v>
      </c>
      <c r="N85" s="58">
        <f t="shared" si="9"/>
        <v>0</v>
      </c>
      <c r="O85" s="60"/>
      <c r="P85" s="59">
        <f t="shared" si="10"/>
        <v>0</v>
      </c>
    </row>
    <row r="86" spans="1:16" ht="15.75" customHeight="1" x14ac:dyDescent="0.35">
      <c r="A86" s="54" t="s">
        <v>32</v>
      </c>
      <c r="B86" s="55" t="s">
        <v>22</v>
      </c>
      <c r="C86" s="55" t="s">
        <v>134</v>
      </c>
      <c r="D86" s="55"/>
      <c r="E86" s="55"/>
      <c r="F86" s="55">
        <v>98</v>
      </c>
      <c r="G86" s="55"/>
      <c r="H86" s="55"/>
      <c r="I86" s="70"/>
      <c r="J86" s="55"/>
      <c r="K86" s="80"/>
      <c r="L86" s="69">
        <f t="shared" si="7"/>
        <v>98</v>
      </c>
      <c r="M86" s="69">
        <f t="shared" si="11"/>
        <v>1.32</v>
      </c>
      <c r="N86" s="58">
        <f t="shared" si="9"/>
        <v>0</v>
      </c>
      <c r="O86" s="60"/>
      <c r="P86" s="59">
        <f t="shared" si="10"/>
        <v>0</v>
      </c>
    </row>
    <row r="87" spans="1:16" ht="15.75" customHeight="1" x14ac:dyDescent="0.35">
      <c r="A87" s="54" t="s">
        <v>52</v>
      </c>
      <c r="B87" s="55" t="s">
        <v>22</v>
      </c>
      <c r="C87" s="55" t="s">
        <v>134</v>
      </c>
      <c r="D87" s="55">
        <v>98</v>
      </c>
      <c r="E87" s="55"/>
      <c r="F87" s="55"/>
      <c r="G87" s="55"/>
      <c r="H87" s="55"/>
      <c r="I87" s="70"/>
      <c r="J87" s="55"/>
      <c r="K87" s="80"/>
      <c r="L87" s="69">
        <f t="shared" si="7"/>
        <v>98</v>
      </c>
      <c r="M87" s="69">
        <f t="shared" si="11"/>
        <v>1.32</v>
      </c>
      <c r="N87" s="58">
        <f t="shared" si="9"/>
        <v>0</v>
      </c>
      <c r="O87" s="60"/>
      <c r="P87" s="59">
        <f t="shared" si="10"/>
        <v>0</v>
      </c>
    </row>
    <row r="88" spans="1:16" ht="15.75" customHeight="1" x14ac:dyDescent="0.35">
      <c r="A88" s="54" t="s">
        <v>48</v>
      </c>
      <c r="B88" s="55" t="s">
        <v>22</v>
      </c>
      <c r="C88" s="55" t="s">
        <v>134</v>
      </c>
      <c r="D88" s="55">
        <v>98</v>
      </c>
      <c r="E88" s="55">
        <v>99</v>
      </c>
      <c r="F88" s="55">
        <v>99</v>
      </c>
      <c r="G88" s="55">
        <v>92</v>
      </c>
      <c r="H88" s="55">
        <v>96</v>
      </c>
      <c r="I88" s="70"/>
      <c r="J88" s="55">
        <v>98</v>
      </c>
      <c r="K88" s="80"/>
      <c r="L88" s="69">
        <f t="shared" si="7"/>
        <v>97</v>
      </c>
      <c r="M88" s="69">
        <f t="shared" si="11"/>
        <v>1.98</v>
      </c>
      <c r="N88" s="58">
        <f t="shared" si="9"/>
        <v>0</v>
      </c>
      <c r="O88" s="60"/>
      <c r="P88" s="59">
        <f t="shared" si="10"/>
        <v>0</v>
      </c>
    </row>
    <row r="89" spans="1:16" ht="15.75" customHeight="1" x14ac:dyDescent="0.35">
      <c r="A89" s="54" t="s">
        <v>25</v>
      </c>
      <c r="B89" s="55" t="s">
        <v>22</v>
      </c>
      <c r="C89" s="55" t="s">
        <v>134</v>
      </c>
      <c r="D89" s="55"/>
      <c r="E89" s="55"/>
      <c r="F89" s="55"/>
      <c r="G89" s="55"/>
      <c r="H89" s="55"/>
      <c r="I89" s="70"/>
      <c r="J89" s="55">
        <v>97</v>
      </c>
      <c r="K89" s="80"/>
      <c r="L89" s="69">
        <f t="shared" si="7"/>
        <v>97</v>
      </c>
      <c r="M89" s="69">
        <f t="shared" si="11"/>
        <v>1.98</v>
      </c>
      <c r="N89" s="58">
        <f t="shared" si="9"/>
        <v>0</v>
      </c>
      <c r="O89" s="60"/>
      <c r="P89" s="59">
        <f t="shared" si="10"/>
        <v>0</v>
      </c>
    </row>
    <row r="90" spans="1:16" ht="15.75" customHeight="1" x14ac:dyDescent="0.35">
      <c r="A90" s="54" t="s">
        <v>90</v>
      </c>
      <c r="B90" s="55" t="s">
        <v>28</v>
      </c>
      <c r="C90" s="55" t="s">
        <v>83</v>
      </c>
      <c r="D90" s="55">
        <v>88</v>
      </c>
      <c r="E90" s="55">
        <v>92</v>
      </c>
      <c r="F90" s="55"/>
      <c r="G90" s="55"/>
      <c r="H90" s="55">
        <v>94</v>
      </c>
      <c r="I90" s="70"/>
      <c r="J90" s="55">
        <v>96</v>
      </c>
      <c r="K90" s="80"/>
      <c r="L90" s="69">
        <f t="shared" si="7"/>
        <v>92.5</v>
      </c>
      <c r="M90" s="69">
        <f t="shared" si="11"/>
        <v>4.95</v>
      </c>
      <c r="N90" s="58">
        <f t="shared" si="9"/>
        <v>0</v>
      </c>
      <c r="O90" s="60"/>
      <c r="P90" s="59">
        <f t="shared" si="10"/>
        <v>0</v>
      </c>
    </row>
    <row r="91" spans="1:16" ht="15.75" customHeight="1" x14ac:dyDescent="0.35">
      <c r="A91" s="54" t="s">
        <v>89</v>
      </c>
      <c r="B91" s="55" t="s">
        <v>28</v>
      </c>
      <c r="C91" s="55" t="s">
        <v>83</v>
      </c>
      <c r="D91" s="55">
        <v>85</v>
      </c>
      <c r="E91" s="55">
        <v>94</v>
      </c>
      <c r="F91" s="55">
        <v>89</v>
      </c>
      <c r="G91" s="55">
        <v>88</v>
      </c>
      <c r="H91" s="55">
        <v>81</v>
      </c>
      <c r="I91" s="70"/>
      <c r="J91" s="55">
        <v>87</v>
      </c>
      <c r="K91" s="80"/>
      <c r="L91" s="69">
        <f t="shared" si="7"/>
        <v>87.333333333333329</v>
      </c>
      <c r="M91" s="69">
        <f t="shared" si="11"/>
        <v>8.360000000000003</v>
      </c>
      <c r="N91" s="58">
        <f t="shared" si="9"/>
        <v>0</v>
      </c>
      <c r="O91" s="60"/>
      <c r="P91" s="59">
        <f t="shared" si="10"/>
        <v>0</v>
      </c>
    </row>
    <row r="92" spans="1:16" ht="15.75" customHeight="1" x14ac:dyDescent="0.35">
      <c r="A92" s="54" t="s">
        <v>30</v>
      </c>
      <c r="B92" s="55" t="s">
        <v>28</v>
      </c>
      <c r="C92" s="55" t="s">
        <v>134</v>
      </c>
      <c r="D92" s="55">
        <v>93</v>
      </c>
      <c r="E92" s="55"/>
      <c r="F92" s="55">
        <v>96</v>
      </c>
      <c r="G92" s="55">
        <v>77</v>
      </c>
      <c r="H92" s="55"/>
      <c r="I92" s="70"/>
      <c r="J92" s="55"/>
      <c r="K92" s="80"/>
      <c r="L92" s="69">
        <f t="shared" si="7"/>
        <v>88.666666666666671</v>
      </c>
      <c r="M92" s="69">
        <f t="shared" si="11"/>
        <v>7.4799999999999969</v>
      </c>
      <c r="N92" s="58">
        <f t="shared" si="9"/>
        <v>0</v>
      </c>
      <c r="O92" s="64"/>
      <c r="P92" s="59">
        <f t="shared" si="10"/>
        <v>0</v>
      </c>
    </row>
    <row r="93" spans="1:16" ht="15.75" customHeight="1" x14ac:dyDescent="0.35">
      <c r="A93" s="54" t="s">
        <v>55</v>
      </c>
      <c r="B93" s="55" t="s">
        <v>28</v>
      </c>
      <c r="C93" s="55" t="s">
        <v>134</v>
      </c>
      <c r="D93" s="55"/>
      <c r="E93" s="55"/>
      <c r="F93" s="55"/>
      <c r="G93" s="55"/>
      <c r="H93" s="55">
        <f>46+47</f>
        <v>93</v>
      </c>
      <c r="I93" s="70"/>
      <c r="J93" s="55"/>
      <c r="K93" s="80"/>
      <c r="L93" s="69">
        <f t="shared" si="7"/>
        <v>93</v>
      </c>
      <c r="M93" s="69">
        <f t="shared" si="11"/>
        <v>4.62</v>
      </c>
      <c r="N93" s="58">
        <f t="shared" si="9"/>
        <v>0</v>
      </c>
      <c r="O93" s="64"/>
      <c r="P93" s="59">
        <f t="shared" si="10"/>
        <v>0</v>
      </c>
    </row>
    <row r="94" spans="1:16" ht="15.75" customHeight="1" x14ac:dyDescent="0.35">
      <c r="A94" s="54" t="s">
        <v>29</v>
      </c>
      <c r="B94" s="55" t="s">
        <v>28</v>
      </c>
      <c r="C94" s="55" t="s">
        <v>134</v>
      </c>
      <c r="D94" s="55"/>
      <c r="E94" s="55"/>
      <c r="F94" s="55">
        <v>99</v>
      </c>
      <c r="G94" s="55">
        <v>99</v>
      </c>
      <c r="H94" s="55">
        <f>39+48</f>
        <v>87</v>
      </c>
      <c r="I94" s="70"/>
      <c r="J94" s="55"/>
      <c r="K94" s="80"/>
      <c r="L94" s="69">
        <f t="shared" si="7"/>
        <v>95</v>
      </c>
      <c r="M94" s="69">
        <f t="shared" si="11"/>
        <v>3.3000000000000003</v>
      </c>
      <c r="N94" s="58">
        <f t="shared" si="9"/>
        <v>0</v>
      </c>
      <c r="O94" s="64"/>
      <c r="P94" s="59">
        <f t="shared" si="10"/>
        <v>0</v>
      </c>
    </row>
    <row r="95" spans="1:16" ht="15.75" customHeight="1" x14ac:dyDescent="0.35">
      <c r="A95" s="54" t="s">
        <v>27</v>
      </c>
      <c r="B95" s="55" t="s">
        <v>28</v>
      </c>
      <c r="C95" s="55" t="s">
        <v>134</v>
      </c>
      <c r="D95" s="55">
        <v>96</v>
      </c>
      <c r="E95" s="55"/>
      <c r="F95" s="55"/>
      <c r="G95" s="55"/>
      <c r="H95" s="55"/>
      <c r="I95" s="70"/>
      <c r="J95" s="55"/>
      <c r="K95" s="80"/>
      <c r="L95" s="69">
        <f t="shared" si="7"/>
        <v>96</v>
      </c>
      <c r="M95" s="69">
        <f t="shared" si="11"/>
        <v>2.64</v>
      </c>
      <c r="N95" s="58">
        <f t="shared" si="9"/>
        <v>0</v>
      </c>
      <c r="O95" s="64"/>
      <c r="P95" s="59">
        <f t="shared" si="10"/>
        <v>0</v>
      </c>
    </row>
    <row r="96" spans="1:16" ht="15.75" customHeight="1" x14ac:dyDescent="0.35">
      <c r="A96" s="54" t="s">
        <v>54</v>
      </c>
      <c r="B96" s="55" t="s">
        <v>28</v>
      </c>
      <c r="C96" s="55" t="s">
        <v>134</v>
      </c>
      <c r="D96" s="55"/>
      <c r="E96" s="55"/>
      <c r="F96" s="55"/>
      <c r="G96" s="55">
        <v>85</v>
      </c>
      <c r="H96" s="55"/>
      <c r="I96" s="70"/>
      <c r="J96" s="55"/>
      <c r="K96" s="80"/>
      <c r="L96" s="69">
        <f t="shared" si="7"/>
        <v>85</v>
      </c>
      <c r="M96" s="69">
        <f t="shared" si="11"/>
        <v>9.9</v>
      </c>
      <c r="N96" s="58">
        <f t="shared" si="9"/>
        <v>0</v>
      </c>
      <c r="O96" s="64"/>
      <c r="P96" s="59">
        <f t="shared" si="10"/>
        <v>0</v>
      </c>
    </row>
    <row r="97" spans="1:16" ht="15.75" customHeight="1" x14ac:dyDescent="0.35">
      <c r="A97" s="54" t="s">
        <v>99</v>
      </c>
      <c r="B97" s="55" t="s">
        <v>28</v>
      </c>
      <c r="C97" s="55" t="s">
        <v>95</v>
      </c>
      <c r="D97" s="55">
        <v>95</v>
      </c>
      <c r="E97" s="55">
        <v>99</v>
      </c>
      <c r="F97" s="55">
        <v>97</v>
      </c>
      <c r="G97" s="55"/>
      <c r="H97" s="55"/>
      <c r="I97" s="70"/>
      <c r="J97" s="55">
        <v>83</v>
      </c>
      <c r="K97" s="80"/>
      <c r="L97" s="69">
        <f t="shared" si="7"/>
        <v>93.5</v>
      </c>
      <c r="M97" s="69">
        <f t="shared" si="11"/>
        <v>4.29</v>
      </c>
      <c r="N97" s="58">
        <f t="shared" si="9"/>
        <v>0</v>
      </c>
      <c r="O97" s="60"/>
      <c r="P97" s="59">
        <f t="shared" si="10"/>
        <v>0</v>
      </c>
    </row>
    <row r="98" spans="1:16" ht="15.75" customHeight="1" x14ac:dyDescent="0.35">
      <c r="A98" s="54" t="s">
        <v>116</v>
      </c>
      <c r="B98" s="55" t="s">
        <v>28</v>
      </c>
      <c r="C98" s="55" t="s">
        <v>136</v>
      </c>
      <c r="D98" s="55">
        <v>94</v>
      </c>
      <c r="E98" s="55"/>
      <c r="F98" s="55">
        <v>90</v>
      </c>
      <c r="G98" s="55">
        <v>85</v>
      </c>
      <c r="H98" s="55">
        <v>82</v>
      </c>
      <c r="I98" s="70"/>
      <c r="J98" s="55"/>
      <c r="K98" s="80"/>
      <c r="L98" s="69">
        <f t="shared" si="7"/>
        <v>87.75</v>
      </c>
      <c r="M98" s="69">
        <f t="shared" si="11"/>
        <v>8.0850000000000009</v>
      </c>
      <c r="N98" s="58">
        <f t="shared" si="9"/>
        <v>0</v>
      </c>
      <c r="O98" s="64"/>
      <c r="P98" s="59">
        <f t="shared" si="10"/>
        <v>0</v>
      </c>
    </row>
    <row r="99" spans="1:16" ht="15.75" customHeight="1" x14ac:dyDescent="0.35">
      <c r="A99" s="54" t="s">
        <v>109</v>
      </c>
      <c r="B99" s="55" t="s">
        <v>28</v>
      </c>
      <c r="C99" s="55" t="s">
        <v>136</v>
      </c>
      <c r="D99" s="55"/>
      <c r="E99" s="55">
        <v>96</v>
      </c>
      <c r="F99" s="55"/>
      <c r="G99" s="55"/>
      <c r="H99" s="55"/>
      <c r="I99" s="70"/>
      <c r="J99" s="55"/>
      <c r="K99" s="80"/>
      <c r="L99" s="69">
        <f t="shared" si="7"/>
        <v>96</v>
      </c>
      <c r="M99" s="69">
        <f t="shared" si="11"/>
        <v>2.64</v>
      </c>
      <c r="N99" s="58">
        <f t="shared" si="9"/>
        <v>0</v>
      </c>
      <c r="O99" s="64"/>
      <c r="P99" s="59">
        <f t="shared" si="10"/>
        <v>0</v>
      </c>
    </row>
    <row r="100" spans="1:16" ht="15.75" customHeight="1" x14ac:dyDescent="0.35">
      <c r="A100" s="54" t="s">
        <v>108</v>
      </c>
      <c r="B100" s="55" t="s">
        <v>28</v>
      </c>
      <c r="C100" s="55" t="s">
        <v>136</v>
      </c>
      <c r="D100" s="55"/>
      <c r="E100" s="55">
        <v>98</v>
      </c>
      <c r="F100" s="55"/>
      <c r="G100" s="55"/>
      <c r="H100" s="55"/>
      <c r="I100" s="70"/>
      <c r="J100" s="55"/>
      <c r="K100" s="80"/>
      <c r="L100" s="69">
        <f t="shared" si="7"/>
        <v>98</v>
      </c>
      <c r="M100" s="69">
        <f t="shared" si="11"/>
        <v>1.32</v>
      </c>
      <c r="N100" s="58">
        <f t="shared" si="9"/>
        <v>0</v>
      </c>
      <c r="O100" s="64"/>
      <c r="P100" s="59">
        <f t="shared" si="10"/>
        <v>0</v>
      </c>
    </row>
    <row r="101" spans="1:16" ht="15.75" customHeight="1" x14ac:dyDescent="0.3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9"/>
      <c r="N101" s="30"/>
      <c r="O101" s="50"/>
      <c r="P101" s="49"/>
    </row>
    <row r="102" spans="1:16" ht="15.75" customHeight="1" x14ac:dyDescent="0.3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9"/>
      <c r="N102" s="30"/>
      <c r="O102" s="50"/>
      <c r="P102" s="49"/>
    </row>
    <row r="103" spans="1:16" ht="15.75" customHeight="1" x14ac:dyDescent="0.3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9"/>
      <c r="N103" s="30"/>
      <c r="O103" s="50"/>
      <c r="P103" s="49"/>
    </row>
    <row r="104" spans="1:16" ht="15.75" customHeight="1" x14ac:dyDescent="0.3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9"/>
      <c r="N104" s="30"/>
      <c r="O104" s="50"/>
      <c r="P104" s="49"/>
    </row>
    <row r="105" spans="1:16" ht="15.75" customHeight="1" x14ac:dyDescent="0.3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9"/>
      <c r="N105" s="30"/>
      <c r="O105" s="50"/>
      <c r="P105" s="49"/>
    </row>
    <row r="106" spans="1:16" ht="15.75" customHeight="1" x14ac:dyDescent="0.3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9"/>
      <c r="N106" s="30"/>
      <c r="O106" s="50"/>
      <c r="P106" s="49"/>
    </row>
    <row r="107" spans="1:16" ht="15.75" customHeight="1" x14ac:dyDescent="0.3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9"/>
      <c r="N107" s="30"/>
      <c r="O107" s="50"/>
      <c r="P107" s="49"/>
    </row>
    <row r="108" spans="1:16" ht="15.75" customHeight="1" x14ac:dyDescent="0.3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9"/>
      <c r="N108" s="30"/>
      <c r="O108" s="50"/>
      <c r="P108" s="49"/>
    </row>
    <row r="109" spans="1:16" ht="15.75" customHeight="1" x14ac:dyDescent="0.3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9"/>
      <c r="N109" s="30"/>
      <c r="O109" s="50"/>
      <c r="P109" s="49"/>
    </row>
    <row r="110" spans="1:16" ht="15.75" customHeight="1" x14ac:dyDescent="0.3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9"/>
      <c r="N110" s="30"/>
      <c r="O110" s="50"/>
      <c r="P110" s="49"/>
    </row>
    <row r="111" spans="1:16" ht="15.75" customHeight="1" x14ac:dyDescent="0.3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9"/>
      <c r="N111" s="30"/>
      <c r="O111" s="50"/>
      <c r="P111" s="49"/>
    </row>
    <row r="112" spans="1:16" ht="15.75" customHeight="1" x14ac:dyDescent="0.3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9"/>
      <c r="N112" s="30"/>
      <c r="O112" s="50"/>
      <c r="P112" s="49"/>
    </row>
    <row r="113" spans="1:16" ht="15.75" customHeight="1" x14ac:dyDescent="0.3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9"/>
      <c r="N113" s="30"/>
      <c r="O113" s="50"/>
      <c r="P113" s="49"/>
    </row>
    <row r="114" spans="1:16" ht="15.75" customHeight="1" x14ac:dyDescent="0.3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9"/>
      <c r="N114" s="30"/>
      <c r="O114" s="50"/>
      <c r="P114" s="49"/>
    </row>
    <row r="115" spans="1:16" ht="15.75" customHeight="1" x14ac:dyDescent="0.3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9"/>
      <c r="N115" s="30"/>
      <c r="O115" s="50"/>
      <c r="P115" s="49"/>
    </row>
    <row r="116" spans="1:16" ht="15.75" customHeight="1" x14ac:dyDescent="0.3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9"/>
      <c r="N116" s="30"/>
      <c r="O116" s="50"/>
      <c r="P116" s="49"/>
    </row>
    <row r="117" spans="1:16" ht="15.75" customHeight="1" x14ac:dyDescent="0.3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9"/>
      <c r="N117" s="30"/>
      <c r="O117" s="50"/>
      <c r="P117" s="49"/>
    </row>
    <row r="118" spans="1:16" ht="15.75" customHeight="1" x14ac:dyDescent="0.3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9"/>
      <c r="N118" s="30"/>
      <c r="O118" s="50"/>
      <c r="P118" s="49"/>
    </row>
    <row r="119" spans="1:16" ht="15.75" customHeight="1" x14ac:dyDescent="0.3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9"/>
      <c r="N119" s="30"/>
      <c r="O119" s="50"/>
      <c r="P119" s="49"/>
    </row>
    <row r="120" spans="1:16" ht="15.75" customHeight="1" x14ac:dyDescent="0.3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9"/>
      <c r="N120" s="30"/>
      <c r="O120" s="50"/>
      <c r="P120" s="49"/>
    </row>
    <row r="121" spans="1:16" ht="15.75" customHeight="1" x14ac:dyDescent="0.3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9"/>
      <c r="N121" s="30"/>
      <c r="O121" s="50"/>
      <c r="P121" s="49"/>
    </row>
    <row r="122" spans="1:16" ht="15.75" customHeight="1" x14ac:dyDescent="0.3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9"/>
      <c r="N122" s="30"/>
      <c r="O122" s="50"/>
      <c r="P122" s="49"/>
    </row>
    <row r="123" spans="1:16" ht="15.75" customHeight="1" x14ac:dyDescent="0.3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9"/>
      <c r="N123" s="30"/>
      <c r="O123" s="50"/>
      <c r="P123" s="49"/>
    </row>
    <row r="124" spans="1:16" ht="15.75" customHeight="1" x14ac:dyDescent="0.3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9"/>
      <c r="N124" s="30"/>
      <c r="O124" s="50"/>
      <c r="P124" s="49"/>
    </row>
    <row r="125" spans="1:16" ht="15.75" customHeight="1" x14ac:dyDescent="0.3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9"/>
      <c r="N125" s="30"/>
      <c r="O125" s="50"/>
      <c r="P125" s="49"/>
    </row>
    <row r="126" spans="1:16" ht="15.75" customHeight="1" x14ac:dyDescent="0.3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9"/>
      <c r="N126" s="30"/>
      <c r="O126" s="50"/>
      <c r="P126" s="49"/>
    </row>
    <row r="127" spans="1:16" ht="15.75" customHeight="1" x14ac:dyDescent="0.3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9"/>
      <c r="N127" s="30"/>
      <c r="O127" s="50"/>
      <c r="P127" s="49"/>
    </row>
    <row r="128" spans="1:16" ht="15.75" customHeight="1" x14ac:dyDescent="0.3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9"/>
      <c r="N128" s="30"/>
      <c r="O128" s="50"/>
      <c r="P128" s="49"/>
    </row>
    <row r="129" spans="1:16" ht="15.75" customHeight="1" x14ac:dyDescent="0.3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9"/>
      <c r="N129" s="30"/>
      <c r="O129" s="50"/>
      <c r="P129" s="49"/>
    </row>
    <row r="130" spans="1:16" ht="15.75" customHeight="1" x14ac:dyDescent="0.3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9"/>
      <c r="N130" s="30"/>
      <c r="O130" s="50"/>
      <c r="P130" s="49"/>
    </row>
    <row r="131" spans="1:16" ht="15.75" customHeight="1" x14ac:dyDescent="0.3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9"/>
      <c r="N131" s="30"/>
      <c r="O131" s="50"/>
      <c r="P131" s="49"/>
    </row>
    <row r="132" spans="1:16" ht="15.75" customHeight="1" x14ac:dyDescent="0.3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9"/>
      <c r="N132" s="30"/>
      <c r="O132" s="50"/>
      <c r="P132" s="49"/>
    </row>
    <row r="133" spans="1:16" ht="15.75" customHeight="1" x14ac:dyDescent="0.3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9"/>
      <c r="N133" s="30"/>
      <c r="O133" s="50"/>
      <c r="P133" s="49"/>
    </row>
    <row r="134" spans="1:16" ht="15.75" customHeight="1" x14ac:dyDescent="0.3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9"/>
      <c r="N134" s="30"/>
      <c r="O134" s="50"/>
      <c r="P134" s="49"/>
    </row>
    <row r="135" spans="1:16" ht="15.75" customHeight="1" x14ac:dyDescent="0.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9"/>
      <c r="N135" s="30"/>
      <c r="O135" s="50"/>
      <c r="P135" s="49"/>
    </row>
    <row r="136" spans="1:16" ht="15.75" customHeight="1" x14ac:dyDescent="0.3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9"/>
      <c r="N136" s="30"/>
      <c r="O136" s="50"/>
      <c r="P136" s="49"/>
    </row>
    <row r="137" spans="1:16" ht="15.75" customHeight="1" x14ac:dyDescent="0.3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9"/>
      <c r="N137" s="30"/>
      <c r="O137" s="50"/>
      <c r="P137" s="49"/>
    </row>
    <row r="138" spans="1:16" ht="15.75" customHeight="1" x14ac:dyDescent="0.3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9"/>
      <c r="N138" s="30"/>
      <c r="O138" s="50"/>
      <c r="P138" s="49"/>
    </row>
    <row r="139" spans="1:16" ht="15.75" customHeight="1" x14ac:dyDescent="0.3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9"/>
      <c r="N139" s="30"/>
      <c r="O139" s="50"/>
      <c r="P139" s="49"/>
    </row>
    <row r="140" spans="1:16" ht="15.75" customHeight="1" x14ac:dyDescent="0.3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9"/>
      <c r="N140" s="30"/>
      <c r="O140" s="50"/>
      <c r="P140" s="49"/>
    </row>
    <row r="141" spans="1:16" ht="15.75" customHeight="1" x14ac:dyDescent="0.3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9"/>
      <c r="N141" s="30"/>
      <c r="O141" s="50"/>
      <c r="P141" s="49"/>
    </row>
    <row r="142" spans="1:16" ht="15.75" customHeight="1" x14ac:dyDescent="0.3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9"/>
      <c r="N142" s="30"/>
      <c r="O142" s="50"/>
      <c r="P142" s="49"/>
    </row>
    <row r="143" spans="1:16" ht="15.75" customHeight="1" x14ac:dyDescent="0.3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9"/>
      <c r="N143" s="30"/>
      <c r="O143" s="50"/>
      <c r="P143" s="49"/>
    </row>
    <row r="144" spans="1:16" ht="15.75" customHeight="1" x14ac:dyDescent="0.3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9"/>
      <c r="N144" s="30"/>
      <c r="O144" s="50"/>
      <c r="P144" s="49"/>
    </row>
    <row r="145" spans="1:16" ht="15.75" customHeight="1" x14ac:dyDescent="0.3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9"/>
      <c r="N145" s="30"/>
      <c r="O145" s="50"/>
      <c r="P145" s="49"/>
    </row>
    <row r="146" spans="1:16" ht="15.75" customHeight="1" x14ac:dyDescent="0.3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9"/>
      <c r="N146" s="30"/>
      <c r="O146" s="50"/>
      <c r="P146" s="49"/>
    </row>
    <row r="147" spans="1:16" ht="15.75" customHeight="1" x14ac:dyDescent="0.3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9"/>
      <c r="N147" s="30"/>
      <c r="O147" s="50"/>
      <c r="P147" s="49"/>
    </row>
    <row r="148" spans="1:16" ht="15.75" customHeight="1" x14ac:dyDescent="0.3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9"/>
      <c r="N148" s="30"/>
      <c r="O148" s="50"/>
      <c r="P148" s="49"/>
    </row>
    <row r="149" spans="1:16" ht="15.75" customHeight="1" x14ac:dyDescent="0.3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9"/>
      <c r="N149" s="30"/>
      <c r="O149" s="50"/>
      <c r="P149" s="49"/>
    </row>
    <row r="150" spans="1:16" ht="15.75" customHeight="1" x14ac:dyDescent="0.3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9"/>
      <c r="N150" s="30"/>
      <c r="O150" s="50"/>
      <c r="P150" s="49"/>
    </row>
    <row r="151" spans="1:16" ht="15.75" customHeight="1" x14ac:dyDescent="0.3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9"/>
      <c r="N151" s="30"/>
      <c r="O151" s="50"/>
      <c r="P151" s="49"/>
    </row>
    <row r="152" spans="1:16" ht="15.75" customHeight="1" x14ac:dyDescent="0.3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9"/>
      <c r="N152" s="30"/>
      <c r="O152" s="50"/>
      <c r="P152" s="49"/>
    </row>
    <row r="153" spans="1:16" ht="15.75" customHeight="1" x14ac:dyDescent="0.3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9"/>
      <c r="N153" s="30"/>
      <c r="O153" s="50"/>
      <c r="P153" s="49"/>
    </row>
    <row r="154" spans="1:16" ht="15.75" customHeight="1" x14ac:dyDescent="0.3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9"/>
      <c r="N154" s="30"/>
      <c r="O154" s="50"/>
      <c r="P154" s="49"/>
    </row>
    <row r="155" spans="1:16" ht="15.75" customHeight="1" x14ac:dyDescent="0.3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9"/>
      <c r="N155" s="30"/>
      <c r="O155" s="50"/>
      <c r="P155" s="49"/>
    </row>
    <row r="156" spans="1:16" ht="15.75" customHeight="1" x14ac:dyDescent="0.3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9"/>
      <c r="N156" s="30"/>
      <c r="O156" s="50"/>
      <c r="P156" s="49"/>
    </row>
    <row r="157" spans="1:16" ht="15.75" customHeight="1" x14ac:dyDescent="0.3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9"/>
      <c r="N157" s="30"/>
      <c r="O157" s="50"/>
      <c r="P157" s="49"/>
    </row>
    <row r="158" spans="1:16" ht="15.75" customHeight="1" x14ac:dyDescent="0.3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9"/>
      <c r="N158" s="30"/>
      <c r="O158" s="50"/>
      <c r="P158" s="49"/>
    </row>
    <row r="159" spans="1:16" ht="15.75" customHeight="1" x14ac:dyDescent="0.3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9"/>
      <c r="N159" s="30"/>
      <c r="O159" s="50"/>
      <c r="P159" s="49"/>
    </row>
    <row r="160" spans="1:16" ht="15.75" customHeight="1" x14ac:dyDescent="0.3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9"/>
      <c r="N160" s="30"/>
      <c r="O160" s="50"/>
      <c r="P160" s="49"/>
    </row>
    <row r="161" spans="1:16" ht="15.75" customHeight="1" x14ac:dyDescent="0.3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9"/>
      <c r="N161" s="30"/>
      <c r="O161" s="50"/>
      <c r="P161" s="49"/>
    </row>
    <row r="162" spans="1:16" ht="15.75" customHeight="1" x14ac:dyDescent="0.3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9"/>
      <c r="N162" s="30"/>
      <c r="O162" s="50"/>
      <c r="P162" s="49"/>
    </row>
    <row r="163" spans="1:16" ht="15.75" customHeight="1" x14ac:dyDescent="0.3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9"/>
      <c r="N163" s="30"/>
      <c r="O163" s="50"/>
      <c r="P163" s="49"/>
    </row>
    <row r="164" spans="1:16" ht="15.75" customHeight="1" x14ac:dyDescent="0.3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9"/>
      <c r="N164" s="30"/>
      <c r="O164" s="50"/>
      <c r="P164" s="49"/>
    </row>
    <row r="165" spans="1:16" ht="15.75" customHeight="1" x14ac:dyDescent="0.3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9"/>
      <c r="N165" s="30"/>
      <c r="O165" s="50"/>
      <c r="P165" s="49"/>
    </row>
    <row r="166" spans="1:16" ht="15.75" customHeight="1" x14ac:dyDescent="0.3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9"/>
      <c r="N166" s="30"/>
      <c r="O166" s="50"/>
      <c r="P166" s="49"/>
    </row>
    <row r="167" spans="1:16" ht="15.75" customHeight="1" x14ac:dyDescent="0.3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9"/>
      <c r="N167" s="30"/>
      <c r="O167" s="50"/>
      <c r="P167" s="49"/>
    </row>
    <row r="168" spans="1:16" ht="15.75" customHeight="1" x14ac:dyDescent="0.3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9"/>
      <c r="N168" s="30"/>
      <c r="O168" s="50"/>
      <c r="P168" s="49"/>
    </row>
    <row r="169" spans="1:16" ht="15.75" customHeight="1" x14ac:dyDescent="0.3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9"/>
      <c r="N169" s="30"/>
      <c r="O169" s="50"/>
      <c r="P169" s="49"/>
    </row>
    <row r="170" spans="1:16" ht="15.75" customHeight="1" x14ac:dyDescent="0.3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9"/>
      <c r="N170" s="30"/>
      <c r="O170" s="50"/>
      <c r="P170" s="49"/>
    </row>
    <row r="171" spans="1:16" ht="15.75" customHeight="1" x14ac:dyDescent="0.3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9"/>
      <c r="N171" s="30"/>
      <c r="O171" s="50"/>
      <c r="P171" s="49"/>
    </row>
    <row r="172" spans="1:16" ht="15.75" customHeight="1" x14ac:dyDescent="0.3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9"/>
      <c r="N172" s="30"/>
      <c r="O172" s="50"/>
      <c r="P172" s="49"/>
    </row>
    <row r="173" spans="1:16" ht="15.75" customHeight="1" x14ac:dyDescent="0.3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9"/>
      <c r="N173" s="30"/>
      <c r="O173" s="50"/>
      <c r="P173" s="49"/>
    </row>
    <row r="174" spans="1:16" ht="15.75" customHeight="1" x14ac:dyDescent="0.3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9"/>
      <c r="N174" s="30"/>
      <c r="O174" s="50"/>
      <c r="P174" s="49"/>
    </row>
    <row r="175" spans="1:16" ht="15.75" customHeight="1" x14ac:dyDescent="0.3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9"/>
      <c r="N175" s="30"/>
      <c r="O175" s="50"/>
      <c r="P175" s="49"/>
    </row>
    <row r="176" spans="1:16" ht="15.75" customHeight="1" x14ac:dyDescent="0.3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9"/>
      <c r="N176" s="30"/>
      <c r="O176" s="50"/>
      <c r="P176" s="49"/>
    </row>
    <row r="177" spans="1:16" ht="15.75" customHeight="1" x14ac:dyDescent="0.3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9"/>
      <c r="N177" s="30"/>
      <c r="O177" s="50"/>
      <c r="P177" s="49"/>
    </row>
    <row r="178" spans="1:16" ht="15.75" customHeight="1" x14ac:dyDescent="0.3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9"/>
      <c r="N178" s="30"/>
      <c r="O178" s="50"/>
      <c r="P178" s="49"/>
    </row>
    <row r="179" spans="1:16" ht="15.75" customHeight="1" x14ac:dyDescent="0.3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9"/>
      <c r="N179" s="30"/>
      <c r="O179" s="50"/>
      <c r="P179" s="49"/>
    </row>
    <row r="180" spans="1:16" ht="15.75" customHeight="1" x14ac:dyDescent="0.3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9"/>
      <c r="N180" s="30"/>
      <c r="O180" s="50"/>
      <c r="P180" s="49"/>
    </row>
    <row r="181" spans="1:16" ht="15.75" customHeight="1" x14ac:dyDescent="0.3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9"/>
      <c r="N181" s="30"/>
      <c r="O181" s="50"/>
      <c r="P181" s="49"/>
    </row>
    <row r="182" spans="1:16" ht="15.75" customHeight="1" x14ac:dyDescent="0.3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9"/>
      <c r="N182" s="30"/>
      <c r="O182" s="50"/>
      <c r="P182" s="49"/>
    </row>
    <row r="183" spans="1:16" ht="15.75" customHeight="1" x14ac:dyDescent="0.3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9"/>
      <c r="N183" s="30"/>
      <c r="O183" s="50"/>
      <c r="P183" s="49"/>
    </row>
    <row r="184" spans="1:16" ht="15.75" customHeight="1" x14ac:dyDescent="0.3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9"/>
      <c r="N184" s="30"/>
      <c r="O184" s="50"/>
      <c r="P184" s="49"/>
    </row>
    <row r="185" spans="1:16" ht="15.75" customHeight="1" x14ac:dyDescent="0.3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9"/>
      <c r="N185" s="30"/>
      <c r="O185" s="50"/>
      <c r="P185" s="49"/>
    </row>
    <row r="186" spans="1:16" ht="15.75" customHeight="1" x14ac:dyDescent="0.3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9"/>
      <c r="N186" s="30"/>
      <c r="O186" s="50"/>
      <c r="P186" s="49"/>
    </row>
    <row r="187" spans="1:16" ht="15.75" customHeight="1" x14ac:dyDescent="0.3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9"/>
      <c r="N187" s="30"/>
      <c r="O187" s="50"/>
      <c r="P187" s="49"/>
    </row>
    <row r="188" spans="1:16" ht="15.75" customHeight="1" x14ac:dyDescent="0.3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9"/>
      <c r="N188" s="30"/>
      <c r="O188" s="50"/>
      <c r="P188" s="49"/>
    </row>
    <row r="189" spans="1:16" ht="15.75" customHeight="1" x14ac:dyDescent="0.3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9"/>
      <c r="N189" s="30"/>
      <c r="O189" s="50"/>
      <c r="P189" s="49"/>
    </row>
    <row r="190" spans="1:16" ht="15.75" customHeight="1" x14ac:dyDescent="0.3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9"/>
      <c r="N190" s="30"/>
      <c r="O190" s="50"/>
      <c r="P190" s="49"/>
    </row>
    <row r="191" spans="1:16" ht="15.75" customHeight="1" x14ac:dyDescent="0.3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9"/>
      <c r="N191" s="30"/>
      <c r="O191" s="50"/>
      <c r="P191" s="49"/>
    </row>
    <row r="192" spans="1:16" ht="15.75" customHeight="1" x14ac:dyDescent="0.3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9"/>
      <c r="N192" s="30"/>
      <c r="O192" s="50"/>
      <c r="P192" s="49"/>
    </row>
    <row r="193" spans="1:16" ht="15.75" customHeight="1" x14ac:dyDescent="0.3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9"/>
      <c r="N193" s="30"/>
      <c r="O193" s="50"/>
      <c r="P193" s="49"/>
    </row>
    <row r="194" spans="1:16" ht="15.75" customHeight="1" x14ac:dyDescent="0.3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9"/>
      <c r="N194" s="30"/>
      <c r="O194" s="50"/>
      <c r="P194" s="49"/>
    </row>
    <row r="195" spans="1:16" ht="15.75" customHeight="1" x14ac:dyDescent="0.3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9"/>
      <c r="N195" s="30"/>
      <c r="O195" s="50"/>
      <c r="P195" s="49"/>
    </row>
    <row r="196" spans="1:16" ht="15.75" customHeight="1" x14ac:dyDescent="0.3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9"/>
      <c r="N196" s="30"/>
      <c r="O196" s="50"/>
      <c r="P196" s="49"/>
    </row>
    <row r="197" spans="1:16" ht="15.75" customHeight="1" x14ac:dyDescent="0.3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9"/>
      <c r="N197" s="30"/>
      <c r="O197" s="50"/>
      <c r="P197" s="49"/>
    </row>
    <row r="198" spans="1:16" ht="15.75" customHeight="1" x14ac:dyDescent="0.3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9"/>
      <c r="N198" s="30"/>
      <c r="O198" s="50"/>
      <c r="P198" s="49"/>
    </row>
    <row r="199" spans="1:16" ht="15.75" customHeight="1" x14ac:dyDescent="0.3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9"/>
      <c r="N199" s="30"/>
      <c r="O199" s="50"/>
      <c r="P199" s="49"/>
    </row>
    <row r="200" spans="1:16" ht="15.75" customHeight="1" x14ac:dyDescent="0.3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9"/>
      <c r="N200" s="30"/>
      <c r="O200" s="50"/>
      <c r="P200" s="49"/>
    </row>
    <row r="201" spans="1:16" ht="15.75" customHeight="1" x14ac:dyDescent="0.3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9"/>
      <c r="N201" s="30"/>
      <c r="O201" s="50"/>
      <c r="P201" s="49"/>
    </row>
    <row r="202" spans="1:16" ht="15.75" customHeight="1" x14ac:dyDescent="0.3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9"/>
      <c r="N202" s="30"/>
      <c r="O202" s="50"/>
      <c r="P202" s="49"/>
    </row>
    <row r="203" spans="1:16" ht="15.75" customHeight="1" x14ac:dyDescent="0.3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9"/>
      <c r="N203" s="30"/>
      <c r="O203" s="50"/>
      <c r="P203" s="49"/>
    </row>
    <row r="204" spans="1:16" ht="15.75" customHeight="1" x14ac:dyDescent="0.3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9"/>
      <c r="N204" s="30"/>
      <c r="O204" s="50"/>
      <c r="P204" s="49"/>
    </row>
    <row r="205" spans="1:16" ht="15.75" customHeight="1" x14ac:dyDescent="0.3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9"/>
      <c r="N205" s="30"/>
      <c r="O205" s="50"/>
      <c r="P205" s="49"/>
    </row>
    <row r="206" spans="1:16" ht="15.75" customHeight="1" x14ac:dyDescent="0.3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9"/>
      <c r="N206" s="30"/>
      <c r="O206" s="50"/>
      <c r="P206" s="49"/>
    </row>
    <row r="207" spans="1:16" ht="15.75" customHeight="1" x14ac:dyDescent="0.3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9"/>
      <c r="N207" s="30"/>
      <c r="O207" s="50"/>
      <c r="P207" s="49"/>
    </row>
    <row r="208" spans="1:16" ht="15.75" customHeight="1" x14ac:dyDescent="0.3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9"/>
      <c r="N208" s="30"/>
      <c r="O208" s="50"/>
      <c r="P208" s="49"/>
    </row>
    <row r="209" spans="1:16" ht="15.75" customHeight="1" x14ac:dyDescent="0.3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9"/>
      <c r="N209" s="30"/>
      <c r="O209" s="50"/>
      <c r="P209" s="49"/>
    </row>
    <row r="210" spans="1:16" ht="15.75" customHeight="1" x14ac:dyDescent="0.3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9"/>
      <c r="N210" s="30"/>
      <c r="O210" s="50"/>
      <c r="P210" s="49"/>
    </row>
    <row r="211" spans="1:16" ht="15.75" customHeight="1" x14ac:dyDescent="0.3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9"/>
      <c r="N211" s="30"/>
      <c r="O211" s="50"/>
      <c r="P211" s="49"/>
    </row>
    <row r="212" spans="1:16" ht="15.75" customHeight="1" x14ac:dyDescent="0.3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9"/>
      <c r="N212" s="30"/>
      <c r="O212" s="50"/>
      <c r="P212" s="49"/>
    </row>
    <row r="213" spans="1:16" ht="15.75" customHeight="1" x14ac:dyDescent="0.3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9"/>
      <c r="N213" s="30"/>
      <c r="O213" s="50"/>
      <c r="P213" s="49"/>
    </row>
    <row r="214" spans="1:16" ht="15.75" customHeight="1" x14ac:dyDescent="0.3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9"/>
      <c r="N214" s="30"/>
      <c r="O214" s="50"/>
      <c r="P214" s="49"/>
    </row>
    <row r="215" spans="1:16" ht="15.75" customHeight="1" x14ac:dyDescent="0.3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9"/>
      <c r="N215" s="30"/>
      <c r="O215" s="50"/>
      <c r="P215" s="49"/>
    </row>
    <row r="216" spans="1:16" ht="15.75" customHeight="1" x14ac:dyDescent="0.3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9"/>
      <c r="N216" s="30"/>
      <c r="O216" s="50"/>
      <c r="P216" s="49"/>
    </row>
    <row r="217" spans="1:16" ht="15.75" customHeight="1" x14ac:dyDescent="0.3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9"/>
      <c r="N217" s="30"/>
      <c r="O217" s="50"/>
      <c r="P217" s="49"/>
    </row>
    <row r="218" spans="1:16" ht="15.75" customHeight="1" x14ac:dyDescent="0.3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9"/>
      <c r="N218" s="30"/>
      <c r="O218" s="50"/>
      <c r="P218" s="49"/>
    </row>
    <row r="219" spans="1:16" ht="15.75" customHeight="1" x14ac:dyDescent="0.3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9"/>
      <c r="N219" s="30"/>
      <c r="O219" s="50"/>
      <c r="P219" s="49"/>
    </row>
    <row r="220" spans="1:16" ht="15.75" customHeight="1" x14ac:dyDescent="0.3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9"/>
      <c r="N220" s="30"/>
      <c r="O220" s="50"/>
      <c r="P220" s="49"/>
    </row>
    <row r="221" spans="1:16" ht="15.75" customHeight="1" x14ac:dyDescent="0.3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9"/>
      <c r="N221" s="30"/>
      <c r="O221" s="50"/>
      <c r="P221" s="49"/>
    </row>
    <row r="222" spans="1:16" ht="15.75" customHeight="1" x14ac:dyDescent="0.3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9"/>
      <c r="N222" s="30"/>
      <c r="O222" s="50"/>
      <c r="P222" s="49"/>
    </row>
    <row r="223" spans="1:16" ht="15.75" customHeight="1" x14ac:dyDescent="0.3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9"/>
      <c r="N223" s="30"/>
      <c r="O223" s="50"/>
      <c r="P223" s="49"/>
    </row>
    <row r="224" spans="1:16" ht="15.75" customHeight="1" x14ac:dyDescent="0.3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9"/>
      <c r="N224" s="30"/>
      <c r="O224" s="50"/>
      <c r="P224" s="49"/>
    </row>
    <row r="225" spans="1:16" ht="15.75" customHeight="1" x14ac:dyDescent="0.3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9"/>
      <c r="N225" s="30"/>
      <c r="O225" s="50"/>
      <c r="P225" s="49"/>
    </row>
    <row r="226" spans="1:16" ht="15.75" customHeight="1" x14ac:dyDescent="0.3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9"/>
      <c r="N226" s="30"/>
      <c r="O226" s="50"/>
      <c r="P226" s="49"/>
    </row>
    <row r="227" spans="1:16" ht="15.75" customHeight="1" x14ac:dyDescent="0.3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9"/>
      <c r="N227" s="30"/>
      <c r="O227" s="50"/>
      <c r="P227" s="49"/>
    </row>
    <row r="228" spans="1:16" ht="15.75" customHeight="1" x14ac:dyDescent="0.3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9"/>
      <c r="N228" s="30"/>
      <c r="O228" s="50"/>
      <c r="P228" s="49"/>
    </row>
    <row r="229" spans="1:16" ht="15.75" customHeight="1" x14ac:dyDescent="0.3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9"/>
      <c r="N229" s="30"/>
      <c r="O229" s="50"/>
      <c r="P229" s="49"/>
    </row>
    <row r="230" spans="1:16" ht="15.75" customHeight="1" x14ac:dyDescent="0.3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9"/>
      <c r="N230" s="30"/>
      <c r="O230" s="50"/>
      <c r="P230" s="49"/>
    </row>
    <row r="231" spans="1:16" ht="15.75" customHeight="1" x14ac:dyDescent="0.3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9"/>
      <c r="N231" s="30"/>
      <c r="O231" s="50"/>
      <c r="P231" s="49"/>
    </row>
    <row r="232" spans="1:16" ht="15.75" customHeight="1" x14ac:dyDescent="0.3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9"/>
      <c r="N232" s="30"/>
      <c r="O232" s="50"/>
      <c r="P232" s="49"/>
    </row>
    <row r="233" spans="1:16" ht="15.75" customHeight="1" x14ac:dyDescent="0.3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9"/>
      <c r="N233" s="30"/>
      <c r="O233" s="50"/>
      <c r="P233" s="49"/>
    </row>
    <row r="234" spans="1:16" ht="15.75" customHeight="1" x14ac:dyDescent="0.3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9"/>
      <c r="N234" s="30"/>
      <c r="O234" s="50"/>
      <c r="P234" s="49"/>
    </row>
    <row r="235" spans="1:16" ht="15.75" customHeight="1" x14ac:dyDescent="0.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9"/>
      <c r="N235" s="30"/>
      <c r="O235" s="50"/>
      <c r="P235" s="49"/>
    </row>
    <row r="236" spans="1:16" ht="15.75" customHeight="1" x14ac:dyDescent="0.3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9"/>
      <c r="N236" s="30"/>
      <c r="O236" s="50"/>
      <c r="P236" s="49"/>
    </row>
    <row r="237" spans="1:16" ht="15.75" customHeight="1" x14ac:dyDescent="0.3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9"/>
      <c r="N237" s="30"/>
      <c r="O237" s="50"/>
      <c r="P237" s="49"/>
    </row>
    <row r="238" spans="1:16" ht="15.75" customHeight="1" x14ac:dyDescent="0.3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9"/>
      <c r="N238" s="30"/>
      <c r="O238" s="50"/>
      <c r="P238" s="49"/>
    </row>
    <row r="239" spans="1:16" ht="15.75" customHeight="1" x14ac:dyDescent="0.3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9"/>
      <c r="N239" s="30"/>
      <c r="O239" s="50"/>
      <c r="P239" s="49"/>
    </row>
    <row r="240" spans="1:16" ht="15.75" customHeight="1" x14ac:dyDescent="0.3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9"/>
      <c r="N240" s="30"/>
      <c r="O240" s="50"/>
      <c r="P240" s="49"/>
    </row>
    <row r="241" spans="1:16" ht="15.75" customHeight="1" x14ac:dyDescent="0.3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9"/>
      <c r="N241" s="30"/>
      <c r="O241" s="50"/>
      <c r="P241" s="49"/>
    </row>
    <row r="242" spans="1:16" ht="15.75" customHeight="1" x14ac:dyDescent="0.3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9"/>
      <c r="N242" s="30"/>
      <c r="O242" s="50"/>
      <c r="P242" s="49"/>
    </row>
    <row r="243" spans="1:16" ht="15.75" customHeight="1" x14ac:dyDescent="0.3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9"/>
      <c r="N243" s="30"/>
      <c r="O243" s="50"/>
      <c r="P243" s="49"/>
    </row>
    <row r="244" spans="1:16" ht="15.75" customHeight="1" x14ac:dyDescent="0.3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9"/>
      <c r="N244" s="30"/>
      <c r="O244" s="50"/>
      <c r="P244" s="49"/>
    </row>
    <row r="245" spans="1:16" ht="15.75" customHeight="1" x14ac:dyDescent="0.3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9"/>
      <c r="N245" s="30"/>
      <c r="O245" s="50"/>
      <c r="P245" s="49"/>
    </row>
    <row r="246" spans="1:16" ht="15.75" customHeight="1" x14ac:dyDescent="0.3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9"/>
      <c r="N246" s="30"/>
      <c r="O246" s="50"/>
      <c r="P246" s="49"/>
    </row>
    <row r="247" spans="1:16" ht="15.75" customHeight="1" x14ac:dyDescent="0.3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9"/>
      <c r="N247" s="30"/>
      <c r="O247" s="50"/>
      <c r="P247" s="49"/>
    </row>
    <row r="248" spans="1:16" ht="15.75" customHeight="1" x14ac:dyDescent="0.3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9"/>
      <c r="N248" s="30"/>
      <c r="O248" s="50"/>
      <c r="P248" s="49"/>
    </row>
    <row r="249" spans="1:16" ht="15.75" customHeight="1" x14ac:dyDescent="0.3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9"/>
      <c r="N249" s="30"/>
      <c r="O249" s="50"/>
      <c r="P249" s="49"/>
    </row>
    <row r="250" spans="1:16" ht="15.75" customHeight="1" x14ac:dyDescent="0.3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9"/>
      <c r="N250" s="30"/>
      <c r="O250" s="50"/>
      <c r="P250" s="49"/>
    </row>
    <row r="251" spans="1:16" ht="15.75" customHeight="1" x14ac:dyDescent="0.3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9"/>
      <c r="N251" s="30"/>
      <c r="O251" s="50"/>
      <c r="P251" s="49"/>
    </row>
    <row r="252" spans="1:16" ht="15.75" customHeight="1" x14ac:dyDescent="0.3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9"/>
      <c r="N252" s="30"/>
      <c r="O252" s="50"/>
      <c r="P252" s="49"/>
    </row>
    <row r="253" spans="1:16" ht="15.75" customHeight="1" x14ac:dyDescent="0.3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9"/>
      <c r="N253" s="30"/>
      <c r="O253" s="50"/>
      <c r="P253" s="49"/>
    </row>
    <row r="254" spans="1:16" ht="15.75" customHeight="1" x14ac:dyDescent="0.3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9"/>
      <c r="N254" s="30"/>
      <c r="O254" s="50"/>
      <c r="P254" s="49"/>
    </row>
    <row r="255" spans="1:16" ht="15.75" customHeight="1" x14ac:dyDescent="0.3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9"/>
      <c r="N255" s="30"/>
      <c r="O255" s="50"/>
      <c r="P255" s="49"/>
    </row>
    <row r="256" spans="1:16" ht="15.75" customHeight="1" x14ac:dyDescent="0.3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9"/>
      <c r="N256" s="30"/>
      <c r="O256" s="50"/>
      <c r="P256" s="49"/>
    </row>
    <row r="257" spans="1:16" ht="15.75" customHeight="1" x14ac:dyDescent="0.3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9"/>
      <c r="N257" s="30"/>
      <c r="O257" s="50"/>
      <c r="P257" s="49"/>
    </row>
    <row r="258" spans="1:16" ht="15.75" customHeight="1" x14ac:dyDescent="0.3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9"/>
      <c r="N258" s="30"/>
      <c r="O258" s="50"/>
      <c r="P258" s="49"/>
    </row>
    <row r="259" spans="1:16" ht="15.75" customHeight="1" x14ac:dyDescent="0.3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9"/>
      <c r="N259" s="30"/>
      <c r="O259" s="50"/>
      <c r="P259" s="49"/>
    </row>
    <row r="260" spans="1:16" ht="15.75" customHeight="1" x14ac:dyDescent="0.3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9"/>
      <c r="N260" s="30"/>
      <c r="O260" s="50"/>
      <c r="P260" s="49"/>
    </row>
    <row r="261" spans="1:16" ht="15.75" customHeight="1" x14ac:dyDescent="0.3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9"/>
      <c r="N261" s="30"/>
      <c r="O261" s="50"/>
      <c r="P261" s="49"/>
    </row>
    <row r="262" spans="1:16" ht="15.75" customHeight="1" x14ac:dyDescent="0.3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9"/>
      <c r="N262" s="30"/>
      <c r="O262" s="50"/>
      <c r="P262" s="49"/>
    </row>
    <row r="263" spans="1:16" ht="15.75" customHeight="1" x14ac:dyDescent="0.3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9"/>
      <c r="N263" s="30"/>
      <c r="O263" s="50"/>
      <c r="P263" s="49"/>
    </row>
    <row r="264" spans="1:16" ht="15.75" customHeight="1" x14ac:dyDescent="0.3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9"/>
      <c r="N264" s="30"/>
      <c r="O264" s="50"/>
      <c r="P264" s="49"/>
    </row>
    <row r="265" spans="1:16" ht="15.75" customHeight="1" x14ac:dyDescent="0.3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9"/>
      <c r="N265" s="30"/>
      <c r="O265" s="50"/>
      <c r="P265" s="49"/>
    </row>
    <row r="266" spans="1:16" ht="15.75" customHeight="1" x14ac:dyDescent="0.3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9"/>
      <c r="N266" s="30"/>
      <c r="O266" s="50"/>
      <c r="P266" s="49"/>
    </row>
    <row r="267" spans="1:16" ht="15.75" customHeight="1" x14ac:dyDescent="0.3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9"/>
      <c r="N267" s="30"/>
      <c r="O267" s="50"/>
      <c r="P267" s="49"/>
    </row>
    <row r="268" spans="1:16" ht="15.75" customHeight="1" x14ac:dyDescent="0.3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9"/>
      <c r="N268" s="30"/>
      <c r="O268" s="50"/>
      <c r="P268" s="49"/>
    </row>
    <row r="269" spans="1:16" ht="15.75" customHeight="1" x14ac:dyDescent="0.3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9"/>
      <c r="N269" s="30"/>
      <c r="O269" s="50"/>
      <c r="P269" s="49"/>
    </row>
    <row r="270" spans="1:16" ht="15.75" customHeight="1" x14ac:dyDescent="0.3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9"/>
      <c r="N270" s="30"/>
      <c r="O270" s="50"/>
      <c r="P270" s="49"/>
    </row>
    <row r="271" spans="1:16" ht="15.75" customHeight="1" x14ac:dyDescent="0.3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9"/>
      <c r="N271" s="30"/>
      <c r="O271" s="50"/>
      <c r="P271" s="49"/>
    </row>
    <row r="272" spans="1:16" ht="15.75" customHeight="1" x14ac:dyDescent="0.3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9"/>
      <c r="N272" s="30"/>
      <c r="O272" s="50"/>
      <c r="P272" s="49"/>
    </row>
    <row r="273" spans="1:16" ht="15.75" customHeight="1" x14ac:dyDescent="0.3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9"/>
      <c r="N273" s="30"/>
      <c r="O273" s="50"/>
      <c r="P273" s="49"/>
    </row>
    <row r="274" spans="1:16" ht="15.75" customHeight="1" x14ac:dyDescent="0.3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9"/>
      <c r="N274" s="30"/>
      <c r="O274" s="50"/>
      <c r="P274" s="49"/>
    </row>
    <row r="275" spans="1:16" ht="15.75" customHeight="1" x14ac:dyDescent="0.3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9"/>
      <c r="N275" s="30"/>
      <c r="O275" s="50"/>
      <c r="P275" s="49"/>
    </row>
    <row r="276" spans="1:16" ht="15.75" customHeight="1" x14ac:dyDescent="0.3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9"/>
      <c r="N276" s="30"/>
      <c r="O276" s="50"/>
      <c r="P276" s="49"/>
    </row>
    <row r="277" spans="1:16" ht="15.75" customHeight="1" x14ac:dyDescent="0.3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9"/>
      <c r="N277" s="30"/>
      <c r="O277" s="50"/>
      <c r="P277" s="49"/>
    </row>
    <row r="278" spans="1:16" ht="15.75" customHeight="1" x14ac:dyDescent="0.3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9"/>
      <c r="N278" s="30"/>
      <c r="O278" s="50"/>
      <c r="P278" s="49"/>
    </row>
    <row r="279" spans="1:16" ht="15.75" customHeight="1" x14ac:dyDescent="0.3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9"/>
      <c r="N279" s="30"/>
      <c r="O279" s="50"/>
      <c r="P279" s="49"/>
    </row>
    <row r="280" spans="1:16" ht="15.75" customHeight="1" x14ac:dyDescent="0.3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9"/>
      <c r="N280" s="30"/>
      <c r="O280" s="50"/>
      <c r="P280" s="49"/>
    </row>
    <row r="281" spans="1:16" ht="15.75" customHeight="1" x14ac:dyDescent="0.3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9"/>
      <c r="N281" s="30"/>
      <c r="O281" s="50"/>
      <c r="P281" s="49"/>
    </row>
    <row r="282" spans="1:16" ht="15.75" customHeight="1" x14ac:dyDescent="0.3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9"/>
      <c r="N282" s="30"/>
      <c r="O282" s="50"/>
      <c r="P282" s="49"/>
    </row>
    <row r="283" spans="1:16" ht="15.75" customHeight="1" x14ac:dyDescent="0.3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9"/>
      <c r="N283" s="30"/>
      <c r="O283" s="50"/>
      <c r="P283" s="49"/>
    </row>
    <row r="284" spans="1:16" ht="15.75" customHeight="1" x14ac:dyDescent="0.3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9"/>
      <c r="N284" s="30"/>
      <c r="O284" s="50"/>
      <c r="P284" s="49"/>
    </row>
    <row r="285" spans="1:16" ht="15.75" customHeight="1" x14ac:dyDescent="0.3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9"/>
      <c r="N285" s="30"/>
      <c r="O285" s="50"/>
      <c r="P285" s="49"/>
    </row>
    <row r="286" spans="1:16" ht="15.75" customHeight="1" x14ac:dyDescent="0.3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9"/>
      <c r="N286" s="30"/>
      <c r="O286" s="50"/>
      <c r="P286" s="49"/>
    </row>
    <row r="287" spans="1:16" ht="15.75" customHeight="1" x14ac:dyDescent="0.3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9"/>
      <c r="N287" s="30"/>
      <c r="O287" s="50"/>
      <c r="P287" s="49"/>
    </row>
    <row r="288" spans="1:16" ht="15.75" customHeight="1" x14ac:dyDescent="0.3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9"/>
      <c r="N288" s="30"/>
      <c r="O288" s="50"/>
      <c r="P288" s="49"/>
    </row>
    <row r="289" spans="1:16" ht="15.75" customHeight="1" x14ac:dyDescent="0.3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9"/>
      <c r="N289" s="30"/>
      <c r="O289" s="50"/>
      <c r="P289" s="49"/>
    </row>
    <row r="290" spans="1:16" ht="15.75" customHeight="1" x14ac:dyDescent="0.3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9"/>
      <c r="N290" s="30"/>
      <c r="O290" s="50"/>
      <c r="P290" s="49"/>
    </row>
    <row r="291" spans="1:16" ht="15.75" customHeight="1" x14ac:dyDescent="0.3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9"/>
      <c r="N291" s="30"/>
      <c r="O291" s="50"/>
      <c r="P291" s="49"/>
    </row>
    <row r="292" spans="1:16" ht="15.75" customHeight="1" x14ac:dyDescent="0.3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9"/>
      <c r="N292" s="30"/>
      <c r="O292" s="50"/>
      <c r="P292" s="49"/>
    </row>
    <row r="293" spans="1:16" ht="15.75" customHeight="1" x14ac:dyDescent="0.3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9"/>
      <c r="N293" s="30"/>
      <c r="O293" s="50"/>
      <c r="P293" s="49"/>
    </row>
    <row r="294" spans="1:16" ht="15.75" customHeight="1" x14ac:dyDescent="0.3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9"/>
      <c r="N294" s="30"/>
      <c r="O294" s="50"/>
      <c r="P294" s="49"/>
    </row>
    <row r="295" spans="1:16" ht="15.75" customHeight="1" x14ac:dyDescent="0.3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9"/>
      <c r="N295" s="30"/>
      <c r="O295" s="50"/>
      <c r="P295" s="49"/>
    </row>
    <row r="296" spans="1:16" ht="15.75" customHeight="1" x14ac:dyDescent="0.3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9"/>
      <c r="N296" s="30"/>
      <c r="O296" s="50"/>
      <c r="P296" s="49"/>
    </row>
    <row r="297" spans="1:16" ht="15.75" customHeight="1" x14ac:dyDescent="0.3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9"/>
      <c r="N297" s="30"/>
      <c r="O297" s="50"/>
      <c r="P297" s="49"/>
    </row>
    <row r="298" spans="1:16" ht="15.75" customHeight="1" x14ac:dyDescent="0.3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9"/>
      <c r="N298" s="30"/>
      <c r="O298" s="50"/>
      <c r="P298" s="49"/>
    </row>
    <row r="299" spans="1:16" ht="15.75" customHeight="1" x14ac:dyDescent="0.3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9"/>
      <c r="N299" s="30"/>
      <c r="O299" s="50"/>
      <c r="P299" s="49"/>
    </row>
    <row r="300" spans="1:16" ht="15.75" customHeight="1" x14ac:dyDescent="0.3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9"/>
      <c r="N300" s="30"/>
      <c r="O300" s="50"/>
      <c r="P300" s="49"/>
    </row>
    <row r="301" spans="1:16" ht="15.75" customHeight="1" x14ac:dyDescent="0.3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9"/>
      <c r="N301" s="30"/>
      <c r="O301" s="50"/>
      <c r="P301" s="49"/>
    </row>
    <row r="302" spans="1:16" ht="15.75" customHeight="1" x14ac:dyDescent="0.3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9"/>
      <c r="N302" s="30"/>
      <c r="O302" s="50"/>
      <c r="P302" s="49"/>
    </row>
    <row r="303" spans="1:16" ht="15.75" customHeight="1" x14ac:dyDescent="0.3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9"/>
      <c r="N303" s="30"/>
      <c r="O303" s="50"/>
      <c r="P303" s="49"/>
    </row>
    <row r="304" spans="1:16" ht="15.75" customHeight="1" x14ac:dyDescent="0.3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9"/>
      <c r="N304" s="30"/>
      <c r="O304" s="50"/>
      <c r="P304" s="49"/>
    </row>
    <row r="305" spans="1:16" ht="15.75" customHeight="1" x14ac:dyDescent="0.3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9"/>
      <c r="N305" s="30"/>
      <c r="O305" s="50"/>
      <c r="P305" s="49"/>
    </row>
    <row r="306" spans="1:16" ht="15.75" customHeight="1" x14ac:dyDescent="0.3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9"/>
      <c r="N306" s="30"/>
      <c r="O306" s="50"/>
      <c r="P306" s="49"/>
    </row>
    <row r="307" spans="1:16" ht="15.75" customHeight="1" x14ac:dyDescent="0.3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9"/>
      <c r="N307" s="30"/>
      <c r="O307" s="50"/>
      <c r="P307" s="49"/>
    </row>
    <row r="308" spans="1:16" ht="15.75" customHeight="1" x14ac:dyDescent="0.3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9"/>
      <c r="N308" s="30"/>
      <c r="O308" s="50"/>
      <c r="P308" s="49"/>
    </row>
    <row r="309" spans="1:16" ht="15.75" customHeight="1" x14ac:dyDescent="0.3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9"/>
      <c r="N309" s="30"/>
      <c r="O309" s="50"/>
      <c r="P309" s="49"/>
    </row>
    <row r="310" spans="1:16" ht="15.75" customHeight="1" x14ac:dyDescent="0.3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9"/>
      <c r="N310" s="30"/>
      <c r="O310" s="50"/>
      <c r="P310" s="49"/>
    </row>
    <row r="311" spans="1:16" ht="15.75" customHeight="1" x14ac:dyDescent="0.3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9"/>
      <c r="N311" s="30"/>
      <c r="O311" s="50"/>
      <c r="P311" s="49"/>
    </row>
    <row r="312" spans="1:16" ht="15.75" customHeight="1" x14ac:dyDescent="0.3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9"/>
      <c r="N312" s="30"/>
      <c r="O312" s="50"/>
      <c r="P312" s="49"/>
    </row>
    <row r="313" spans="1:16" ht="15.75" customHeight="1" x14ac:dyDescent="0.3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9"/>
      <c r="N313" s="30"/>
      <c r="O313" s="50"/>
      <c r="P313" s="49"/>
    </row>
    <row r="314" spans="1:16" ht="15.75" customHeight="1" x14ac:dyDescent="0.3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9"/>
      <c r="N314" s="30"/>
      <c r="O314" s="50"/>
      <c r="P314" s="49"/>
    </row>
    <row r="315" spans="1:16" ht="15.75" customHeight="1" x14ac:dyDescent="0.3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9"/>
      <c r="N315" s="30"/>
      <c r="O315" s="50"/>
      <c r="P315" s="49"/>
    </row>
    <row r="316" spans="1:16" ht="15.75" customHeight="1" x14ac:dyDescent="0.3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9"/>
      <c r="N316" s="30"/>
      <c r="O316" s="50"/>
      <c r="P316" s="49"/>
    </row>
    <row r="317" spans="1:16" ht="15.75" customHeight="1" x14ac:dyDescent="0.3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9"/>
      <c r="N317" s="30"/>
      <c r="O317" s="50"/>
      <c r="P317" s="49"/>
    </row>
    <row r="318" spans="1:16" ht="15.75" customHeight="1" x14ac:dyDescent="0.3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9"/>
      <c r="N318" s="30"/>
      <c r="O318" s="50"/>
      <c r="P318" s="49"/>
    </row>
    <row r="319" spans="1:16" ht="15.75" customHeight="1" x14ac:dyDescent="0.3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9"/>
      <c r="N319" s="30"/>
      <c r="O319" s="50"/>
      <c r="P319" s="49"/>
    </row>
    <row r="320" spans="1:16" ht="15.75" customHeight="1" x14ac:dyDescent="0.3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9"/>
      <c r="N320" s="30"/>
      <c r="O320" s="50"/>
      <c r="P320" s="49"/>
    </row>
    <row r="321" spans="1:16" ht="15.75" customHeight="1" x14ac:dyDescent="0.3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9"/>
      <c r="N321" s="30"/>
      <c r="O321" s="50"/>
      <c r="P321" s="49"/>
    </row>
    <row r="322" spans="1:16" ht="15.75" customHeight="1" x14ac:dyDescent="0.3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9"/>
      <c r="N322" s="30"/>
      <c r="O322" s="50"/>
      <c r="P322" s="49"/>
    </row>
    <row r="323" spans="1:16" ht="15.75" customHeight="1" x14ac:dyDescent="0.3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9"/>
      <c r="N323" s="30"/>
      <c r="O323" s="50"/>
      <c r="P323" s="49"/>
    </row>
    <row r="324" spans="1:16" ht="15.75" customHeight="1" x14ac:dyDescent="0.3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9"/>
      <c r="N324" s="30"/>
      <c r="O324" s="50"/>
      <c r="P324" s="49"/>
    </row>
    <row r="325" spans="1:16" ht="15.75" customHeight="1" x14ac:dyDescent="0.3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9"/>
      <c r="N325" s="30"/>
      <c r="O325" s="50"/>
      <c r="P325" s="49"/>
    </row>
    <row r="326" spans="1:16" ht="15.75" customHeight="1" x14ac:dyDescent="0.3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9"/>
      <c r="N326" s="30"/>
      <c r="O326" s="50"/>
      <c r="P326" s="49"/>
    </row>
    <row r="327" spans="1:16" ht="15.75" customHeight="1" x14ac:dyDescent="0.3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9"/>
      <c r="N327" s="30"/>
      <c r="O327" s="50"/>
      <c r="P327" s="49"/>
    </row>
    <row r="328" spans="1:16" ht="15.75" customHeight="1" x14ac:dyDescent="0.3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9"/>
      <c r="N328" s="30"/>
      <c r="O328" s="50"/>
      <c r="P328" s="49"/>
    </row>
    <row r="329" spans="1:16" ht="15.75" customHeight="1" x14ac:dyDescent="0.3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9"/>
      <c r="N329" s="30"/>
      <c r="O329" s="50"/>
      <c r="P329" s="49"/>
    </row>
    <row r="330" spans="1:16" ht="15.75" customHeight="1" x14ac:dyDescent="0.3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9"/>
      <c r="N330" s="30"/>
      <c r="O330" s="50"/>
      <c r="P330" s="49"/>
    </row>
    <row r="331" spans="1:16" ht="15.75" customHeight="1" x14ac:dyDescent="0.3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9"/>
      <c r="N331" s="30"/>
      <c r="O331" s="50"/>
      <c r="P331" s="49"/>
    </row>
    <row r="332" spans="1:16" ht="15.75" customHeight="1" x14ac:dyDescent="0.3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9"/>
      <c r="N332" s="30"/>
      <c r="O332" s="50"/>
      <c r="P332" s="49"/>
    </row>
    <row r="333" spans="1:16" ht="15.75" customHeight="1" x14ac:dyDescent="0.3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9"/>
      <c r="N333" s="30"/>
      <c r="O333" s="50"/>
      <c r="P333" s="49"/>
    </row>
    <row r="334" spans="1:16" ht="15.75" customHeight="1" x14ac:dyDescent="0.3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9"/>
      <c r="N334" s="30"/>
      <c r="O334" s="50"/>
      <c r="P334" s="49"/>
    </row>
    <row r="335" spans="1:16" ht="15.75" customHeight="1" x14ac:dyDescent="0.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9"/>
      <c r="N335" s="30"/>
      <c r="O335" s="50"/>
      <c r="P335" s="49"/>
    </row>
    <row r="336" spans="1:16" ht="15.75" customHeight="1" x14ac:dyDescent="0.3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9"/>
      <c r="N336" s="30"/>
      <c r="O336" s="50"/>
      <c r="P336" s="49"/>
    </row>
    <row r="337" spans="1:16" ht="15.75" customHeight="1" x14ac:dyDescent="0.3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9"/>
      <c r="N337" s="30"/>
      <c r="O337" s="50"/>
      <c r="P337" s="49"/>
    </row>
    <row r="338" spans="1:16" ht="15.75" customHeight="1" x14ac:dyDescent="0.3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9"/>
      <c r="N338" s="30"/>
      <c r="O338" s="50"/>
      <c r="P338" s="49"/>
    </row>
    <row r="339" spans="1:16" ht="15.75" customHeight="1" x14ac:dyDescent="0.3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9"/>
      <c r="N339" s="30"/>
      <c r="O339" s="50"/>
      <c r="P339" s="49"/>
    </row>
    <row r="340" spans="1:16" ht="15.75" customHeight="1" x14ac:dyDescent="0.3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9"/>
      <c r="N340" s="30"/>
      <c r="O340" s="50"/>
      <c r="P340" s="49"/>
    </row>
    <row r="341" spans="1:16" ht="15.75" customHeight="1" x14ac:dyDescent="0.3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9"/>
      <c r="N341" s="30"/>
      <c r="O341" s="50"/>
      <c r="P341" s="49"/>
    </row>
    <row r="342" spans="1:16" ht="15.75" customHeight="1" x14ac:dyDescent="0.3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9"/>
      <c r="N342" s="30"/>
      <c r="O342" s="50"/>
      <c r="P342" s="49"/>
    </row>
    <row r="343" spans="1:16" ht="15.75" customHeight="1" x14ac:dyDescent="0.3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9"/>
      <c r="N343" s="30"/>
      <c r="O343" s="50"/>
      <c r="P343" s="49"/>
    </row>
    <row r="344" spans="1:16" ht="15.75" customHeight="1" x14ac:dyDescent="0.3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9"/>
      <c r="N344" s="30"/>
      <c r="O344" s="50"/>
      <c r="P344" s="49"/>
    </row>
    <row r="345" spans="1:16" ht="15.75" customHeight="1" x14ac:dyDescent="0.3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9"/>
      <c r="N345" s="30"/>
      <c r="O345" s="50"/>
      <c r="P345" s="49"/>
    </row>
    <row r="346" spans="1:16" ht="15.75" customHeight="1" x14ac:dyDescent="0.3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9"/>
      <c r="N346" s="30"/>
      <c r="O346" s="50"/>
      <c r="P346" s="49"/>
    </row>
    <row r="347" spans="1:16" ht="15.75" customHeight="1" x14ac:dyDescent="0.3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9"/>
      <c r="N347" s="30"/>
      <c r="O347" s="50"/>
      <c r="P347" s="49"/>
    </row>
    <row r="348" spans="1:16" ht="15.75" customHeight="1" x14ac:dyDescent="0.3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9"/>
      <c r="N348" s="30"/>
      <c r="O348" s="50"/>
      <c r="P348" s="49"/>
    </row>
    <row r="349" spans="1:16" ht="15.75" customHeight="1" x14ac:dyDescent="0.3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9"/>
      <c r="N349" s="30"/>
      <c r="O349" s="50"/>
      <c r="P349" s="49"/>
    </row>
    <row r="350" spans="1:16" ht="15.75" customHeight="1" x14ac:dyDescent="0.3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9"/>
      <c r="N350" s="30"/>
      <c r="O350" s="50"/>
      <c r="P350" s="49"/>
    </row>
    <row r="351" spans="1:16" ht="15.75" customHeight="1" x14ac:dyDescent="0.3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9"/>
      <c r="N351" s="30"/>
      <c r="O351" s="50"/>
      <c r="P351" s="49"/>
    </row>
    <row r="352" spans="1:16" ht="15.75" customHeight="1" x14ac:dyDescent="0.3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9"/>
      <c r="N352" s="30"/>
      <c r="O352" s="50"/>
      <c r="P352" s="49"/>
    </row>
    <row r="353" spans="1:16" ht="15.75" customHeight="1" x14ac:dyDescent="0.3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9"/>
      <c r="N353" s="30"/>
      <c r="O353" s="50"/>
      <c r="P353" s="49"/>
    </row>
    <row r="354" spans="1:16" ht="15.75" customHeight="1" x14ac:dyDescent="0.3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9"/>
      <c r="N354" s="30"/>
      <c r="O354" s="50"/>
      <c r="P354" s="49"/>
    </row>
    <row r="355" spans="1:16" ht="15.75" customHeight="1" x14ac:dyDescent="0.3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9"/>
      <c r="N355" s="30"/>
      <c r="O355" s="50"/>
      <c r="P355" s="49"/>
    </row>
    <row r="356" spans="1:16" ht="15.75" customHeight="1" x14ac:dyDescent="0.3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9"/>
      <c r="N356" s="30"/>
      <c r="O356" s="50"/>
      <c r="P356" s="49"/>
    </row>
    <row r="357" spans="1:16" ht="15.75" customHeight="1" x14ac:dyDescent="0.3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9"/>
      <c r="N357" s="30"/>
      <c r="O357" s="50"/>
      <c r="P357" s="49"/>
    </row>
    <row r="358" spans="1:16" ht="15.75" customHeight="1" x14ac:dyDescent="0.3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9"/>
      <c r="N358" s="30"/>
      <c r="O358" s="50"/>
      <c r="P358" s="49"/>
    </row>
    <row r="359" spans="1:16" ht="15.75" customHeight="1" x14ac:dyDescent="0.3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9"/>
      <c r="N359" s="30"/>
      <c r="O359" s="50"/>
      <c r="P359" s="49"/>
    </row>
    <row r="360" spans="1:16" ht="15.75" customHeight="1" x14ac:dyDescent="0.3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9"/>
      <c r="N360" s="30"/>
      <c r="O360" s="50"/>
      <c r="P360" s="49"/>
    </row>
    <row r="361" spans="1:16" ht="15.75" customHeight="1" x14ac:dyDescent="0.3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9"/>
      <c r="N361" s="30"/>
      <c r="O361" s="50"/>
      <c r="P361" s="49"/>
    </row>
    <row r="362" spans="1:16" ht="15.75" customHeight="1" x14ac:dyDescent="0.3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9"/>
      <c r="N362" s="30"/>
      <c r="O362" s="50"/>
      <c r="P362" s="49"/>
    </row>
    <row r="363" spans="1:16" ht="15.75" customHeight="1" x14ac:dyDescent="0.3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9"/>
      <c r="N363" s="30"/>
      <c r="O363" s="50"/>
      <c r="P363" s="49"/>
    </row>
    <row r="364" spans="1:16" ht="15.75" customHeight="1" x14ac:dyDescent="0.3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9"/>
      <c r="N364" s="30"/>
      <c r="O364" s="50"/>
      <c r="P364" s="49"/>
    </row>
    <row r="365" spans="1:16" ht="15.75" customHeight="1" x14ac:dyDescent="0.3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9"/>
      <c r="N365" s="30"/>
      <c r="O365" s="50"/>
      <c r="P365" s="49"/>
    </row>
    <row r="366" spans="1:16" ht="15.75" customHeight="1" x14ac:dyDescent="0.3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9"/>
      <c r="N366" s="30"/>
      <c r="O366" s="50"/>
      <c r="P366" s="49"/>
    </row>
    <row r="367" spans="1:16" ht="15.75" customHeight="1" x14ac:dyDescent="0.3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9"/>
      <c r="N367" s="30"/>
      <c r="O367" s="50"/>
      <c r="P367" s="49"/>
    </row>
    <row r="368" spans="1:16" ht="15.75" customHeight="1" x14ac:dyDescent="0.3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9"/>
      <c r="N368" s="30"/>
      <c r="O368" s="50"/>
      <c r="P368" s="49"/>
    </row>
    <row r="369" spans="1:16" ht="15.75" customHeight="1" x14ac:dyDescent="0.3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9"/>
      <c r="N369" s="30"/>
      <c r="O369" s="50"/>
      <c r="P369" s="49"/>
    </row>
    <row r="370" spans="1:16" ht="15.75" customHeight="1" x14ac:dyDescent="0.3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9"/>
      <c r="N370" s="30"/>
      <c r="O370" s="50"/>
      <c r="P370" s="49"/>
    </row>
    <row r="371" spans="1:16" ht="15.75" customHeight="1" x14ac:dyDescent="0.3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9"/>
      <c r="N371" s="30"/>
      <c r="O371" s="50"/>
      <c r="P371" s="49"/>
    </row>
    <row r="372" spans="1:16" ht="15.75" customHeight="1" x14ac:dyDescent="0.3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9"/>
      <c r="N372" s="30"/>
      <c r="O372" s="50"/>
      <c r="P372" s="49"/>
    </row>
    <row r="373" spans="1:16" ht="15.75" customHeight="1" x14ac:dyDescent="0.3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9"/>
      <c r="N373" s="30"/>
      <c r="O373" s="50"/>
      <c r="P373" s="49"/>
    </row>
    <row r="374" spans="1:16" ht="15.75" customHeight="1" x14ac:dyDescent="0.3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9"/>
      <c r="N374" s="30"/>
      <c r="O374" s="50"/>
      <c r="P374" s="49"/>
    </row>
    <row r="375" spans="1:16" ht="15.75" customHeight="1" x14ac:dyDescent="0.3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9"/>
      <c r="N375" s="30"/>
      <c r="O375" s="50"/>
      <c r="P375" s="49"/>
    </row>
    <row r="376" spans="1:16" ht="15.75" customHeight="1" x14ac:dyDescent="0.3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9"/>
      <c r="N376" s="30"/>
      <c r="O376" s="50"/>
      <c r="P376" s="49"/>
    </row>
    <row r="377" spans="1:16" ht="15.75" customHeight="1" x14ac:dyDescent="0.3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9"/>
      <c r="N377" s="30"/>
      <c r="O377" s="50"/>
      <c r="P377" s="49"/>
    </row>
    <row r="378" spans="1:16" ht="15.75" customHeight="1" x14ac:dyDescent="0.3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9"/>
      <c r="N378" s="30"/>
      <c r="O378" s="50"/>
      <c r="P378" s="49"/>
    </row>
    <row r="379" spans="1:16" ht="15.75" customHeight="1" x14ac:dyDescent="0.3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9"/>
      <c r="N379" s="30"/>
      <c r="O379" s="50"/>
      <c r="P379" s="49"/>
    </row>
    <row r="380" spans="1:16" ht="15.75" customHeight="1" x14ac:dyDescent="0.3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9"/>
      <c r="N380" s="30"/>
      <c r="O380" s="50"/>
      <c r="P380" s="49"/>
    </row>
    <row r="381" spans="1:16" ht="15.75" customHeight="1" x14ac:dyDescent="0.3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9"/>
      <c r="N381" s="30"/>
      <c r="O381" s="50"/>
      <c r="P381" s="49"/>
    </row>
    <row r="382" spans="1:16" ht="15.75" customHeight="1" x14ac:dyDescent="0.3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9"/>
      <c r="N382" s="30"/>
      <c r="O382" s="50"/>
      <c r="P382" s="49"/>
    </row>
    <row r="383" spans="1:16" ht="15.75" customHeight="1" x14ac:dyDescent="0.3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9"/>
      <c r="N383" s="30"/>
      <c r="O383" s="50"/>
      <c r="P383" s="49"/>
    </row>
    <row r="384" spans="1:16" ht="15.75" customHeight="1" x14ac:dyDescent="0.3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9"/>
      <c r="N384" s="30"/>
      <c r="O384" s="50"/>
      <c r="P384" s="49"/>
    </row>
    <row r="385" spans="1:16" ht="15.75" customHeight="1" x14ac:dyDescent="0.3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9"/>
      <c r="N385" s="30"/>
      <c r="O385" s="50"/>
      <c r="P385" s="49"/>
    </row>
    <row r="386" spans="1:16" ht="15.75" customHeight="1" x14ac:dyDescent="0.3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9"/>
      <c r="N386" s="30"/>
      <c r="O386" s="50"/>
      <c r="P386" s="49"/>
    </row>
    <row r="387" spans="1:16" ht="15.75" customHeight="1" x14ac:dyDescent="0.3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9"/>
      <c r="N387" s="30"/>
      <c r="O387" s="50"/>
      <c r="P387" s="49"/>
    </row>
    <row r="388" spans="1:16" ht="15.75" customHeight="1" x14ac:dyDescent="0.3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9"/>
      <c r="N388" s="30"/>
      <c r="O388" s="50"/>
      <c r="P388" s="49"/>
    </row>
    <row r="389" spans="1:16" ht="15.75" customHeight="1" x14ac:dyDescent="0.3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9"/>
      <c r="N389" s="30"/>
      <c r="O389" s="50"/>
      <c r="P389" s="49"/>
    </row>
    <row r="390" spans="1:16" ht="15.75" customHeight="1" x14ac:dyDescent="0.3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9"/>
      <c r="N390" s="30"/>
      <c r="O390" s="50"/>
      <c r="P390" s="49"/>
    </row>
    <row r="391" spans="1:16" ht="15.75" customHeight="1" x14ac:dyDescent="0.3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9"/>
      <c r="N391" s="30"/>
      <c r="O391" s="50"/>
      <c r="P391" s="49"/>
    </row>
    <row r="392" spans="1:16" ht="15.75" customHeight="1" x14ac:dyDescent="0.3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9"/>
      <c r="N392" s="30"/>
      <c r="O392" s="50"/>
      <c r="P392" s="49"/>
    </row>
    <row r="393" spans="1:16" ht="15.75" customHeight="1" x14ac:dyDescent="0.3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9"/>
      <c r="N393" s="30"/>
      <c r="O393" s="50"/>
      <c r="P393" s="49"/>
    </row>
    <row r="394" spans="1:16" ht="15.75" customHeight="1" x14ac:dyDescent="0.3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9"/>
      <c r="N394" s="30"/>
      <c r="O394" s="50"/>
      <c r="P394" s="49"/>
    </row>
    <row r="395" spans="1:16" ht="15.75" customHeight="1" x14ac:dyDescent="0.3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9"/>
      <c r="N395" s="30"/>
      <c r="O395" s="50"/>
      <c r="P395" s="49"/>
    </row>
    <row r="396" spans="1:16" ht="15.75" customHeight="1" x14ac:dyDescent="0.3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9"/>
      <c r="N396" s="30"/>
      <c r="O396" s="50"/>
      <c r="P396" s="49"/>
    </row>
    <row r="397" spans="1:16" ht="15.75" customHeight="1" x14ac:dyDescent="0.3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9"/>
      <c r="N397" s="30"/>
      <c r="O397" s="50"/>
      <c r="P397" s="49"/>
    </row>
    <row r="398" spans="1:16" ht="15.75" customHeight="1" x14ac:dyDescent="0.3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9"/>
      <c r="N398" s="30"/>
      <c r="O398" s="50"/>
      <c r="P398" s="49"/>
    </row>
    <row r="399" spans="1:16" ht="15.75" customHeight="1" x14ac:dyDescent="0.3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9"/>
      <c r="N399" s="30"/>
      <c r="O399" s="50"/>
      <c r="P399" s="49"/>
    </row>
    <row r="400" spans="1:16" ht="15.75" customHeight="1" x14ac:dyDescent="0.3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9"/>
      <c r="N400" s="30"/>
      <c r="O400" s="50"/>
      <c r="P400" s="49"/>
    </row>
    <row r="401" spans="1:16" ht="15.75" customHeight="1" x14ac:dyDescent="0.3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9"/>
      <c r="N401" s="30"/>
      <c r="O401" s="50"/>
      <c r="P401" s="49"/>
    </row>
    <row r="402" spans="1:16" ht="15.75" customHeight="1" x14ac:dyDescent="0.3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9"/>
      <c r="N402" s="30"/>
      <c r="O402" s="50"/>
      <c r="P402" s="49"/>
    </row>
    <row r="403" spans="1:16" ht="15.75" customHeight="1" x14ac:dyDescent="0.3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9"/>
      <c r="N403" s="30"/>
      <c r="O403" s="50"/>
      <c r="P403" s="49"/>
    </row>
    <row r="404" spans="1:16" ht="15.75" customHeight="1" x14ac:dyDescent="0.3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9"/>
      <c r="N404" s="30"/>
      <c r="O404" s="50"/>
      <c r="P404" s="49"/>
    </row>
    <row r="405" spans="1:16" ht="15.75" customHeight="1" x14ac:dyDescent="0.3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9"/>
      <c r="N405" s="30"/>
      <c r="O405" s="50"/>
      <c r="P405" s="49"/>
    </row>
    <row r="406" spans="1:16" ht="15.75" customHeight="1" x14ac:dyDescent="0.3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9"/>
      <c r="N406" s="30"/>
      <c r="O406" s="50"/>
      <c r="P406" s="49"/>
    </row>
    <row r="407" spans="1:16" ht="15.75" customHeight="1" x14ac:dyDescent="0.3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9"/>
      <c r="N407" s="30"/>
      <c r="O407" s="50"/>
      <c r="P407" s="49"/>
    </row>
    <row r="408" spans="1:16" ht="15.75" customHeight="1" x14ac:dyDescent="0.3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9"/>
      <c r="N408" s="30"/>
      <c r="O408" s="50"/>
      <c r="P408" s="49"/>
    </row>
    <row r="409" spans="1:16" ht="15.75" customHeight="1" x14ac:dyDescent="0.3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9"/>
      <c r="N409" s="30"/>
      <c r="O409" s="50"/>
      <c r="P409" s="49"/>
    </row>
    <row r="410" spans="1:16" ht="15.75" customHeight="1" x14ac:dyDescent="0.3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9"/>
      <c r="N410" s="30"/>
      <c r="O410" s="50"/>
      <c r="P410" s="49"/>
    </row>
    <row r="411" spans="1:16" ht="15.75" customHeight="1" x14ac:dyDescent="0.3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9"/>
      <c r="N411" s="30"/>
      <c r="O411" s="50"/>
      <c r="P411" s="49"/>
    </row>
    <row r="412" spans="1:16" ht="15.75" customHeight="1" x14ac:dyDescent="0.3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9"/>
      <c r="N412" s="30"/>
      <c r="O412" s="50"/>
      <c r="P412" s="49"/>
    </row>
    <row r="413" spans="1:16" ht="15.75" customHeight="1" x14ac:dyDescent="0.3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9"/>
      <c r="N413" s="30"/>
      <c r="O413" s="50"/>
      <c r="P413" s="49"/>
    </row>
    <row r="414" spans="1:16" ht="15.75" customHeight="1" x14ac:dyDescent="0.3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9"/>
      <c r="N414" s="30"/>
      <c r="O414" s="50"/>
      <c r="P414" s="49"/>
    </row>
    <row r="415" spans="1:16" ht="15.75" customHeight="1" x14ac:dyDescent="0.3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9"/>
      <c r="N415" s="30"/>
      <c r="O415" s="50"/>
      <c r="P415" s="49"/>
    </row>
    <row r="416" spans="1:16" ht="15.75" customHeight="1" x14ac:dyDescent="0.3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9"/>
      <c r="N416" s="30"/>
      <c r="O416" s="50"/>
      <c r="P416" s="49"/>
    </row>
    <row r="417" spans="1:16" ht="15.75" customHeight="1" x14ac:dyDescent="0.3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9"/>
      <c r="N417" s="30"/>
      <c r="O417" s="50"/>
      <c r="P417" s="49"/>
    </row>
    <row r="418" spans="1:16" ht="15.75" customHeight="1" x14ac:dyDescent="0.3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9"/>
      <c r="N418" s="30"/>
      <c r="O418" s="50"/>
      <c r="P418" s="49"/>
    </row>
    <row r="419" spans="1:16" ht="15.75" customHeight="1" x14ac:dyDescent="0.3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9"/>
      <c r="N419" s="30"/>
      <c r="O419" s="50"/>
      <c r="P419" s="49"/>
    </row>
    <row r="420" spans="1:16" ht="15.75" customHeight="1" x14ac:dyDescent="0.3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9"/>
      <c r="N420" s="30"/>
      <c r="O420" s="50"/>
      <c r="P420" s="49"/>
    </row>
    <row r="421" spans="1:16" ht="15.75" customHeight="1" x14ac:dyDescent="0.3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9"/>
      <c r="N421" s="30"/>
      <c r="O421" s="50"/>
      <c r="P421" s="49"/>
    </row>
    <row r="422" spans="1:16" ht="15.75" customHeight="1" x14ac:dyDescent="0.3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9"/>
      <c r="N422" s="30"/>
      <c r="O422" s="50"/>
      <c r="P422" s="49"/>
    </row>
    <row r="423" spans="1:16" ht="15.75" customHeight="1" x14ac:dyDescent="0.3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9"/>
      <c r="N423" s="30"/>
      <c r="O423" s="50"/>
      <c r="P423" s="49"/>
    </row>
    <row r="424" spans="1:16" ht="15.75" customHeight="1" x14ac:dyDescent="0.3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9"/>
      <c r="N424" s="30"/>
      <c r="O424" s="50"/>
      <c r="P424" s="49"/>
    </row>
    <row r="425" spans="1:16" ht="15.75" customHeight="1" x14ac:dyDescent="0.3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9"/>
      <c r="N425" s="30"/>
      <c r="O425" s="50"/>
      <c r="P425" s="49"/>
    </row>
    <row r="426" spans="1:16" ht="15.75" customHeight="1" x14ac:dyDescent="0.3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9"/>
      <c r="N426" s="30"/>
      <c r="O426" s="50"/>
      <c r="P426" s="49"/>
    </row>
    <row r="427" spans="1:16" ht="15.75" customHeight="1" x14ac:dyDescent="0.3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9"/>
      <c r="N427" s="30"/>
      <c r="O427" s="50"/>
      <c r="P427" s="49"/>
    </row>
    <row r="428" spans="1:16" ht="15.75" customHeight="1" x14ac:dyDescent="0.3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9"/>
      <c r="N428" s="30"/>
      <c r="O428" s="50"/>
      <c r="P428" s="49"/>
    </row>
    <row r="429" spans="1:16" ht="15.75" customHeight="1" x14ac:dyDescent="0.3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9"/>
      <c r="N429" s="30"/>
      <c r="O429" s="50"/>
      <c r="P429" s="49"/>
    </row>
    <row r="430" spans="1:16" ht="15.75" customHeight="1" x14ac:dyDescent="0.3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9"/>
      <c r="N430" s="30"/>
      <c r="O430" s="50"/>
      <c r="P430" s="49"/>
    </row>
    <row r="431" spans="1:16" ht="15.75" customHeight="1" x14ac:dyDescent="0.3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9"/>
      <c r="N431" s="30"/>
      <c r="O431" s="50"/>
      <c r="P431" s="49"/>
    </row>
    <row r="432" spans="1:16" ht="15.75" customHeight="1" x14ac:dyDescent="0.3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9"/>
      <c r="N432" s="30"/>
      <c r="O432" s="50"/>
      <c r="P432" s="49"/>
    </row>
    <row r="433" spans="1:16" ht="15.75" customHeight="1" x14ac:dyDescent="0.3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9"/>
      <c r="N433" s="30"/>
      <c r="O433" s="50"/>
      <c r="P433" s="49"/>
    </row>
    <row r="434" spans="1:16" ht="15.75" customHeight="1" x14ac:dyDescent="0.3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9"/>
      <c r="N434" s="30"/>
      <c r="O434" s="50"/>
      <c r="P434" s="49"/>
    </row>
    <row r="435" spans="1:16" ht="15.75" customHeight="1" x14ac:dyDescent="0.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9"/>
      <c r="N435" s="30"/>
      <c r="O435" s="50"/>
      <c r="P435" s="49"/>
    </row>
    <row r="436" spans="1:16" ht="15.75" customHeight="1" x14ac:dyDescent="0.3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9"/>
      <c r="N436" s="30"/>
      <c r="O436" s="50"/>
      <c r="P436" s="49"/>
    </row>
    <row r="437" spans="1:16" ht="15.75" customHeight="1" x14ac:dyDescent="0.3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9"/>
      <c r="N437" s="30"/>
      <c r="O437" s="50"/>
      <c r="P437" s="49"/>
    </row>
    <row r="438" spans="1:16" ht="15.75" customHeight="1" x14ac:dyDescent="0.3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9"/>
      <c r="N438" s="30"/>
      <c r="O438" s="50"/>
      <c r="P438" s="49"/>
    </row>
    <row r="439" spans="1:16" ht="15.75" customHeight="1" x14ac:dyDescent="0.3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9"/>
      <c r="N439" s="30"/>
      <c r="O439" s="50"/>
      <c r="P439" s="49"/>
    </row>
    <row r="440" spans="1:16" ht="15.75" customHeight="1" x14ac:dyDescent="0.3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9"/>
      <c r="N440" s="30"/>
      <c r="O440" s="50"/>
      <c r="P440" s="49"/>
    </row>
    <row r="441" spans="1:16" ht="15.75" customHeight="1" x14ac:dyDescent="0.3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9"/>
      <c r="N441" s="30"/>
      <c r="O441" s="50"/>
      <c r="P441" s="49"/>
    </row>
    <row r="442" spans="1:16" ht="15.75" customHeight="1" x14ac:dyDescent="0.3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9"/>
      <c r="N442" s="30"/>
      <c r="O442" s="50"/>
      <c r="P442" s="49"/>
    </row>
    <row r="443" spans="1:16" ht="15.75" customHeight="1" x14ac:dyDescent="0.3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9"/>
      <c r="N443" s="30"/>
      <c r="O443" s="50"/>
      <c r="P443" s="49"/>
    </row>
    <row r="444" spans="1:16" ht="15.75" customHeight="1" x14ac:dyDescent="0.3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9"/>
      <c r="N444" s="30"/>
      <c r="O444" s="50"/>
      <c r="P444" s="49"/>
    </row>
    <row r="445" spans="1:16" ht="15.75" customHeight="1" x14ac:dyDescent="0.3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9"/>
      <c r="N445" s="30"/>
      <c r="O445" s="50"/>
      <c r="P445" s="49"/>
    </row>
    <row r="446" spans="1:16" ht="15.75" customHeight="1" x14ac:dyDescent="0.3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9"/>
      <c r="N446" s="30"/>
      <c r="O446" s="50"/>
      <c r="P446" s="49"/>
    </row>
    <row r="447" spans="1:16" ht="15.75" customHeight="1" x14ac:dyDescent="0.3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9"/>
      <c r="N447" s="30"/>
      <c r="O447" s="50"/>
      <c r="P447" s="49"/>
    </row>
    <row r="448" spans="1:16" ht="15.75" customHeight="1" x14ac:dyDescent="0.3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9"/>
      <c r="N448" s="30"/>
      <c r="O448" s="50"/>
      <c r="P448" s="49"/>
    </row>
    <row r="449" spans="1:16" ht="15.75" customHeight="1" x14ac:dyDescent="0.3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9"/>
      <c r="N449" s="30"/>
      <c r="O449" s="50"/>
      <c r="P449" s="49"/>
    </row>
    <row r="450" spans="1:16" ht="15.75" customHeight="1" x14ac:dyDescent="0.3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9"/>
      <c r="N450" s="30"/>
      <c r="O450" s="50"/>
      <c r="P450" s="49"/>
    </row>
    <row r="451" spans="1:16" ht="15.75" customHeight="1" x14ac:dyDescent="0.3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9"/>
      <c r="N451" s="30"/>
      <c r="O451" s="50"/>
      <c r="P451" s="49"/>
    </row>
    <row r="452" spans="1:16" ht="15.75" customHeight="1" x14ac:dyDescent="0.3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9"/>
      <c r="N452" s="30"/>
      <c r="O452" s="50"/>
      <c r="P452" s="49"/>
    </row>
    <row r="453" spans="1:16" ht="15.75" customHeight="1" x14ac:dyDescent="0.3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9"/>
      <c r="N453" s="30"/>
      <c r="O453" s="50"/>
      <c r="P453" s="49"/>
    </row>
    <row r="454" spans="1:16" ht="15.75" customHeight="1" x14ac:dyDescent="0.3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9"/>
      <c r="N454" s="30"/>
      <c r="O454" s="50"/>
      <c r="P454" s="49"/>
    </row>
    <row r="455" spans="1:16" ht="15.75" customHeight="1" x14ac:dyDescent="0.3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9"/>
      <c r="N455" s="30"/>
      <c r="O455" s="50"/>
      <c r="P455" s="49"/>
    </row>
    <row r="456" spans="1:16" ht="15.75" customHeight="1" x14ac:dyDescent="0.3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9"/>
      <c r="N456" s="30"/>
      <c r="O456" s="50"/>
      <c r="P456" s="49"/>
    </row>
    <row r="457" spans="1:16" ht="15.75" customHeight="1" x14ac:dyDescent="0.3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9"/>
      <c r="N457" s="30"/>
      <c r="O457" s="50"/>
      <c r="P457" s="49"/>
    </row>
    <row r="458" spans="1:16" ht="15.75" customHeight="1" x14ac:dyDescent="0.3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9"/>
      <c r="N458" s="30"/>
      <c r="O458" s="50"/>
      <c r="P458" s="49"/>
    </row>
    <row r="459" spans="1:16" ht="15.75" customHeight="1" x14ac:dyDescent="0.3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9"/>
      <c r="N459" s="30"/>
      <c r="O459" s="50"/>
      <c r="P459" s="49"/>
    </row>
    <row r="460" spans="1:16" ht="15.75" customHeight="1" x14ac:dyDescent="0.3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9"/>
      <c r="N460" s="30"/>
      <c r="O460" s="50"/>
      <c r="P460" s="49"/>
    </row>
    <row r="461" spans="1:16" ht="15.75" customHeight="1" x14ac:dyDescent="0.3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9"/>
      <c r="N461" s="30"/>
      <c r="O461" s="50"/>
      <c r="P461" s="49"/>
    </row>
    <row r="462" spans="1:16" ht="15.75" customHeight="1" x14ac:dyDescent="0.3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9"/>
      <c r="N462" s="30"/>
      <c r="O462" s="50"/>
      <c r="P462" s="49"/>
    </row>
    <row r="463" spans="1:16" ht="15.75" customHeight="1" x14ac:dyDescent="0.3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9"/>
      <c r="N463" s="30"/>
      <c r="O463" s="50"/>
      <c r="P463" s="49"/>
    </row>
    <row r="464" spans="1:16" ht="15.75" customHeight="1" x14ac:dyDescent="0.3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9"/>
      <c r="N464" s="30"/>
      <c r="O464" s="50"/>
      <c r="P464" s="49"/>
    </row>
    <row r="465" spans="1:16" ht="15.75" customHeight="1" x14ac:dyDescent="0.3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9"/>
      <c r="N465" s="30"/>
      <c r="O465" s="50"/>
      <c r="P465" s="49"/>
    </row>
    <row r="466" spans="1:16" ht="15.75" customHeight="1" x14ac:dyDescent="0.3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9"/>
      <c r="N466" s="30"/>
      <c r="O466" s="50"/>
      <c r="P466" s="49"/>
    </row>
    <row r="467" spans="1:16" ht="15.75" customHeight="1" x14ac:dyDescent="0.3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9"/>
      <c r="N467" s="30"/>
      <c r="O467" s="50"/>
      <c r="P467" s="49"/>
    </row>
    <row r="468" spans="1:16" ht="15.75" customHeight="1" x14ac:dyDescent="0.3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9"/>
      <c r="N468" s="30"/>
      <c r="O468" s="50"/>
      <c r="P468" s="49"/>
    </row>
    <row r="469" spans="1:16" ht="15.75" customHeight="1" x14ac:dyDescent="0.3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9"/>
      <c r="N469" s="30"/>
      <c r="O469" s="50"/>
      <c r="P469" s="49"/>
    </row>
    <row r="470" spans="1:16" ht="15.75" customHeight="1" x14ac:dyDescent="0.3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9"/>
      <c r="N470" s="30"/>
      <c r="O470" s="50"/>
      <c r="P470" s="49"/>
    </row>
    <row r="471" spans="1:16" ht="15.75" customHeight="1" x14ac:dyDescent="0.3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9"/>
      <c r="N471" s="30"/>
      <c r="O471" s="50"/>
      <c r="P471" s="49"/>
    </row>
    <row r="472" spans="1:16" ht="15.75" customHeight="1" x14ac:dyDescent="0.3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9"/>
      <c r="N472" s="30"/>
      <c r="O472" s="50"/>
      <c r="P472" s="49"/>
    </row>
    <row r="473" spans="1:16" ht="15.75" customHeight="1" x14ac:dyDescent="0.3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9"/>
      <c r="N473" s="30"/>
      <c r="O473" s="50"/>
      <c r="P473" s="49"/>
    </row>
    <row r="474" spans="1:16" ht="15.75" customHeight="1" x14ac:dyDescent="0.3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9"/>
      <c r="N474" s="30"/>
      <c r="O474" s="50"/>
      <c r="P474" s="49"/>
    </row>
    <row r="475" spans="1:16" ht="15.75" customHeight="1" x14ac:dyDescent="0.3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9"/>
      <c r="N475" s="30"/>
      <c r="O475" s="50"/>
      <c r="P475" s="49"/>
    </row>
    <row r="476" spans="1:16" ht="15.75" customHeight="1" x14ac:dyDescent="0.3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9"/>
      <c r="N476" s="30"/>
      <c r="O476" s="50"/>
      <c r="P476" s="49"/>
    </row>
    <row r="477" spans="1:16" ht="15.75" customHeight="1" x14ac:dyDescent="0.3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9"/>
      <c r="N477" s="30"/>
      <c r="O477" s="50"/>
      <c r="P477" s="49"/>
    </row>
    <row r="478" spans="1:16" ht="15.75" customHeight="1" x14ac:dyDescent="0.3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9"/>
      <c r="N478" s="30"/>
      <c r="O478" s="50"/>
      <c r="P478" s="49"/>
    </row>
    <row r="479" spans="1:16" ht="15.75" customHeight="1" x14ac:dyDescent="0.3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9"/>
      <c r="N479" s="30"/>
      <c r="O479" s="50"/>
      <c r="P479" s="49"/>
    </row>
    <row r="480" spans="1:16" ht="15.75" customHeight="1" x14ac:dyDescent="0.3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9"/>
      <c r="N480" s="30"/>
      <c r="O480" s="50"/>
      <c r="P480" s="49"/>
    </row>
    <row r="481" spans="1:16" ht="15.75" customHeight="1" x14ac:dyDescent="0.3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9"/>
      <c r="N481" s="30"/>
      <c r="O481" s="50"/>
      <c r="P481" s="49"/>
    </row>
    <row r="482" spans="1:16" ht="15.75" customHeight="1" x14ac:dyDescent="0.3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9"/>
      <c r="N482" s="30"/>
      <c r="O482" s="50"/>
      <c r="P482" s="49"/>
    </row>
    <row r="483" spans="1:16" ht="15.75" customHeight="1" x14ac:dyDescent="0.3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9"/>
      <c r="N483" s="30"/>
      <c r="O483" s="50"/>
      <c r="P483" s="49"/>
    </row>
    <row r="484" spans="1:16" ht="15.75" customHeight="1" x14ac:dyDescent="0.3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9"/>
      <c r="N484" s="30"/>
      <c r="O484" s="50"/>
      <c r="P484" s="49"/>
    </row>
    <row r="485" spans="1:16" ht="15.75" customHeight="1" x14ac:dyDescent="0.3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9"/>
      <c r="N485" s="30"/>
      <c r="O485" s="50"/>
      <c r="P485" s="49"/>
    </row>
    <row r="486" spans="1:16" ht="15.75" customHeight="1" x14ac:dyDescent="0.3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9"/>
      <c r="N486" s="30"/>
      <c r="O486" s="50"/>
      <c r="P486" s="49"/>
    </row>
    <row r="487" spans="1:16" ht="15.75" customHeight="1" x14ac:dyDescent="0.3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9"/>
      <c r="N487" s="30"/>
      <c r="O487" s="50"/>
      <c r="P487" s="49"/>
    </row>
    <row r="488" spans="1:16" ht="15.75" customHeight="1" x14ac:dyDescent="0.3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9"/>
      <c r="N488" s="30"/>
      <c r="O488" s="50"/>
      <c r="P488" s="49"/>
    </row>
    <row r="489" spans="1:16" ht="15.75" customHeight="1" x14ac:dyDescent="0.3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9"/>
      <c r="N489" s="30"/>
      <c r="O489" s="50"/>
      <c r="P489" s="49"/>
    </row>
    <row r="490" spans="1:16" ht="15.75" customHeight="1" x14ac:dyDescent="0.3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9"/>
      <c r="N490" s="30"/>
      <c r="O490" s="50"/>
      <c r="P490" s="49"/>
    </row>
    <row r="491" spans="1:16" ht="15.75" customHeight="1" x14ac:dyDescent="0.3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9"/>
      <c r="N491" s="30"/>
      <c r="O491" s="50"/>
      <c r="P491" s="49"/>
    </row>
    <row r="492" spans="1:16" ht="15.75" customHeight="1" x14ac:dyDescent="0.3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9"/>
      <c r="N492" s="30"/>
      <c r="O492" s="50"/>
      <c r="P492" s="49"/>
    </row>
    <row r="493" spans="1:16" ht="15.75" customHeight="1" x14ac:dyDescent="0.3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9"/>
      <c r="N493" s="30"/>
      <c r="O493" s="50"/>
      <c r="P493" s="49"/>
    </row>
    <row r="494" spans="1:16" ht="15.75" customHeight="1" x14ac:dyDescent="0.3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9"/>
      <c r="N494" s="30"/>
      <c r="O494" s="50"/>
      <c r="P494" s="49"/>
    </row>
    <row r="495" spans="1:16" ht="15.75" customHeight="1" x14ac:dyDescent="0.3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9"/>
      <c r="N495" s="30"/>
      <c r="O495" s="50"/>
      <c r="P495" s="49"/>
    </row>
    <row r="496" spans="1:16" ht="15.75" customHeight="1" x14ac:dyDescent="0.3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9"/>
      <c r="N496" s="30"/>
      <c r="O496" s="50"/>
      <c r="P496" s="49"/>
    </row>
    <row r="497" spans="1:16" ht="15.75" customHeight="1" x14ac:dyDescent="0.3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9"/>
      <c r="N497" s="30"/>
      <c r="O497" s="50"/>
      <c r="P497" s="49"/>
    </row>
    <row r="498" spans="1:16" ht="15.75" customHeight="1" x14ac:dyDescent="0.3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9"/>
      <c r="N498" s="30"/>
      <c r="O498" s="50"/>
      <c r="P498" s="49"/>
    </row>
    <row r="499" spans="1:16" ht="15.75" customHeight="1" x14ac:dyDescent="0.3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9"/>
      <c r="N499" s="30"/>
      <c r="O499" s="50"/>
      <c r="P499" s="49"/>
    </row>
    <row r="500" spans="1:16" ht="15.75" customHeight="1" x14ac:dyDescent="0.3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9"/>
      <c r="N500" s="30"/>
      <c r="O500" s="50"/>
      <c r="P500" s="49"/>
    </row>
    <row r="501" spans="1:16" ht="15.75" customHeight="1" x14ac:dyDescent="0.3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9"/>
      <c r="N501" s="30"/>
      <c r="O501" s="50"/>
      <c r="P501" s="49"/>
    </row>
    <row r="502" spans="1:16" ht="15.75" customHeight="1" x14ac:dyDescent="0.3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9"/>
      <c r="N502" s="30"/>
      <c r="O502" s="50"/>
      <c r="P502" s="49"/>
    </row>
    <row r="503" spans="1:16" ht="15.75" customHeight="1" x14ac:dyDescent="0.3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9"/>
      <c r="N503" s="30"/>
      <c r="O503" s="50"/>
      <c r="P503" s="49"/>
    </row>
    <row r="504" spans="1:16" ht="15.75" customHeight="1" x14ac:dyDescent="0.3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9"/>
      <c r="N504" s="30"/>
      <c r="O504" s="50"/>
      <c r="P504" s="49"/>
    </row>
    <row r="505" spans="1:16" ht="15.75" customHeight="1" x14ac:dyDescent="0.3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9"/>
      <c r="N505" s="30"/>
      <c r="O505" s="50"/>
      <c r="P505" s="49"/>
    </row>
    <row r="506" spans="1:16" ht="15.75" customHeight="1" x14ac:dyDescent="0.3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9"/>
      <c r="N506" s="30"/>
      <c r="O506" s="50"/>
      <c r="P506" s="49"/>
    </row>
    <row r="507" spans="1:16" ht="15.75" customHeight="1" x14ac:dyDescent="0.3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9"/>
      <c r="N507" s="30"/>
      <c r="O507" s="50"/>
      <c r="P507" s="49"/>
    </row>
    <row r="508" spans="1:16" ht="15.75" customHeight="1" x14ac:dyDescent="0.3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9"/>
      <c r="N508" s="30"/>
      <c r="O508" s="50"/>
      <c r="P508" s="49"/>
    </row>
    <row r="509" spans="1:16" ht="15.75" customHeight="1" x14ac:dyDescent="0.3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9"/>
      <c r="N509" s="30"/>
      <c r="O509" s="50"/>
      <c r="P509" s="49"/>
    </row>
    <row r="510" spans="1:16" ht="15.75" customHeight="1" x14ac:dyDescent="0.3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9"/>
      <c r="N510" s="30"/>
      <c r="O510" s="50"/>
      <c r="P510" s="49"/>
    </row>
    <row r="511" spans="1:16" ht="15.75" customHeight="1" x14ac:dyDescent="0.3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9"/>
      <c r="N511" s="30"/>
      <c r="O511" s="50"/>
      <c r="P511" s="49"/>
    </row>
    <row r="512" spans="1:16" ht="15.75" customHeight="1" x14ac:dyDescent="0.3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9"/>
      <c r="N512" s="30"/>
      <c r="O512" s="50"/>
      <c r="P512" s="49"/>
    </row>
    <row r="513" spans="1:16" ht="15.75" customHeight="1" x14ac:dyDescent="0.3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9"/>
      <c r="N513" s="30"/>
      <c r="O513" s="50"/>
      <c r="P513" s="49"/>
    </row>
    <row r="514" spans="1:16" ht="15.75" customHeight="1" x14ac:dyDescent="0.3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9"/>
      <c r="N514" s="30"/>
      <c r="O514" s="50"/>
      <c r="P514" s="49"/>
    </row>
    <row r="515" spans="1:16" ht="15.75" customHeight="1" x14ac:dyDescent="0.3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9"/>
      <c r="N515" s="30"/>
      <c r="O515" s="50"/>
      <c r="P515" s="49"/>
    </row>
    <row r="516" spans="1:16" ht="15.75" customHeight="1" x14ac:dyDescent="0.3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9"/>
      <c r="N516" s="30"/>
      <c r="O516" s="50"/>
      <c r="P516" s="49"/>
    </row>
    <row r="517" spans="1:16" ht="15.75" customHeight="1" x14ac:dyDescent="0.3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9"/>
      <c r="N517" s="30"/>
      <c r="O517" s="50"/>
      <c r="P517" s="49"/>
    </row>
    <row r="518" spans="1:16" ht="15.75" customHeight="1" x14ac:dyDescent="0.3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9"/>
      <c r="N518" s="30"/>
      <c r="O518" s="50"/>
      <c r="P518" s="49"/>
    </row>
    <row r="519" spans="1:16" ht="15.75" customHeight="1" x14ac:dyDescent="0.3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9"/>
      <c r="N519" s="30"/>
      <c r="O519" s="50"/>
      <c r="P519" s="49"/>
    </row>
    <row r="520" spans="1:16" ht="15.75" customHeight="1" x14ac:dyDescent="0.3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9"/>
      <c r="N520" s="30"/>
      <c r="O520" s="50"/>
      <c r="P520" s="49"/>
    </row>
    <row r="521" spans="1:16" ht="15.75" customHeight="1" x14ac:dyDescent="0.3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9"/>
      <c r="N521" s="30"/>
      <c r="O521" s="50"/>
      <c r="P521" s="49"/>
    </row>
    <row r="522" spans="1:16" ht="15.75" customHeight="1" x14ac:dyDescent="0.3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9"/>
      <c r="N522" s="30"/>
      <c r="O522" s="50"/>
      <c r="P522" s="49"/>
    </row>
    <row r="523" spans="1:16" ht="15.75" customHeight="1" x14ac:dyDescent="0.3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9"/>
      <c r="N523" s="30"/>
      <c r="O523" s="50"/>
      <c r="P523" s="49"/>
    </row>
    <row r="524" spans="1:16" ht="15.75" customHeight="1" x14ac:dyDescent="0.3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9"/>
      <c r="N524" s="30"/>
      <c r="O524" s="50"/>
      <c r="P524" s="49"/>
    </row>
    <row r="525" spans="1:16" ht="15.75" customHeight="1" x14ac:dyDescent="0.3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9"/>
      <c r="N525" s="30"/>
      <c r="O525" s="50"/>
      <c r="P525" s="49"/>
    </row>
    <row r="526" spans="1:16" ht="15.75" customHeight="1" x14ac:dyDescent="0.3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9"/>
      <c r="N526" s="30"/>
      <c r="O526" s="50"/>
      <c r="P526" s="49"/>
    </row>
    <row r="527" spans="1:16" ht="15.75" customHeight="1" x14ac:dyDescent="0.3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9"/>
      <c r="N527" s="30"/>
      <c r="O527" s="50"/>
      <c r="P527" s="49"/>
    </row>
    <row r="528" spans="1:16" ht="15.75" customHeight="1" x14ac:dyDescent="0.3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9"/>
      <c r="N528" s="30"/>
      <c r="O528" s="50"/>
      <c r="P528" s="49"/>
    </row>
    <row r="529" spans="1:16" ht="15.75" customHeight="1" x14ac:dyDescent="0.3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9"/>
      <c r="N529" s="30"/>
      <c r="O529" s="50"/>
      <c r="P529" s="49"/>
    </row>
    <row r="530" spans="1:16" ht="15.75" customHeight="1" x14ac:dyDescent="0.3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9"/>
      <c r="N530" s="30"/>
      <c r="O530" s="50"/>
      <c r="P530" s="49"/>
    </row>
    <row r="531" spans="1:16" ht="15.75" customHeight="1" x14ac:dyDescent="0.3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9"/>
      <c r="N531" s="30"/>
      <c r="O531" s="50"/>
      <c r="P531" s="49"/>
    </row>
    <row r="532" spans="1:16" ht="15.75" customHeight="1" x14ac:dyDescent="0.3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9"/>
      <c r="N532" s="30"/>
      <c r="O532" s="50"/>
      <c r="P532" s="49"/>
    </row>
    <row r="533" spans="1:16" ht="15.75" customHeight="1" x14ac:dyDescent="0.3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9"/>
      <c r="N533" s="30"/>
      <c r="O533" s="50"/>
      <c r="P533" s="49"/>
    </row>
    <row r="534" spans="1:16" ht="15.75" customHeight="1" x14ac:dyDescent="0.3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9"/>
      <c r="N534" s="30"/>
      <c r="O534" s="50"/>
      <c r="P534" s="49"/>
    </row>
    <row r="535" spans="1:16" ht="15.75" customHeight="1" x14ac:dyDescent="0.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9"/>
      <c r="N535" s="30"/>
      <c r="O535" s="50"/>
      <c r="P535" s="49"/>
    </row>
    <row r="536" spans="1:16" ht="15.75" customHeight="1" x14ac:dyDescent="0.3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9"/>
      <c r="N536" s="30"/>
      <c r="O536" s="50"/>
      <c r="P536" s="49"/>
    </row>
    <row r="537" spans="1:16" ht="15.75" customHeight="1" x14ac:dyDescent="0.3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9"/>
      <c r="N537" s="30"/>
      <c r="O537" s="50"/>
      <c r="P537" s="49"/>
    </row>
    <row r="538" spans="1:16" ht="15.75" customHeight="1" x14ac:dyDescent="0.3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9"/>
      <c r="N538" s="30"/>
      <c r="O538" s="50"/>
      <c r="P538" s="49"/>
    </row>
    <row r="539" spans="1:16" ht="15.75" customHeight="1" x14ac:dyDescent="0.3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9"/>
      <c r="N539" s="30"/>
      <c r="O539" s="50"/>
      <c r="P539" s="49"/>
    </row>
    <row r="540" spans="1:16" ht="15.75" customHeight="1" x14ac:dyDescent="0.3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9"/>
      <c r="N540" s="30"/>
      <c r="O540" s="50"/>
      <c r="P540" s="49"/>
    </row>
    <row r="541" spans="1:16" ht="15.75" customHeight="1" x14ac:dyDescent="0.3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9"/>
      <c r="N541" s="30"/>
      <c r="O541" s="50"/>
      <c r="P541" s="49"/>
    </row>
    <row r="542" spans="1:16" ht="15.75" customHeight="1" x14ac:dyDescent="0.3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9"/>
      <c r="N542" s="30"/>
      <c r="O542" s="50"/>
      <c r="P542" s="49"/>
    </row>
    <row r="543" spans="1:16" ht="15.75" customHeight="1" x14ac:dyDescent="0.3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9"/>
      <c r="N543" s="30"/>
      <c r="O543" s="50"/>
      <c r="P543" s="49"/>
    </row>
    <row r="544" spans="1:16" ht="15.75" customHeight="1" x14ac:dyDescent="0.3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9"/>
      <c r="N544" s="30"/>
      <c r="O544" s="50"/>
      <c r="P544" s="49"/>
    </row>
    <row r="545" spans="1:16" ht="15.75" customHeight="1" x14ac:dyDescent="0.3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9"/>
      <c r="N545" s="30"/>
      <c r="O545" s="50"/>
      <c r="P545" s="49"/>
    </row>
    <row r="546" spans="1:16" ht="15.75" customHeight="1" x14ac:dyDescent="0.3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9"/>
      <c r="N546" s="30"/>
      <c r="O546" s="50"/>
      <c r="P546" s="49"/>
    </row>
    <row r="547" spans="1:16" ht="15.75" customHeight="1" x14ac:dyDescent="0.3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9"/>
      <c r="N547" s="30"/>
      <c r="O547" s="50"/>
      <c r="P547" s="49"/>
    </row>
    <row r="548" spans="1:16" ht="15.75" customHeight="1" x14ac:dyDescent="0.3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9"/>
      <c r="N548" s="30"/>
      <c r="O548" s="50"/>
      <c r="P548" s="49"/>
    </row>
    <row r="549" spans="1:16" ht="15.75" customHeight="1" x14ac:dyDescent="0.3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9"/>
      <c r="N549" s="30"/>
      <c r="O549" s="50"/>
      <c r="P549" s="49"/>
    </row>
    <row r="550" spans="1:16" ht="15.75" customHeight="1" x14ac:dyDescent="0.3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9"/>
      <c r="N550" s="30"/>
      <c r="O550" s="50"/>
      <c r="P550" s="49"/>
    </row>
    <row r="551" spans="1:16" ht="15.75" customHeight="1" x14ac:dyDescent="0.3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9"/>
      <c r="N551" s="30"/>
      <c r="O551" s="50"/>
      <c r="P551" s="49"/>
    </row>
    <row r="552" spans="1:16" ht="15.75" customHeight="1" x14ac:dyDescent="0.3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9"/>
      <c r="N552" s="30"/>
      <c r="O552" s="50"/>
      <c r="P552" s="49"/>
    </row>
    <row r="553" spans="1:16" ht="15.75" customHeight="1" x14ac:dyDescent="0.3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9"/>
      <c r="N553" s="30"/>
      <c r="O553" s="50"/>
      <c r="P553" s="49"/>
    </row>
    <row r="554" spans="1:16" ht="15.75" customHeight="1" x14ac:dyDescent="0.3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9"/>
      <c r="N554" s="30"/>
      <c r="O554" s="50"/>
      <c r="P554" s="49"/>
    </row>
    <row r="555" spans="1:16" ht="15.75" customHeight="1" x14ac:dyDescent="0.3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9"/>
      <c r="N555" s="30"/>
      <c r="O555" s="50"/>
      <c r="P555" s="49"/>
    </row>
    <row r="556" spans="1:16" ht="15.75" customHeight="1" x14ac:dyDescent="0.3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9"/>
      <c r="N556" s="30"/>
      <c r="O556" s="50"/>
      <c r="P556" s="49"/>
    </row>
    <row r="557" spans="1:16" ht="15.75" customHeight="1" x14ac:dyDescent="0.3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9"/>
      <c r="N557" s="30"/>
      <c r="O557" s="50"/>
      <c r="P557" s="49"/>
    </row>
    <row r="558" spans="1:16" ht="15.75" customHeight="1" x14ac:dyDescent="0.3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9"/>
      <c r="N558" s="30"/>
      <c r="O558" s="50"/>
      <c r="P558" s="49"/>
    </row>
    <row r="559" spans="1:16" ht="15.75" customHeight="1" x14ac:dyDescent="0.3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9"/>
      <c r="N559" s="30"/>
      <c r="O559" s="50"/>
      <c r="P559" s="49"/>
    </row>
    <row r="560" spans="1:16" ht="15.75" customHeight="1" x14ac:dyDescent="0.3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9"/>
      <c r="N560" s="30"/>
      <c r="O560" s="50"/>
      <c r="P560" s="49"/>
    </row>
    <row r="561" spans="1:16" ht="15.75" customHeight="1" x14ac:dyDescent="0.3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9"/>
      <c r="N561" s="30"/>
      <c r="O561" s="50"/>
      <c r="P561" s="49"/>
    </row>
    <row r="562" spans="1:16" ht="15.75" customHeight="1" x14ac:dyDescent="0.3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9"/>
      <c r="N562" s="30"/>
      <c r="O562" s="50"/>
      <c r="P562" s="49"/>
    </row>
    <row r="563" spans="1:16" ht="15.75" customHeight="1" x14ac:dyDescent="0.3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9"/>
      <c r="N563" s="30"/>
      <c r="O563" s="50"/>
      <c r="P563" s="49"/>
    </row>
    <row r="564" spans="1:16" ht="15.75" customHeight="1" x14ac:dyDescent="0.3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9"/>
      <c r="N564" s="30"/>
      <c r="O564" s="50"/>
      <c r="P564" s="49"/>
    </row>
    <row r="565" spans="1:16" ht="15.75" customHeight="1" x14ac:dyDescent="0.3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9"/>
      <c r="N565" s="30"/>
      <c r="O565" s="50"/>
      <c r="P565" s="49"/>
    </row>
    <row r="566" spans="1:16" ht="15.75" customHeight="1" x14ac:dyDescent="0.3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9"/>
      <c r="N566" s="30"/>
      <c r="O566" s="50"/>
      <c r="P566" s="49"/>
    </row>
    <row r="567" spans="1:16" ht="15.75" customHeight="1" x14ac:dyDescent="0.3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9"/>
      <c r="N567" s="30"/>
      <c r="O567" s="50"/>
      <c r="P567" s="49"/>
    </row>
    <row r="568" spans="1:16" ht="15.75" customHeight="1" x14ac:dyDescent="0.3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9"/>
      <c r="N568" s="30"/>
      <c r="O568" s="50"/>
      <c r="P568" s="49"/>
    </row>
    <row r="569" spans="1:16" ht="15.75" customHeight="1" x14ac:dyDescent="0.3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9"/>
      <c r="N569" s="30"/>
      <c r="O569" s="50"/>
      <c r="P569" s="49"/>
    </row>
    <row r="570" spans="1:16" ht="15.75" customHeight="1" x14ac:dyDescent="0.3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9"/>
      <c r="N570" s="30"/>
      <c r="O570" s="50"/>
      <c r="P570" s="49"/>
    </row>
    <row r="571" spans="1:16" ht="15.75" customHeight="1" x14ac:dyDescent="0.3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9"/>
      <c r="N571" s="30"/>
      <c r="O571" s="50"/>
      <c r="P571" s="49"/>
    </row>
    <row r="572" spans="1:16" ht="15.75" customHeight="1" x14ac:dyDescent="0.3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9"/>
      <c r="N572" s="30"/>
      <c r="O572" s="50"/>
      <c r="P572" s="49"/>
    </row>
    <row r="573" spans="1:16" ht="15.75" customHeight="1" x14ac:dyDescent="0.3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9"/>
      <c r="N573" s="30"/>
      <c r="O573" s="50"/>
      <c r="P573" s="49"/>
    </row>
    <row r="574" spans="1:16" ht="15.75" customHeight="1" x14ac:dyDescent="0.3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9"/>
      <c r="N574" s="30"/>
      <c r="O574" s="50"/>
      <c r="P574" s="49"/>
    </row>
    <row r="575" spans="1:16" ht="15.75" customHeight="1" x14ac:dyDescent="0.3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9"/>
      <c r="N575" s="30"/>
      <c r="O575" s="50"/>
      <c r="P575" s="49"/>
    </row>
    <row r="576" spans="1:16" ht="15.75" customHeight="1" x14ac:dyDescent="0.3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9"/>
      <c r="N576" s="30"/>
      <c r="O576" s="50"/>
      <c r="P576" s="49"/>
    </row>
    <row r="577" spans="1:16" ht="15.75" customHeight="1" x14ac:dyDescent="0.3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9"/>
      <c r="N577" s="30"/>
      <c r="O577" s="50"/>
      <c r="P577" s="49"/>
    </row>
    <row r="578" spans="1:16" ht="15.75" customHeight="1" x14ac:dyDescent="0.3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9"/>
      <c r="N578" s="30"/>
      <c r="O578" s="50"/>
      <c r="P578" s="49"/>
    </row>
    <row r="579" spans="1:16" ht="15.75" customHeight="1" x14ac:dyDescent="0.3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9"/>
      <c r="N579" s="30"/>
      <c r="O579" s="50"/>
      <c r="P579" s="49"/>
    </row>
    <row r="580" spans="1:16" ht="15.75" customHeight="1" x14ac:dyDescent="0.3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9"/>
      <c r="N580" s="30"/>
      <c r="O580" s="50"/>
      <c r="P580" s="49"/>
    </row>
    <row r="581" spans="1:16" ht="15.75" customHeight="1" x14ac:dyDescent="0.3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9"/>
      <c r="N581" s="30"/>
      <c r="O581" s="50"/>
      <c r="P581" s="49"/>
    </row>
    <row r="582" spans="1:16" ht="15.75" customHeight="1" x14ac:dyDescent="0.3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9"/>
      <c r="N582" s="30"/>
      <c r="O582" s="50"/>
      <c r="P582" s="49"/>
    </row>
    <row r="583" spans="1:16" ht="15.75" customHeight="1" x14ac:dyDescent="0.3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9"/>
      <c r="N583" s="30"/>
      <c r="O583" s="50"/>
      <c r="P583" s="49"/>
    </row>
    <row r="584" spans="1:16" ht="15.75" customHeight="1" x14ac:dyDescent="0.3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9"/>
      <c r="N584" s="30"/>
      <c r="O584" s="50"/>
      <c r="P584" s="49"/>
    </row>
    <row r="585" spans="1:16" ht="15.75" customHeight="1" x14ac:dyDescent="0.3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9"/>
      <c r="N585" s="30"/>
      <c r="O585" s="50"/>
      <c r="P585" s="49"/>
    </row>
    <row r="586" spans="1:16" ht="15.75" customHeight="1" x14ac:dyDescent="0.3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9"/>
      <c r="N586" s="30"/>
      <c r="O586" s="50"/>
      <c r="P586" s="49"/>
    </row>
    <row r="587" spans="1:16" ht="15.75" customHeight="1" x14ac:dyDescent="0.3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9"/>
      <c r="N587" s="30"/>
      <c r="O587" s="50"/>
      <c r="P587" s="49"/>
    </row>
    <row r="588" spans="1:16" ht="15.75" customHeight="1" x14ac:dyDescent="0.3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9"/>
      <c r="N588" s="30"/>
      <c r="O588" s="50"/>
      <c r="P588" s="49"/>
    </row>
    <row r="589" spans="1:16" ht="15.75" customHeight="1" x14ac:dyDescent="0.3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9"/>
      <c r="N589" s="30"/>
      <c r="O589" s="50"/>
      <c r="P589" s="49"/>
    </row>
    <row r="590" spans="1:16" ht="15.75" customHeight="1" x14ac:dyDescent="0.3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9"/>
      <c r="N590" s="30"/>
      <c r="O590" s="50"/>
      <c r="P590" s="49"/>
    </row>
    <row r="591" spans="1:16" ht="15.75" customHeight="1" x14ac:dyDescent="0.3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9"/>
      <c r="N591" s="30"/>
      <c r="O591" s="50"/>
      <c r="P591" s="49"/>
    </row>
    <row r="592" spans="1:16" ht="15.75" customHeight="1" x14ac:dyDescent="0.3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9"/>
      <c r="N592" s="30"/>
      <c r="O592" s="50"/>
      <c r="P592" s="49"/>
    </row>
    <row r="593" spans="1:16" ht="15.75" customHeight="1" x14ac:dyDescent="0.3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9"/>
      <c r="N593" s="30"/>
      <c r="O593" s="50"/>
      <c r="P593" s="49"/>
    </row>
    <row r="594" spans="1:16" ht="15.75" customHeight="1" x14ac:dyDescent="0.3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9"/>
      <c r="N594" s="30"/>
      <c r="O594" s="50"/>
      <c r="P594" s="49"/>
    </row>
    <row r="595" spans="1:16" ht="15.75" customHeight="1" x14ac:dyDescent="0.3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9"/>
      <c r="N595" s="30"/>
      <c r="O595" s="50"/>
      <c r="P595" s="49"/>
    </row>
    <row r="596" spans="1:16" ht="15.75" customHeight="1" x14ac:dyDescent="0.3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9"/>
      <c r="N596" s="30"/>
      <c r="O596" s="50"/>
      <c r="P596" s="49"/>
    </row>
    <row r="597" spans="1:16" ht="15.75" customHeight="1" x14ac:dyDescent="0.3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9"/>
      <c r="N597" s="30"/>
      <c r="O597" s="50"/>
      <c r="P597" s="49"/>
    </row>
    <row r="598" spans="1:16" ht="15.75" customHeight="1" x14ac:dyDescent="0.3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9"/>
      <c r="N598" s="30"/>
      <c r="O598" s="50"/>
      <c r="P598" s="49"/>
    </row>
    <row r="599" spans="1:16" ht="15.75" customHeight="1" x14ac:dyDescent="0.3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9"/>
      <c r="N599" s="30"/>
      <c r="O599" s="50"/>
      <c r="P599" s="49"/>
    </row>
    <row r="600" spans="1:16" ht="15.75" customHeight="1" x14ac:dyDescent="0.3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9"/>
      <c r="N600" s="30"/>
      <c r="O600" s="50"/>
      <c r="P600" s="49"/>
    </row>
    <row r="601" spans="1:16" ht="15.75" customHeight="1" x14ac:dyDescent="0.3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9"/>
      <c r="N601" s="30"/>
      <c r="O601" s="50"/>
      <c r="P601" s="49"/>
    </row>
    <row r="602" spans="1:16" ht="15.75" customHeight="1" x14ac:dyDescent="0.3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9"/>
      <c r="N602" s="30"/>
      <c r="O602" s="50"/>
      <c r="P602" s="49"/>
    </row>
    <row r="603" spans="1:16" ht="15.75" customHeight="1" x14ac:dyDescent="0.3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9"/>
      <c r="N603" s="30"/>
      <c r="O603" s="50"/>
      <c r="P603" s="49"/>
    </row>
    <row r="604" spans="1:16" ht="15.75" customHeight="1" x14ac:dyDescent="0.3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9"/>
      <c r="N604" s="30"/>
      <c r="O604" s="50"/>
      <c r="P604" s="49"/>
    </row>
    <row r="605" spans="1:16" ht="15.75" customHeight="1" x14ac:dyDescent="0.3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9"/>
      <c r="N605" s="30"/>
      <c r="O605" s="50"/>
      <c r="P605" s="49"/>
    </row>
    <row r="606" spans="1:16" ht="15.75" customHeight="1" x14ac:dyDescent="0.3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9"/>
      <c r="N606" s="30"/>
      <c r="O606" s="50"/>
      <c r="P606" s="49"/>
    </row>
    <row r="607" spans="1:16" ht="15.75" customHeight="1" x14ac:dyDescent="0.3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9"/>
      <c r="N607" s="30"/>
      <c r="O607" s="50"/>
      <c r="P607" s="49"/>
    </row>
    <row r="608" spans="1:16" ht="15.75" customHeight="1" x14ac:dyDescent="0.3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9"/>
      <c r="N608" s="30"/>
      <c r="O608" s="50"/>
      <c r="P608" s="49"/>
    </row>
    <row r="609" spans="1:16" ht="15.75" customHeight="1" x14ac:dyDescent="0.3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9"/>
      <c r="N609" s="30"/>
      <c r="O609" s="50"/>
      <c r="P609" s="49"/>
    </row>
    <row r="610" spans="1:16" ht="15.75" customHeight="1" x14ac:dyDescent="0.3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9"/>
      <c r="N610" s="30"/>
      <c r="O610" s="50"/>
      <c r="P610" s="49"/>
    </row>
    <row r="611" spans="1:16" ht="15.75" customHeight="1" x14ac:dyDescent="0.3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9"/>
      <c r="N611" s="30"/>
      <c r="O611" s="50"/>
      <c r="P611" s="49"/>
    </row>
    <row r="612" spans="1:16" ht="15.75" customHeight="1" x14ac:dyDescent="0.3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9"/>
      <c r="N612" s="30"/>
      <c r="O612" s="50"/>
      <c r="P612" s="49"/>
    </row>
    <row r="613" spans="1:16" ht="15.75" customHeight="1" x14ac:dyDescent="0.3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9"/>
      <c r="N613" s="30"/>
      <c r="O613" s="50"/>
      <c r="P613" s="49"/>
    </row>
    <row r="614" spans="1:16" ht="15.75" customHeight="1" x14ac:dyDescent="0.3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9"/>
      <c r="N614" s="30"/>
      <c r="O614" s="50"/>
      <c r="P614" s="49"/>
    </row>
    <row r="615" spans="1:16" ht="15.75" customHeight="1" x14ac:dyDescent="0.3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9"/>
      <c r="N615" s="30"/>
      <c r="O615" s="50"/>
      <c r="P615" s="49"/>
    </row>
    <row r="616" spans="1:16" ht="15.75" customHeight="1" x14ac:dyDescent="0.3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9"/>
      <c r="N616" s="30"/>
      <c r="O616" s="50"/>
      <c r="P616" s="49"/>
    </row>
    <row r="617" spans="1:16" ht="15.75" customHeight="1" x14ac:dyDescent="0.3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9"/>
      <c r="N617" s="30"/>
      <c r="O617" s="50"/>
      <c r="P617" s="49"/>
    </row>
    <row r="618" spans="1:16" ht="15.75" customHeight="1" x14ac:dyDescent="0.3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9"/>
      <c r="N618" s="30"/>
      <c r="O618" s="50"/>
      <c r="P618" s="49"/>
    </row>
    <row r="619" spans="1:16" ht="15.75" customHeight="1" x14ac:dyDescent="0.3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9"/>
      <c r="N619" s="30"/>
      <c r="O619" s="50"/>
      <c r="P619" s="49"/>
    </row>
    <row r="620" spans="1:16" ht="15.75" customHeight="1" x14ac:dyDescent="0.3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9"/>
      <c r="N620" s="30"/>
      <c r="O620" s="50"/>
      <c r="P620" s="49"/>
    </row>
    <row r="621" spans="1:16" ht="15.75" customHeight="1" x14ac:dyDescent="0.3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9"/>
      <c r="N621" s="30"/>
      <c r="O621" s="50"/>
      <c r="P621" s="49"/>
    </row>
    <row r="622" spans="1:16" ht="15.75" customHeight="1" x14ac:dyDescent="0.3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9"/>
      <c r="N622" s="30"/>
      <c r="O622" s="50"/>
      <c r="P622" s="49"/>
    </row>
    <row r="623" spans="1:16" ht="15.75" customHeight="1" x14ac:dyDescent="0.3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9"/>
      <c r="N623" s="30"/>
      <c r="O623" s="50"/>
      <c r="P623" s="49"/>
    </row>
    <row r="624" spans="1:16" ht="15.75" customHeight="1" x14ac:dyDescent="0.3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9"/>
      <c r="N624" s="30"/>
      <c r="O624" s="50"/>
      <c r="P624" s="49"/>
    </row>
    <row r="625" spans="1:16" ht="15.75" customHeight="1" x14ac:dyDescent="0.3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9"/>
      <c r="N625" s="30"/>
      <c r="O625" s="50"/>
      <c r="P625" s="49"/>
    </row>
    <row r="626" spans="1:16" ht="15.75" customHeight="1" x14ac:dyDescent="0.3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9"/>
      <c r="N626" s="30"/>
      <c r="O626" s="50"/>
      <c r="P626" s="49"/>
    </row>
    <row r="627" spans="1:16" ht="15.75" customHeight="1" x14ac:dyDescent="0.3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9"/>
      <c r="N627" s="30"/>
      <c r="O627" s="50"/>
      <c r="P627" s="49"/>
    </row>
    <row r="628" spans="1:16" ht="15.75" customHeight="1" x14ac:dyDescent="0.3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9"/>
      <c r="N628" s="30"/>
      <c r="O628" s="50"/>
      <c r="P628" s="49"/>
    </row>
    <row r="629" spans="1:16" ht="15.75" customHeight="1" x14ac:dyDescent="0.3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9"/>
      <c r="N629" s="30"/>
      <c r="O629" s="50"/>
      <c r="P629" s="49"/>
    </row>
    <row r="630" spans="1:16" ht="15.75" customHeight="1" x14ac:dyDescent="0.3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9"/>
      <c r="N630" s="30"/>
      <c r="O630" s="50"/>
      <c r="P630" s="49"/>
    </row>
    <row r="631" spans="1:16" ht="15.75" customHeight="1" x14ac:dyDescent="0.3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9"/>
      <c r="N631" s="30"/>
      <c r="O631" s="50"/>
      <c r="P631" s="49"/>
    </row>
    <row r="632" spans="1:16" ht="15.75" customHeight="1" x14ac:dyDescent="0.3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9"/>
      <c r="N632" s="30"/>
      <c r="O632" s="50"/>
      <c r="P632" s="49"/>
    </row>
    <row r="633" spans="1:16" ht="15.75" customHeight="1" x14ac:dyDescent="0.3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9"/>
      <c r="N633" s="30"/>
      <c r="O633" s="50"/>
      <c r="P633" s="49"/>
    </row>
    <row r="634" spans="1:16" ht="15.75" customHeight="1" x14ac:dyDescent="0.3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9"/>
      <c r="N634" s="30"/>
      <c r="O634" s="50"/>
      <c r="P634" s="49"/>
    </row>
    <row r="635" spans="1:16" ht="15.75" customHeight="1" x14ac:dyDescent="0.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9"/>
      <c r="N635" s="30"/>
      <c r="O635" s="50"/>
      <c r="P635" s="49"/>
    </row>
    <row r="636" spans="1:16" ht="15.75" customHeight="1" x14ac:dyDescent="0.3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9"/>
      <c r="N636" s="30"/>
      <c r="O636" s="50"/>
      <c r="P636" s="49"/>
    </row>
    <row r="637" spans="1:16" ht="15.75" customHeight="1" x14ac:dyDescent="0.3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9"/>
      <c r="N637" s="30"/>
      <c r="O637" s="50"/>
      <c r="P637" s="49"/>
    </row>
    <row r="638" spans="1:16" ht="15.75" customHeight="1" x14ac:dyDescent="0.3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9"/>
      <c r="N638" s="30"/>
      <c r="O638" s="50"/>
      <c r="P638" s="49"/>
    </row>
    <row r="639" spans="1:16" ht="15.75" customHeight="1" x14ac:dyDescent="0.3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9"/>
      <c r="N639" s="30"/>
      <c r="O639" s="50"/>
      <c r="P639" s="49"/>
    </row>
    <row r="640" spans="1:16" ht="15.75" customHeight="1" x14ac:dyDescent="0.3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9"/>
      <c r="N640" s="30"/>
      <c r="O640" s="50"/>
      <c r="P640" s="49"/>
    </row>
    <row r="641" spans="1:16" ht="15.75" customHeight="1" x14ac:dyDescent="0.3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9"/>
      <c r="N641" s="30"/>
      <c r="O641" s="50"/>
      <c r="P641" s="49"/>
    </row>
    <row r="642" spans="1:16" ht="15.75" customHeight="1" x14ac:dyDescent="0.3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9"/>
      <c r="N642" s="30"/>
      <c r="O642" s="50"/>
      <c r="P642" s="49"/>
    </row>
    <row r="643" spans="1:16" ht="15.75" customHeight="1" x14ac:dyDescent="0.3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9"/>
      <c r="N643" s="30"/>
      <c r="O643" s="50"/>
      <c r="P643" s="49"/>
    </row>
    <row r="644" spans="1:16" ht="15.75" customHeight="1" x14ac:dyDescent="0.3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9"/>
      <c r="N644" s="30"/>
      <c r="O644" s="50"/>
      <c r="P644" s="49"/>
    </row>
    <row r="645" spans="1:16" ht="15.75" customHeight="1" x14ac:dyDescent="0.3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9"/>
      <c r="N645" s="30"/>
      <c r="O645" s="50"/>
      <c r="P645" s="49"/>
    </row>
    <row r="646" spans="1:16" ht="15.75" customHeight="1" x14ac:dyDescent="0.3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9"/>
      <c r="N646" s="30"/>
      <c r="O646" s="50"/>
      <c r="P646" s="49"/>
    </row>
    <row r="647" spans="1:16" ht="15.75" customHeight="1" x14ac:dyDescent="0.3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9"/>
      <c r="N647" s="30"/>
      <c r="O647" s="50"/>
      <c r="P647" s="49"/>
    </row>
    <row r="648" spans="1:16" ht="15.75" customHeight="1" x14ac:dyDescent="0.3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9"/>
      <c r="N648" s="30"/>
      <c r="O648" s="50"/>
      <c r="P648" s="49"/>
    </row>
    <row r="649" spans="1:16" ht="15.75" customHeight="1" x14ac:dyDescent="0.3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9"/>
      <c r="N649" s="30"/>
      <c r="O649" s="50"/>
      <c r="P649" s="49"/>
    </row>
    <row r="650" spans="1:16" ht="15.75" customHeight="1" x14ac:dyDescent="0.3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9"/>
      <c r="N650" s="30"/>
      <c r="O650" s="50"/>
      <c r="P650" s="49"/>
    </row>
    <row r="651" spans="1:16" ht="15.75" customHeight="1" x14ac:dyDescent="0.3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9"/>
      <c r="N651" s="30"/>
      <c r="O651" s="50"/>
      <c r="P651" s="49"/>
    </row>
    <row r="652" spans="1:16" ht="15.75" customHeight="1" x14ac:dyDescent="0.3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9"/>
      <c r="N652" s="30"/>
      <c r="O652" s="50"/>
      <c r="P652" s="49"/>
    </row>
    <row r="653" spans="1:16" ht="15.75" customHeight="1" x14ac:dyDescent="0.3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9"/>
      <c r="N653" s="30"/>
      <c r="O653" s="50"/>
      <c r="P653" s="49"/>
    </row>
    <row r="654" spans="1:16" ht="15.75" customHeight="1" x14ac:dyDescent="0.3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9"/>
      <c r="N654" s="30"/>
      <c r="O654" s="50"/>
      <c r="P654" s="49"/>
    </row>
    <row r="655" spans="1:16" ht="15.75" customHeight="1" x14ac:dyDescent="0.3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9"/>
      <c r="N655" s="30"/>
      <c r="O655" s="50"/>
      <c r="P655" s="49"/>
    </row>
    <row r="656" spans="1:16" ht="15.75" customHeight="1" x14ac:dyDescent="0.3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9"/>
      <c r="N656" s="30"/>
      <c r="O656" s="50"/>
      <c r="P656" s="49"/>
    </row>
    <row r="657" spans="1:16" ht="15.75" customHeight="1" x14ac:dyDescent="0.3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9"/>
      <c r="N657" s="30"/>
      <c r="O657" s="50"/>
      <c r="P657" s="49"/>
    </row>
    <row r="658" spans="1:16" ht="15.75" customHeight="1" x14ac:dyDescent="0.3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9"/>
      <c r="N658" s="30"/>
      <c r="O658" s="50"/>
      <c r="P658" s="49"/>
    </row>
    <row r="659" spans="1:16" ht="15.75" customHeight="1" x14ac:dyDescent="0.3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9"/>
      <c r="N659" s="30"/>
      <c r="O659" s="50"/>
      <c r="P659" s="49"/>
    </row>
    <row r="660" spans="1:16" ht="15.75" customHeight="1" x14ac:dyDescent="0.3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9"/>
      <c r="N660" s="30"/>
      <c r="O660" s="50"/>
      <c r="P660" s="49"/>
    </row>
    <row r="661" spans="1:16" ht="15.75" customHeight="1" x14ac:dyDescent="0.3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9"/>
      <c r="N661" s="30"/>
      <c r="O661" s="50"/>
      <c r="P661" s="49"/>
    </row>
    <row r="662" spans="1:16" ht="15.75" customHeight="1" x14ac:dyDescent="0.3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9"/>
      <c r="N662" s="30"/>
      <c r="O662" s="50"/>
      <c r="P662" s="49"/>
    </row>
    <row r="663" spans="1:16" ht="15.75" customHeight="1" x14ac:dyDescent="0.3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9"/>
      <c r="N663" s="30"/>
      <c r="O663" s="50"/>
      <c r="P663" s="49"/>
    </row>
    <row r="664" spans="1:16" ht="15.75" customHeight="1" x14ac:dyDescent="0.3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9"/>
      <c r="N664" s="30"/>
      <c r="O664" s="50"/>
      <c r="P664" s="49"/>
    </row>
    <row r="665" spans="1:16" ht="15.75" customHeight="1" x14ac:dyDescent="0.3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9"/>
      <c r="N665" s="30"/>
      <c r="O665" s="50"/>
      <c r="P665" s="49"/>
    </row>
    <row r="666" spans="1:16" ht="15.75" customHeight="1" x14ac:dyDescent="0.3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9"/>
      <c r="N666" s="30"/>
      <c r="O666" s="50"/>
      <c r="P666" s="49"/>
    </row>
    <row r="667" spans="1:16" ht="15.75" customHeight="1" x14ac:dyDescent="0.3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9"/>
      <c r="N667" s="30"/>
      <c r="O667" s="50"/>
      <c r="P667" s="49"/>
    </row>
    <row r="668" spans="1:16" ht="15.75" customHeight="1" x14ac:dyDescent="0.3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9"/>
      <c r="N668" s="30"/>
      <c r="O668" s="50"/>
      <c r="P668" s="49"/>
    </row>
    <row r="669" spans="1:16" ht="15.75" customHeight="1" x14ac:dyDescent="0.3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9"/>
      <c r="N669" s="30"/>
      <c r="O669" s="50"/>
      <c r="P669" s="49"/>
    </row>
    <row r="670" spans="1:16" ht="15.75" customHeight="1" x14ac:dyDescent="0.3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9"/>
      <c r="N670" s="30"/>
      <c r="O670" s="50"/>
      <c r="P670" s="49"/>
    </row>
    <row r="671" spans="1:16" ht="15.75" customHeight="1" x14ac:dyDescent="0.3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9"/>
      <c r="N671" s="30"/>
      <c r="O671" s="50"/>
      <c r="P671" s="49"/>
    </row>
    <row r="672" spans="1:16" ht="15.75" customHeight="1" x14ac:dyDescent="0.3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9"/>
      <c r="N672" s="30"/>
      <c r="O672" s="50"/>
      <c r="P672" s="49"/>
    </row>
    <row r="673" spans="1:16" ht="15.75" customHeight="1" x14ac:dyDescent="0.3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9"/>
      <c r="N673" s="30"/>
      <c r="O673" s="50"/>
      <c r="P673" s="49"/>
    </row>
    <row r="674" spans="1:16" ht="15.75" customHeight="1" x14ac:dyDescent="0.3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9"/>
      <c r="N674" s="30"/>
      <c r="O674" s="50"/>
      <c r="P674" s="49"/>
    </row>
    <row r="675" spans="1:16" ht="15.75" customHeight="1" x14ac:dyDescent="0.3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9"/>
      <c r="N675" s="30"/>
      <c r="O675" s="50"/>
      <c r="P675" s="49"/>
    </row>
    <row r="676" spans="1:16" ht="15.75" customHeight="1" x14ac:dyDescent="0.3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9"/>
      <c r="N676" s="30"/>
      <c r="O676" s="50"/>
      <c r="P676" s="49"/>
    </row>
    <row r="677" spans="1:16" ht="15.75" customHeight="1" x14ac:dyDescent="0.3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9"/>
      <c r="N677" s="30"/>
      <c r="O677" s="50"/>
      <c r="P677" s="49"/>
    </row>
    <row r="678" spans="1:16" ht="15.75" customHeight="1" x14ac:dyDescent="0.3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9"/>
      <c r="N678" s="30"/>
      <c r="O678" s="50"/>
      <c r="P678" s="49"/>
    </row>
    <row r="679" spans="1:16" ht="15.75" customHeight="1" x14ac:dyDescent="0.3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9"/>
      <c r="N679" s="30"/>
      <c r="O679" s="50"/>
      <c r="P679" s="49"/>
    </row>
    <row r="680" spans="1:16" ht="15.75" customHeight="1" x14ac:dyDescent="0.3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9"/>
      <c r="N680" s="30"/>
      <c r="O680" s="50"/>
      <c r="P680" s="49"/>
    </row>
    <row r="681" spans="1:16" ht="15.75" customHeight="1" x14ac:dyDescent="0.3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9"/>
      <c r="N681" s="30"/>
      <c r="O681" s="50"/>
      <c r="P681" s="49"/>
    </row>
    <row r="682" spans="1:16" ht="15.75" customHeight="1" x14ac:dyDescent="0.3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9"/>
      <c r="N682" s="30"/>
      <c r="O682" s="50"/>
      <c r="P682" s="49"/>
    </row>
    <row r="683" spans="1:16" ht="15.75" customHeight="1" x14ac:dyDescent="0.3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9"/>
      <c r="N683" s="30"/>
      <c r="O683" s="50"/>
      <c r="P683" s="49"/>
    </row>
    <row r="684" spans="1:16" ht="15.75" customHeight="1" x14ac:dyDescent="0.3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9"/>
      <c r="N684" s="30"/>
      <c r="O684" s="50"/>
      <c r="P684" s="49"/>
    </row>
    <row r="685" spans="1:16" ht="15.75" customHeight="1" x14ac:dyDescent="0.3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9"/>
      <c r="N685" s="30"/>
      <c r="O685" s="50"/>
      <c r="P685" s="49"/>
    </row>
    <row r="686" spans="1:16" ht="15.75" customHeight="1" x14ac:dyDescent="0.3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9"/>
      <c r="N686" s="30"/>
      <c r="O686" s="50"/>
      <c r="P686" s="49"/>
    </row>
    <row r="687" spans="1:16" ht="15.75" customHeight="1" x14ac:dyDescent="0.3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9"/>
      <c r="N687" s="30"/>
      <c r="O687" s="50"/>
      <c r="P687" s="49"/>
    </row>
    <row r="688" spans="1:16" ht="15.75" customHeight="1" x14ac:dyDescent="0.3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9"/>
      <c r="N688" s="30"/>
      <c r="O688" s="50"/>
      <c r="P688" s="49"/>
    </row>
    <row r="689" spans="1:16" ht="15.75" customHeight="1" x14ac:dyDescent="0.3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9"/>
      <c r="N689" s="30"/>
      <c r="O689" s="50"/>
      <c r="P689" s="49"/>
    </row>
    <row r="690" spans="1:16" ht="15.75" customHeight="1" x14ac:dyDescent="0.3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9"/>
      <c r="N690" s="30"/>
      <c r="O690" s="50"/>
      <c r="P690" s="49"/>
    </row>
    <row r="691" spans="1:16" ht="15.75" customHeight="1" x14ac:dyDescent="0.3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9"/>
      <c r="N691" s="30"/>
      <c r="O691" s="50"/>
      <c r="P691" s="49"/>
    </row>
    <row r="692" spans="1:16" ht="15.75" customHeight="1" x14ac:dyDescent="0.3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9"/>
      <c r="N692" s="30"/>
      <c r="O692" s="50"/>
      <c r="P692" s="49"/>
    </row>
    <row r="693" spans="1:16" ht="15.75" customHeight="1" x14ac:dyDescent="0.3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9"/>
      <c r="N693" s="30"/>
      <c r="O693" s="50"/>
      <c r="P693" s="49"/>
    </row>
    <row r="694" spans="1:16" ht="15.75" customHeight="1" x14ac:dyDescent="0.3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9"/>
      <c r="N694" s="30"/>
      <c r="O694" s="50"/>
      <c r="P694" s="49"/>
    </row>
    <row r="695" spans="1:16" ht="15.75" customHeight="1" x14ac:dyDescent="0.3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9"/>
      <c r="N695" s="30"/>
      <c r="O695" s="50"/>
      <c r="P695" s="49"/>
    </row>
    <row r="696" spans="1:16" ht="15.75" customHeight="1" x14ac:dyDescent="0.3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9"/>
      <c r="N696" s="30"/>
      <c r="O696" s="50"/>
      <c r="P696" s="49"/>
    </row>
    <row r="697" spans="1:16" ht="15.75" customHeight="1" x14ac:dyDescent="0.3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9"/>
      <c r="N697" s="30"/>
      <c r="O697" s="50"/>
      <c r="P697" s="49"/>
    </row>
    <row r="698" spans="1:16" ht="15.75" customHeight="1" x14ac:dyDescent="0.3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9"/>
      <c r="N698" s="30"/>
      <c r="O698" s="50"/>
      <c r="P698" s="49"/>
    </row>
    <row r="699" spans="1:16" ht="15.75" customHeight="1" x14ac:dyDescent="0.3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9"/>
      <c r="N699" s="30"/>
      <c r="O699" s="50"/>
      <c r="P699" s="49"/>
    </row>
    <row r="700" spans="1:16" ht="15.75" customHeight="1" x14ac:dyDescent="0.3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9"/>
      <c r="N700" s="30"/>
      <c r="O700" s="50"/>
      <c r="P700" s="49"/>
    </row>
    <row r="701" spans="1:16" ht="15.75" customHeight="1" x14ac:dyDescent="0.3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9"/>
      <c r="N701" s="30"/>
      <c r="O701" s="50"/>
      <c r="P701" s="49"/>
    </row>
    <row r="702" spans="1:16" ht="15.75" customHeight="1" x14ac:dyDescent="0.3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9"/>
      <c r="N702" s="30"/>
      <c r="O702" s="50"/>
      <c r="P702" s="49"/>
    </row>
    <row r="703" spans="1:16" ht="15.75" customHeight="1" x14ac:dyDescent="0.3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9"/>
      <c r="N703" s="30"/>
      <c r="O703" s="50"/>
      <c r="P703" s="49"/>
    </row>
    <row r="704" spans="1:16" ht="15.75" customHeight="1" x14ac:dyDescent="0.3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9"/>
      <c r="N704" s="30"/>
      <c r="O704" s="50"/>
      <c r="P704" s="49"/>
    </row>
    <row r="705" spans="1:16" ht="15.75" customHeight="1" x14ac:dyDescent="0.3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9"/>
      <c r="N705" s="30"/>
      <c r="O705" s="50"/>
      <c r="P705" s="49"/>
    </row>
    <row r="706" spans="1:16" ht="15.75" customHeight="1" x14ac:dyDescent="0.3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9"/>
      <c r="N706" s="30"/>
      <c r="O706" s="50"/>
      <c r="P706" s="49"/>
    </row>
    <row r="707" spans="1:16" ht="15.75" customHeight="1" x14ac:dyDescent="0.3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9"/>
      <c r="N707" s="30"/>
      <c r="O707" s="50"/>
      <c r="P707" s="49"/>
    </row>
    <row r="708" spans="1:16" ht="15.75" customHeight="1" x14ac:dyDescent="0.3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9"/>
      <c r="N708" s="30"/>
      <c r="O708" s="50"/>
      <c r="P708" s="49"/>
    </row>
    <row r="709" spans="1:16" ht="15.75" customHeight="1" x14ac:dyDescent="0.3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9"/>
      <c r="N709" s="30"/>
      <c r="O709" s="50"/>
      <c r="P709" s="49"/>
    </row>
    <row r="710" spans="1:16" ht="15.75" customHeight="1" x14ac:dyDescent="0.3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9"/>
      <c r="N710" s="30"/>
      <c r="O710" s="50"/>
      <c r="P710" s="49"/>
    </row>
    <row r="711" spans="1:16" ht="15.75" customHeight="1" x14ac:dyDescent="0.3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9"/>
      <c r="N711" s="30"/>
      <c r="O711" s="50"/>
      <c r="P711" s="49"/>
    </row>
    <row r="712" spans="1:16" ht="15.75" customHeight="1" x14ac:dyDescent="0.3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9"/>
      <c r="N712" s="30"/>
      <c r="O712" s="50"/>
      <c r="P712" s="49"/>
    </row>
    <row r="713" spans="1:16" ht="15.75" customHeight="1" x14ac:dyDescent="0.3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9"/>
      <c r="N713" s="30"/>
      <c r="O713" s="50"/>
      <c r="P713" s="49"/>
    </row>
    <row r="714" spans="1:16" ht="15.75" customHeight="1" x14ac:dyDescent="0.3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9"/>
      <c r="N714" s="30"/>
      <c r="O714" s="50"/>
      <c r="P714" s="49"/>
    </row>
    <row r="715" spans="1:16" ht="15.75" customHeight="1" x14ac:dyDescent="0.3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9"/>
      <c r="N715" s="30"/>
      <c r="O715" s="50"/>
      <c r="P715" s="49"/>
    </row>
    <row r="716" spans="1:16" ht="15.75" customHeight="1" x14ac:dyDescent="0.3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9"/>
      <c r="N716" s="30"/>
      <c r="O716" s="50"/>
      <c r="P716" s="49"/>
    </row>
    <row r="717" spans="1:16" ht="15.75" customHeight="1" x14ac:dyDescent="0.3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9"/>
      <c r="N717" s="30"/>
      <c r="O717" s="50"/>
      <c r="P717" s="49"/>
    </row>
    <row r="718" spans="1:16" ht="15.75" customHeight="1" x14ac:dyDescent="0.3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9"/>
      <c r="N718" s="30"/>
      <c r="O718" s="50"/>
      <c r="P718" s="49"/>
    </row>
    <row r="719" spans="1:16" ht="15.75" customHeight="1" x14ac:dyDescent="0.3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9"/>
      <c r="N719" s="30"/>
      <c r="O719" s="50"/>
      <c r="P719" s="49"/>
    </row>
    <row r="720" spans="1:16" ht="15.75" customHeight="1" x14ac:dyDescent="0.3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9"/>
      <c r="N720" s="30"/>
      <c r="O720" s="50"/>
      <c r="P720" s="49"/>
    </row>
    <row r="721" spans="1:16" ht="15.75" customHeight="1" x14ac:dyDescent="0.3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9"/>
      <c r="N721" s="30"/>
      <c r="O721" s="50"/>
      <c r="P721" s="49"/>
    </row>
    <row r="722" spans="1:16" ht="15.75" customHeight="1" x14ac:dyDescent="0.3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9"/>
      <c r="N722" s="30"/>
      <c r="O722" s="50"/>
      <c r="P722" s="49"/>
    </row>
    <row r="723" spans="1:16" ht="15.75" customHeight="1" x14ac:dyDescent="0.3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9"/>
      <c r="N723" s="30"/>
      <c r="O723" s="50"/>
      <c r="P723" s="49"/>
    </row>
    <row r="724" spans="1:16" ht="15.75" customHeight="1" x14ac:dyDescent="0.3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9"/>
      <c r="N724" s="30"/>
      <c r="O724" s="50"/>
      <c r="P724" s="49"/>
    </row>
    <row r="725" spans="1:16" ht="15.75" customHeight="1" x14ac:dyDescent="0.3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9"/>
      <c r="N725" s="30"/>
      <c r="O725" s="50"/>
      <c r="P725" s="49"/>
    </row>
    <row r="726" spans="1:16" ht="15.75" customHeight="1" x14ac:dyDescent="0.3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9"/>
      <c r="N726" s="30"/>
      <c r="O726" s="50"/>
      <c r="P726" s="49"/>
    </row>
    <row r="727" spans="1:16" ht="15.75" customHeight="1" x14ac:dyDescent="0.3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9"/>
      <c r="N727" s="30"/>
      <c r="O727" s="50"/>
      <c r="P727" s="49"/>
    </row>
    <row r="728" spans="1:16" ht="15.75" customHeight="1" x14ac:dyDescent="0.3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9"/>
      <c r="N728" s="30"/>
      <c r="O728" s="50"/>
      <c r="P728" s="49"/>
    </row>
    <row r="729" spans="1:16" ht="15.75" customHeight="1" x14ac:dyDescent="0.3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9"/>
      <c r="N729" s="30"/>
      <c r="O729" s="50"/>
      <c r="P729" s="49"/>
    </row>
    <row r="730" spans="1:16" ht="15.75" customHeight="1" x14ac:dyDescent="0.3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9"/>
      <c r="N730" s="30"/>
      <c r="O730" s="50"/>
      <c r="P730" s="49"/>
    </row>
    <row r="731" spans="1:16" ht="15.75" customHeight="1" x14ac:dyDescent="0.3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9"/>
      <c r="N731" s="30"/>
      <c r="O731" s="50"/>
      <c r="P731" s="49"/>
    </row>
    <row r="732" spans="1:16" ht="15.75" customHeight="1" x14ac:dyDescent="0.3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9"/>
      <c r="N732" s="30"/>
      <c r="O732" s="50"/>
      <c r="P732" s="49"/>
    </row>
    <row r="733" spans="1:16" ht="15.75" customHeight="1" x14ac:dyDescent="0.3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9"/>
      <c r="N733" s="30"/>
      <c r="O733" s="50"/>
      <c r="P733" s="49"/>
    </row>
    <row r="734" spans="1:16" ht="15.75" customHeight="1" x14ac:dyDescent="0.3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9"/>
      <c r="N734" s="30"/>
      <c r="O734" s="50"/>
      <c r="P734" s="49"/>
    </row>
    <row r="735" spans="1:16" ht="15.75" customHeight="1" x14ac:dyDescent="0.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9"/>
      <c r="N735" s="30"/>
      <c r="O735" s="50"/>
      <c r="P735" s="49"/>
    </row>
    <row r="736" spans="1:16" ht="15.75" customHeight="1" x14ac:dyDescent="0.3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9"/>
      <c r="N736" s="30"/>
      <c r="O736" s="50"/>
      <c r="P736" s="49"/>
    </row>
    <row r="737" spans="1:16" ht="15.75" customHeight="1" x14ac:dyDescent="0.3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9"/>
      <c r="N737" s="30"/>
      <c r="O737" s="50"/>
      <c r="P737" s="49"/>
    </row>
    <row r="738" spans="1:16" ht="15.75" customHeight="1" x14ac:dyDescent="0.3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9"/>
      <c r="N738" s="30"/>
      <c r="O738" s="50"/>
      <c r="P738" s="49"/>
    </row>
    <row r="739" spans="1:16" ht="15.75" customHeight="1" x14ac:dyDescent="0.3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9"/>
      <c r="N739" s="30"/>
      <c r="O739" s="50"/>
      <c r="P739" s="49"/>
    </row>
    <row r="740" spans="1:16" ht="15.75" customHeight="1" x14ac:dyDescent="0.3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9"/>
      <c r="N740" s="30"/>
      <c r="O740" s="50"/>
      <c r="P740" s="49"/>
    </row>
    <row r="741" spans="1:16" ht="15.75" customHeight="1" x14ac:dyDescent="0.3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9"/>
      <c r="N741" s="30"/>
      <c r="O741" s="50"/>
      <c r="P741" s="49"/>
    </row>
    <row r="742" spans="1:16" ht="15.75" customHeight="1" x14ac:dyDescent="0.3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9"/>
      <c r="N742" s="30"/>
      <c r="O742" s="50"/>
      <c r="P742" s="49"/>
    </row>
    <row r="743" spans="1:16" ht="15.75" customHeight="1" x14ac:dyDescent="0.3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9"/>
      <c r="N743" s="30"/>
      <c r="O743" s="50"/>
      <c r="P743" s="49"/>
    </row>
    <row r="744" spans="1:16" ht="15.75" customHeight="1" x14ac:dyDescent="0.3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9"/>
      <c r="N744" s="30"/>
      <c r="O744" s="50"/>
      <c r="P744" s="49"/>
    </row>
    <row r="745" spans="1:16" ht="15.75" customHeight="1" x14ac:dyDescent="0.3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9"/>
      <c r="N745" s="30"/>
      <c r="O745" s="50"/>
      <c r="P745" s="49"/>
    </row>
    <row r="746" spans="1:16" ht="15.75" customHeight="1" x14ac:dyDescent="0.3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9"/>
      <c r="N746" s="30"/>
      <c r="O746" s="50"/>
      <c r="P746" s="49"/>
    </row>
    <row r="747" spans="1:16" ht="15.75" customHeight="1" x14ac:dyDescent="0.3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9"/>
      <c r="N747" s="30"/>
      <c r="O747" s="50"/>
      <c r="P747" s="49"/>
    </row>
    <row r="748" spans="1:16" ht="15.75" customHeight="1" x14ac:dyDescent="0.3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9"/>
      <c r="N748" s="30"/>
      <c r="O748" s="50"/>
      <c r="P748" s="49"/>
    </row>
    <row r="749" spans="1:16" ht="15.75" customHeight="1" x14ac:dyDescent="0.3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9"/>
      <c r="N749" s="30"/>
      <c r="O749" s="50"/>
      <c r="P749" s="49"/>
    </row>
    <row r="750" spans="1:16" ht="15.75" customHeight="1" x14ac:dyDescent="0.3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9"/>
      <c r="N750" s="30"/>
      <c r="O750" s="50"/>
      <c r="P750" s="49"/>
    </row>
    <row r="751" spans="1:16" ht="15.75" customHeight="1" x14ac:dyDescent="0.3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9"/>
      <c r="N751" s="30"/>
      <c r="O751" s="50"/>
      <c r="P751" s="49"/>
    </row>
    <row r="752" spans="1:16" ht="15.75" customHeight="1" x14ac:dyDescent="0.3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9"/>
      <c r="N752" s="30"/>
      <c r="O752" s="50"/>
      <c r="P752" s="49"/>
    </row>
    <row r="753" spans="1:16" ht="15.75" customHeight="1" x14ac:dyDescent="0.3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9"/>
      <c r="N753" s="30"/>
      <c r="O753" s="50"/>
      <c r="P753" s="49"/>
    </row>
    <row r="754" spans="1:16" ht="15.75" customHeight="1" x14ac:dyDescent="0.3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9"/>
      <c r="N754" s="30"/>
      <c r="O754" s="50"/>
      <c r="P754" s="49"/>
    </row>
    <row r="755" spans="1:16" ht="15.75" customHeight="1" x14ac:dyDescent="0.3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9"/>
      <c r="N755" s="30"/>
      <c r="O755" s="50"/>
      <c r="P755" s="49"/>
    </row>
    <row r="756" spans="1:16" ht="15.75" customHeight="1" x14ac:dyDescent="0.3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9"/>
      <c r="N756" s="30"/>
      <c r="O756" s="50"/>
      <c r="P756" s="49"/>
    </row>
    <row r="757" spans="1:16" ht="15.75" customHeight="1" x14ac:dyDescent="0.3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9"/>
      <c r="N757" s="30"/>
      <c r="O757" s="50"/>
      <c r="P757" s="49"/>
    </row>
    <row r="758" spans="1:16" ht="15.75" customHeight="1" x14ac:dyDescent="0.3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9"/>
      <c r="N758" s="30"/>
      <c r="O758" s="50"/>
      <c r="P758" s="49"/>
    </row>
    <row r="759" spans="1:16" ht="15.75" customHeight="1" x14ac:dyDescent="0.3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9"/>
      <c r="N759" s="30"/>
      <c r="O759" s="50"/>
      <c r="P759" s="49"/>
    </row>
    <row r="760" spans="1:16" ht="15.75" customHeight="1" x14ac:dyDescent="0.3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9"/>
      <c r="N760" s="30"/>
      <c r="O760" s="50"/>
      <c r="P760" s="49"/>
    </row>
    <row r="761" spans="1:16" ht="15.75" customHeight="1" x14ac:dyDescent="0.3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9"/>
      <c r="N761" s="30"/>
      <c r="O761" s="50"/>
      <c r="P761" s="49"/>
    </row>
    <row r="762" spans="1:16" ht="15.75" customHeight="1" x14ac:dyDescent="0.3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9"/>
      <c r="N762" s="30"/>
      <c r="O762" s="50"/>
      <c r="P762" s="49"/>
    </row>
    <row r="763" spans="1:16" ht="15.75" customHeight="1" x14ac:dyDescent="0.3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9"/>
      <c r="N763" s="30"/>
      <c r="O763" s="50"/>
      <c r="P763" s="49"/>
    </row>
    <row r="764" spans="1:16" ht="15.75" customHeight="1" x14ac:dyDescent="0.3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9"/>
      <c r="N764" s="30"/>
      <c r="O764" s="50"/>
      <c r="P764" s="49"/>
    </row>
    <row r="765" spans="1:16" ht="15.75" customHeight="1" x14ac:dyDescent="0.3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9"/>
      <c r="N765" s="30"/>
      <c r="O765" s="50"/>
      <c r="P765" s="49"/>
    </row>
    <row r="766" spans="1:16" ht="15.75" customHeight="1" x14ac:dyDescent="0.3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9"/>
      <c r="N766" s="30"/>
      <c r="O766" s="50"/>
      <c r="P766" s="49"/>
    </row>
    <row r="767" spans="1:16" ht="15.75" customHeight="1" x14ac:dyDescent="0.3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9"/>
      <c r="N767" s="30"/>
      <c r="O767" s="50"/>
      <c r="P767" s="49"/>
    </row>
    <row r="768" spans="1:16" ht="15.75" customHeight="1" x14ac:dyDescent="0.3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9"/>
      <c r="N768" s="30"/>
      <c r="O768" s="50"/>
      <c r="P768" s="49"/>
    </row>
    <row r="769" spans="1:16" ht="15.75" customHeight="1" x14ac:dyDescent="0.3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9"/>
      <c r="N769" s="30"/>
      <c r="O769" s="50"/>
      <c r="P769" s="49"/>
    </row>
    <row r="770" spans="1:16" ht="15.75" customHeight="1" x14ac:dyDescent="0.3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9"/>
      <c r="N770" s="30"/>
      <c r="O770" s="50"/>
      <c r="P770" s="49"/>
    </row>
    <row r="771" spans="1:16" ht="15.75" customHeight="1" x14ac:dyDescent="0.3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9"/>
      <c r="N771" s="30"/>
      <c r="O771" s="50"/>
      <c r="P771" s="49"/>
    </row>
    <row r="772" spans="1:16" ht="15.75" customHeight="1" x14ac:dyDescent="0.3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9"/>
      <c r="N772" s="30"/>
      <c r="O772" s="50"/>
      <c r="P772" s="49"/>
    </row>
    <row r="773" spans="1:16" ht="15.75" customHeight="1" x14ac:dyDescent="0.3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9"/>
      <c r="N773" s="30"/>
      <c r="O773" s="50"/>
      <c r="P773" s="49"/>
    </row>
    <row r="774" spans="1:16" ht="15.75" customHeight="1" x14ac:dyDescent="0.3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9"/>
      <c r="N774" s="30"/>
      <c r="O774" s="50"/>
      <c r="P774" s="49"/>
    </row>
    <row r="775" spans="1:16" ht="15.75" customHeight="1" x14ac:dyDescent="0.3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9"/>
      <c r="N775" s="30"/>
      <c r="O775" s="50"/>
      <c r="P775" s="49"/>
    </row>
    <row r="776" spans="1:16" ht="15.75" customHeight="1" x14ac:dyDescent="0.3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9"/>
      <c r="N776" s="30"/>
      <c r="O776" s="50"/>
      <c r="P776" s="49"/>
    </row>
    <row r="777" spans="1:16" ht="15.75" customHeight="1" x14ac:dyDescent="0.3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9"/>
      <c r="N777" s="30"/>
      <c r="O777" s="50"/>
      <c r="P777" s="49"/>
    </row>
    <row r="778" spans="1:16" ht="15.75" customHeight="1" x14ac:dyDescent="0.3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9"/>
      <c r="N778" s="30"/>
      <c r="O778" s="50"/>
      <c r="P778" s="49"/>
    </row>
    <row r="779" spans="1:16" ht="15.75" customHeight="1" x14ac:dyDescent="0.3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9"/>
      <c r="N779" s="30"/>
      <c r="O779" s="50"/>
      <c r="P779" s="49"/>
    </row>
    <row r="780" spans="1:16" ht="15.75" customHeight="1" x14ac:dyDescent="0.3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9"/>
      <c r="N780" s="30"/>
      <c r="O780" s="50"/>
      <c r="P780" s="49"/>
    </row>
    <row r="781" spans="1:16" ht="15.75" customHeight="1" x14ac:dyDescent="0.3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9"/>
      <c r="N781" s="30"/>
      <c r="O781" s="50"/>
      <c r="P781" s="49"/>
    </row>
    <row r="782" spans="1:16" ht="15.75" customHeight="1" x14ac:dyDescent="0.3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9"/>
      <c r="N782" s="30"/>
      <c r="O782" s="50"/>
      <c r="P782" s="49"/>
    </row>
    <row r="783" spans="1:16" ht="15.75" customHeight="1" x14ac:dyDescent="0.3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9"/>
      <c r="N783" s="30"/>
      <c r="O783" s="50"/>
      <c r="P783" s="49"/>
    </row>
    <row r="784" spans="1:16" ht="15.75" customHeight="1" x14ac:dyDescent="0.3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9"/>
      <c r="N784" s="30"/>
      <c r="O784" s="50"/>
      <c r="P784" s="49"/>
    </row>
    <row r="785" spans="1:16" ht="15.75" customHeight="1" x14ac:dyDescent="0.3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9"/>
      <c r="N785" s="30"/>
      <c r="O785" s="50"/>
      <c r="P785" s="49"/>
    </row>
    <row r="786" spans="1:16" ht="15.75" customHeight="1" x14ac:dyDescent="0.3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9"/>
      <c r="N786" s="30"/>
      <c r="O786" s="50"/>
      <c r="P786" s="49"/>
    </row>
    <row r="787" spans="1:16" ht="15.75" customHeight="1" x14ac:dyDescent="0.3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9"/>
      <c r="N787" s="30"/>
      <c r="O787" s="50"/>
      <c r="P787" s="49"/>
    </row>
    <row r="788" spans="1:16" ht="15.75" customHeight="1" x14ac:dyDescent="0.3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9"/>
      <c r="N788" s="30"/>
      <c r="O788" s="50"/>
      <c r="P788" s="49"/>
    </row>
    <row r="789" spans="1:16" ht="15.75" customHeight="1" x14ac:dyDescent="0.3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9"/>
      <c r="N789" s="30"/>
      <c r="O789" s="50"/>
      <c r="P789" s="49"/>
    </row>
    <row r="790" spans="1:16" ht="15.75" customHeight="1" x14ac:dyDescent="0.3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9"/>
      <c r="N790" s="30"/>
      <c r="O790" s="50"/>
      <c r="P790" s="49"/>
    </row>
    <row r="791" spans="1:16" ht="15.75" customHeight="1" x14ac:dyDescent="0.3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9"/>
      <c r="N791" s="30"/>
      <c r="O791" s="50"/>
      <c r="P791" s="49"/>
    </row>
    <row r="792" spans="1:16" ht="15.75" customHeight="1" x14ac:dyDescent="0.3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9"/>
      <c r="N792" s="30"/>
      <c r="O792" s="50"/>
      <c r="P792" s="49"/>
    </row>
    <row r="793" spans="1:16" ht="15.75" customHeight="1" x14ac:dyDescent="0.3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9"/>
      <c r="N793" s="30"/>
      <c r="O793" s="50"/>
      <c r="P793" s="49"/>
    </row>
    <row r="794" spans="1:16" ht="15.75" customHeight="1" x14ac:dyDescent="0.3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9"/>
      <c r="N794" s="30"/>
      <c r="O794" s="50"/>
      <c r="P794" s="49"/>
    </row>
    <row r="795" spans="1:16" ht="15.75" customHeight="1" x14ac:dyDescent="0.3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9"/>
      <c r="N795" s="30"/>
      <c r="O795" s="50"/>
      <c r="P795" s="49"/>
    </row>
    <row r="796" spans="1:16" ht="15.75" customHeight="1" x14ac:dyDescent="0.3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9"/>
      <c r="N796" s="30"/>
      <c r="O796" s="50"/>
      <c r="P796" s="49"/>
    </row>
    <row r="797" spans="1:16" ht="15.75" customHeight="1" x14ac:dyDescent="0.3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9"/>
      <c r="N797" s="30"/>
      <c r="O797" s="50"/>
      <c r="P797" s="49"/>
    </row>
    <row r="798" spans="1:16" ht="15.75" customHeight="1" x14ac:dyDescent="0.3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9"/>
      <c r="N798" s="30"/>
      <c r="O798" s="50"/>
      <c r="P798" s="49"/>
    </row>
    <row r="799" spans="1:16" ht="15.75" customHeight="1" x14ac:dyDescent="0.3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9"/>
      <c r="N799" s="30"/>
      <c r="O799" s="50"/>
      <c r="P799" s="49"/>
    </row>
    <row r="800" spans="1:16" ht="15.75" customHeight="1" x14ac:dyDescent="0.3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9"/>
      <c r="N800" s="30"/>
      <c r="O800" s="50"/>
      <c r="P800" s="49"/>
    </row>
    <row r="801" spans="1:16" ht="15.75" customHeight="1" x14ac:dyDescent="0.3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9"/>
      <c r="N801" s="30"/>
      <c r="O801" s="50"/>
      <c r="P801" s="49"/>
    </row>
    <row r="802" spans="1:16" ht="15.75" customHeight="1" x14ac:dyDescent="0.3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9"/>
      <c r="N802" s="30"/>
      <c r="O802" s="50"/>
      <c r="P802" s="49"/>
    </row>
    <row r="803" spans="1:16" ht="15.75" customHeight="1" x14ac:dyDescent="0.3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9"/>
      <c r="N803" s="30"/>
      <c r="O803" s="50"/>
      <c r="P803" s="49"/>
    </row>
    <row r="804" spans="1:16" ht="15.75" customHeight="1" x14ac:dyDescent="0.3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9"/>
      <c r="N804" s="30"/>
      <c r="O804" s="50"/>
      <c r="P804" s="49"/>
    </row>
    <row r="805" spans="1:16" ht="15.75" customHeight="1" x14ac:dyDescent="0.3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9"/>
      <c r="N805" s="30"/>
      <c r="O805" s="50"/>
      <c r="P805" s="49"/>
    </row>
    <row r="806" spans="1:16" ht="15.75" customHeight="1" x14ac:dyDescent="0.3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9"/>
      <c r="N806" s="30"/>
      <c r="O806" s="50"/>
      <c r="P806" s="49"/>
    </row>
    <row r="807" spans="1:16" ht="15.75" customHeight="1" x14ac:dyDescent="0.3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9"/>
      <c r="N807" s="30"/>
      <c r="O807" s="50"/>
      <c r="P807" s="49"/>
    </row>
    <row r="808" spans="1:16" ht="15.75" customHeight="1" x14ac:dyDescent="0.3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9"/>
      <c r="N808" s="30"/>
      <c r="O808" s="50"/>
      <c r="P808" s="49"/>
    </row>
    <row r="809" spans="1:16" ht="15.75" customHeight="1" x14ac:dyDescent="0.3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9"/>
      <c r="N809" s="30"/>
      <c r="O809" s="50"/>
      <c r="P809" s="49"/>
    </row>
    <row r="810" spans="1:16" ht="15.75" customHeight="1" x14ac:dyDescent="0.3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9"/>
      <c r="N810" s="30"/>
      <c r="O810" s="50"/>
      <c r="P810" s="49"/>
    </row>
    <row r="811" spans="1:16" ht="15.75" customHeight="1" x14ac:dyDescent="0.3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9"/>
      <c r="N811" s="30"/>
      <c r="O811" s="50"/>
      <c r="P811" s="49"/>
    </row>
    <row r="812" spans="1:16" ht="15.75" customHeight="1" x14ac:dyDescent="0.3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9"/>
      <c r="N812" s="30"/>
      <c r="O812" s="50"/>
      <c r="P812" s="49"/>
    </row>
    <row r="813" spans="1:16" ht="15.75" customHeight="1" x14ac:dyDescent="0.3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9"/>
      <c r="N813" s="30"/>
      <c r="O813" s="50"/>
      <c r="P813" s="49"/>
    </row>
    <row r="814" spans="1:16" ht="15.75" customHeight="1" x14ac:dyDescent="0.3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9"/>
      <c r="N814" s="30"/>
      <c r="O814" s="50"/>
      <c r="P814" s="49"/>
    </row>
    <row r="815" spans="1:16" ht="15.75" customHeight="1" x14ac:dyDescent="0.3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9"/>
      <c r="N815" s="30"/>
      <c r="O815" s="50"/>
      <c r="P815" s="49"/>
    </row>
    <row r="816" spans="1:16" ht="15.75" customHeight="1" x14ac:dyDescent="0.3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9"/>
      <c r="N816" s="30"/>
      <c r="O816" s="50"/>
      <c r="P816" s="49"/>
    </row>
    <row r="817" spans="1:16" ht="15.75" customHeight="1" x14ac:dyDescent="0.3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9"/>
      <c r="N817" s="30"/>
      <c r="O817" s="50"/>
      <c r="P817" s="49"/>
    </row>
    <row r="818" spans="1:16" ht="15.75" customHeight="1" x14ac:dyDescent="0.3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9"/>
      <c r="N818" s="30"/>
      <c r="O818" s="50"/>
      <c r="P818" s="49"/>
    </row>
    <row r="819" spans="1:16" ht="15.75" customHeight="1" x14ac:dyDescent="0.3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9"/>
      <c r="N819" s="30"/>
      <c r="O819" s="50"/>
      <c r="P819" s="49"/>
    </row>
    <row r="820" spans="1:16" ht="15.75" customHeight="1" x14ac:dyDescent="0.3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9"/>
      <c r="N820" s="30"/>
      <c r="O820" s="50"/>
      <c r="P820" s="49"/>
    </row>
    <row r="821" spans="1:16" ht="15.75" customHeight="1" x14ac:dyDescent="0.3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9"/>
      <c r="N821" s="30"/>
      <c r="O821" s="50"/>
      <c r="P821" s="49"/>
    </row>
    <row r="822" spans="1:16" ht="15.75" customHeight="1" x14ac:dyDescent="0.3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9"/>
      <c r="N822" s="30"/>
      <c r="O822" s="50"/>
      <c r="P822" s="49"/>
    </row>
    <row r="823" spans="1:16" ht="15.75" customHeight="1" x14ac:dyDescent="0.3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9"/>
      <c r="N823" s="30"/>
      <c r="O823" s="50"/>
      <c r="P823" s="49"/>
    </row>
    <row r="824" spans="1:16" ht="15.75" customHeight="1" x14ac:dyDescent="0.3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9"/>
      <c r="N824" s="30"/>
      <c r="O824" s="50"/>
      <c r="P824" s="49"/>
    </row>
    <row r="825" spans="1:16" ht="15.75" customHeight="1" x14ac:dyDescent="0.3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9"/>
      <c r="N825" s="30"/>
      <c r="O825" s="50"/>
      <c r="P825" s="49"/>
    </row>
    <row r="826" spans="1:16" ht="15.75" customHeight="1" x14ac:dyDescent="0.3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9"/>
      <c r="N826" s="30"/>
      <c r="O826" s="50"/>
      <c r="P826" s="49"/>
    </row>
    <row r="827" spans="1:16" ht="15.75" customHeight="1" x14ac:dyDescent="0.3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9"/>
      <c r="N827" s="30"/>
      <c r="O827" s="50"/>
      <c r="P827" s="49"/>
    </row>
    <row r="828" spans="1:16" ht="15.75" customHeight="1" x14ac:dyDescent="0.3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9"/>
      <c r="N828" s="30"/>
      <c r="O828" s="50"/>
      <c r="P828" s="49"/>
    </row>
    <row r="829" spans="1:16" ht="15.75" customHeight="1" x14ac:dyDescent="0.3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9"/>
      <c r="N829" s="30"/>
      <c r="O829" s="50"/>
      <c r="P829" s="49"/>
    </row>
    <row r="830" spans="1:16" ht="15.75" customHeight="1" x14ac:dyDescent="0.3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9"/>
      <c r="N830" s="30"/>
      <c r="O830" s="50"/>
      <c r="P830" s="49"/>
    </row>
    <row r="831" spans="1:16" ht="15.75" customHeight="1" x14ac:dyDescent="0.3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9"/>
      <c r="N831" s="30"/>
      <c r="O831" s="50"/>
      <c r="P831" s="49"/>
    </row>
    <row r="832" spans="1:16" ht="15.75" customHeight="1" x14ac:dyDescent="0.3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9"/>
      <c r="N832" s="30"/>
      <c r="O832" s="50"/>
      <c r="P832" s="49"/>
    </row>
    <row r="833" spans="1:16" ht="15.75" customHeight="1" x14ac:dyDescent="0.3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9"/>
      <c r="N833" s="30"/>
      <c r="O833" s="50"/>
      <c r="P833" s="49"/>
    </row>
    <row r="834" spans="1:16" ht="15.75" customHeight="1" x14ac:dyDescent="0.3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9"/>
      <c r="N834" s="30"/>
      <c r="O834" s="50"/>
      <c r="P834" s="49"/>
    </row>
    <row r="835" spans="1:16" ht="15.75" customHeight="1" x14ac:dyDescent="0.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9"/>
      <c r="N835" s="30"/>
      <c r="O835" s="50"/>
      <c r="P835" s="49"/>
    </row>
    <row r="836" spans="1:16" ht="15.75" customHeight="1" x14ac:dyDescent="0.3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9"/>
      <c r="N836" s="30"/>
      <c r="O836" s="50"/>
      <c r="P836" s="49"/>
    </row>
    <row r="837" spans="1:16" ht="15.75" customHeight="1" x14ac:dyDescent="0.3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9"/>
      <c r="N837" s="30"/>
      <c r="O837" s="50"/>
      <c r="P837" s="49"/>
    </row>
    <row r="838" spans="1:16" ht="15.75" customHeight="1" x14ac:dyDescent="0.3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9"/>
      <c r="N838" s="30"/>
      <c r="O838" s="50"/>
      <c r="P838" s="49"/>
    </row>
    <row r="839" spans="1:16" ht="15.75" customHeight="1" x14ac:dyDescent="0.3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9"/>
      <c r="N839" s="30"/>
      <c r="O839" s="50"/>
      <c r="P839" s="49"/>
    </row>
    <row r="840" spans="1:16" ht="15.75" customHeight="1" x14ac:dyDescent="0.3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9"/>
      <c r="N840" s="30"/>
      <c r="O840" s="50"/>
      <c r="P840" s="49"/>
    </row>
    <row r="841" spans="1:16" ht="15.75" customHeight="1" x14ac:dyDescent="0.3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9"/>
      <c r="N841" s="30"/>
      <c r="O841" s="50"/>
      <c r="P841" s="49"/>
    </row>
    <row r="842" spans="1:16" ht="15.75" customHeight="1" x14ac:dyDescent="0.3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9"/>
      <c r="N842" s="30"/>
      <c r="O842" s="50"/>
      <c r="P842" s="49"/>
    </row>
    <row r="843" spans="1:16" ht="15.75" customHeight="1" x14ac:dyDescent="0.3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9"/>
      <c r="N843" s="30"/>
      <c r="O843" s="50"/>
      <c r="P843" s="49"/>
    </row>
    <row r="844" spans="1:16" ht="15.75" customHeight="1" x14ac:dyDescent="0.3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9"/>
      <c r="N844" s="30"/>
      <c r="O844" s="50"/>
      <c r="P844" s="49"/>
    </row>
    <row r="845" spans="1:16" ht="15.75" customHeight="1" x14ac:dyDescent="0.3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9"/>
      <c r="N845" s="30"/>
      <c r="O845" s="50"/>
      <c r="P845" s="49"/>
    </row>
    <row r="846" spans="1:16" ht="15.75" customHeight="1" x14ac:dyDescent="0.3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9"/>
      <c r="N846" s="30"/>
      <c r="O846" s="50"/>
      <c r="P846" s="49"/>
    </row>
    <row r="847" spans="1:16" ht="15.75" customHeight="1" x14ac:dyDescent="0.3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9"/>
      <c r="N847" s="30"/>
      <c r="O847" s="50"/>
      <c r="P847" s="49"/>
    </row>
    <row r="848" spans="1:16" ht="15.75" customHeight="1" x14ac:dyDescent="0.3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9"/>
      <c r="N848" s="30"/>
      <c r="O848" s="50"/>
      <c r="P848" s="49"/>
    </row>
    <row r="849" spans="1:16" ht="15.75" customHeight="1" x14ac:dyDescent="0.3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9"/>
      <c r="N849" s="30"/>
      <c r="O849" s="50"/>
      <c r="P849" s="49"/>
    </row>
    <row r="850" spans="1:16" ht="15.75" customHeight="1" x14ac:dyDescent="0.3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9"/>
      <c r="N850" s="30"/>
      <c r="O850" s="50"/>
      <c r="P850" s="49"/>
    </row>
    <row r="851" spans="1:16" ht="15.75" customHeight="1" x14ac:dyDescent="0.3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9"/>
      <c r="N851" s="30"/>
      <c r="O851" s="50"/>
      <c r="P851" s="49"/>
    </row>
    <row r="852" spans="1:16" ht="15.75" customHeight="1" x14ac:dyDescent="0.3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9"/>
      <c r="N852" s="30"/>
      <c r="O852" s="50"/>
      <c r="P852" s="49"/>
    </row>
    <row r="853" spans="1:16" ht="15.75" customHeight="1" x14ac:dyDescent="0.3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9"/>
      <c r="N853" s="30"/>
      <c r="O853" s="50"/>
      <c r="P853" s="49"/>
    </row>
    <row r="854" spans="1:16" ht="15.75" customHeight="1" x14ac:dyDescent="0.3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9"/>
      <c r="N854" s="30"/>
      <c r="O854" s="50"/>
      <c r="P854" s="49"/>
    </row>
    <row r="855" spans="1:16" ht="15.75" customHeight="1" x14ac:dyDescent="0.3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9"/>
      <c r="N855" s="30"/>
      <c r="O855" s="50"/>
      <c r="P855" s="49"/>
    </row>
    <row r="856" spans="1:16" ht="15.75" customHeight="1" x14ac:dyDescent="0.3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9"/>
      <c r="N856" s="30"/>
      <c r="O856" s="50"/>
      <c r="P856" s="49"/>
    </row>
    <row r="857" spans="1:16" ht="15.75" customHeight="1" x14ac:dyDescent="0.3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9"/>
      <c r="N857" s="30"/>
      <c r="O857" s="50"/>
      <c r="P857" s="49"/>
    </row>
    <row r="858" spans="1:16" ht="15.75" customHeight="1" x14ac:dyDescent="0.3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9"/>
      <c r="N858" s="30"/>
      <c r="O858" s="50"/>
      <c r="P858" s="49"/>
    </row>
    <row r="859" spans="1:16" ht="15.75" customHeight="1" x14ac:dyDescent="0.3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9"/>
      <c r="N859" s="30"/>
      <c r="O859" s="50"/>
      <c r="P859" s="49"/>
    </row>
    <row r="860" spans="1:16" ht="15.75" customHeight="1" x14ac:dyDescent="0.3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9"/>
      <c r="N860" s="30"/>
      <c r="O860" s="50"/>
      <c r="P860" s="49"/>
    </row>
    <row r="861" spans="1:16" ht="15.75" customHeight="1" x14ac:dyDescent="0.3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9"/>
      <c r="N861" s="30"/>
      <c r="O861" s="50"/>
      <c r="P861" s="49"/>
    </row>
    <row r="862" spans="1:16" ht="15.75" customHeight="1" x14ac:dyDescent="0.3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9"/>
      <c r="N862" s="30"/>
      <c r="O862" s="50"/>
      <c r="P862" s="49"/>
    </row>
    <row r="863" spans="1:16" ht="15.75" customHeight="1" x14ac:dyDescent="0.3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9"/>
      <c r="N863" s="30"/>
      <c r="O863" s="50"/>
      <c r="P863" s="49"/>
    </row>
    <row r="864" spans="1:16" ht="15.75" customHeight="1" x14ac:dyDescent="0.3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9"/>
      <c r="N864" s="30"/>
      <c r="O864" s="50"/>
      <c r="P864" s="49"/>
    </row>
    <row r="865" spans="1:16" ht="15.75" customHeight="1" x14ac:dyDescent="0.3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9"/>
      <c r="N865" s="30"/>
      <c r="O865" s="50"/>
      <c r="P865" s="49"/>
    </row>
    <row r="866" spans="1:16" ht="15.75" customHeight="1" x14ac:dyDescent="0.3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9"/>
      <c r="N866" s="30"/>
      <c r="O866" s="50"/>
      <c r="P866" s="49"/>
    </row>
    <row r="867" spans="1:16" ht="15.75" customHeight="1" x14ac:dyDescent="0.3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9"/>
      <c r="N867" s="30"/>
      <c r="O867" s="50"/>
      <c r="P867" s="49"/>
    </row>
    <row r="868" spans="1:16" ht="15.75" customHeight="1" x14ac:dyDescent="0.3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9"/>
      <c r="N868" s="30"/>
      <c r="O868" s="50"/>
      <c r="P868" s="49"/>
    </row>
    <row r="869" spans="1:16" ht="15.75" customHeight="1" x14ac:dyDescent="0.3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9"/>
      <c r="N869" s="30"/>
      <c r="O869" s="50"/>
      <c r="P869" s="49"/>
    </row>
    <row r="870" spans="1:16" ht="15.75" customHeight="1" x14ac:dyDescent="0.3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9"/>
      <c r="N870" s="30"/>
      <c r="O870" s="50"/>
      <c r="P870" s="49"/>
    </row>
    <row r="871" spans="1:16" ht="15.75" customHeight="1" x14ac:dyDescent="0.3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9"/>
      <c r="N871" s="30"/>
      <c r="O871" s="50"/>
      <c r="P871" s="49"/>
    </row>
    <row r="872" spans="1:16" ht="15.75" customHeight="1" x14ac:dyDescent="0.3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9"/>
      <c r="N872" s="30"/>
      <c r="O872" s="50"/>
      <c r="P872" s="49"/>
    </row>
    <row r="873" spans="1:16" ht="15.75" customHeight="1" x14ac:dyDescent="0.3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9"/>
      <c r="N873" s="30"/>
      <c r="O873" s="50"/>
      <c r="P873" s="49"/>
    </row>
    <row r="874" spans="1:16" ht="15.75" customHeight="1" x14ac:dyDescent="0.3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9"/>
      <c r="N874" s="30"/>
      <c r="O874" s="50"/>
      <c r="P874" s="49"/>
    </row>
    <row r="875" spans="1:16" ht="15.75" customHeight="1" x14ac:dyDescent="0.3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9"/>
      <c r="N875" s="30"/>
      <c r="O875" s="50"/>
      <c r="P875" s="49"/>
    </row>
    <row r="876" spans="1:16" ht="15.75" customHeight="1" x14ac:dyDescent="0.3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9"/>
      <c r="N876" s="30"/>
      <c r="O876" s="50"/>
      <c r="P876" s="49"/>
    </row>
    <row r="877" spans="1:16" ht="15.75" customHeight="1" x14ac:dyDescent="0.3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9"/>
      <c r="N877" s="30"/>
      <c r="O877" s="50"/>
      <c r="P877" s="49"/>
    </row>
    <row r="878" spans="1:16" ht="15.75" customHeight="1" x14ac:dyDescent="0.3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9"/>
      <c r="N878" s="30"/>
      <c r="O878" s="50"/>
      <c r="P878" s="49"/>
    </row>
    <row r="879" spans="1:16" ht="15.75" customHeight="1" x14ac:dyDescent="0.3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9"/>
      <c r="N879" s="30"/>
      <c r="O879" s="50"/>
      <c r="P879" s="49"/>
    </row>
    <row r="880" spans="1:16" ht="15.75" customHeight="1" x14ac:dyDescent="0.3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9"/>
      <c r="N880" s="30"/>
      <c r="O880" s="50"/>
      <c r="P880" s="49"/>
    </row>
    <row r="881" spans="1:16" ht="15.75" customHeight="1" x14ac:dyDescent="0.3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9"/>
      <c r="N881" s="30"/>
      <c r="O881" s="50"/>
      <c r="P881" s="49"/>
    </row>
    <row r="882" spans="1:16" ht="15.75" customHeight="1" x14ac:dyDescent="0.3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9"/>
      <c r="N882" s="30"/>
      <c r="O882" s="50"/>
      <c r="P882" s="49"/>
    </row>
    <row r="883" spans="1:16" ht="15.75" customHeight="1" x14ac:dyDescent="0.3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9"/>
      <c r="N883" s="30"/>
      <c r="O883" s="50"/>
      <c r="P883" s="49"/>
    </row>
    <row r="884" spans="1:16" ht="15.75" customHeight="1" x14ac:dyDescent="0.3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9"/>
      <c r="N884" s="30"/>
      <c r="O884" s="50"/>
      <c r="P884" s="49"/>
    </row>
    <row r="885" spans="1:16" ht="15.75" customHeight="1" x14ac:dyDescent="0.3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9"/>
      <c r="N885" s="30"/>
      <c r="O885" s="50"/>
      <c r="P885" s="49"/>
    </row>
    <row r="886" spans="1:16" ht="15.75" customHeight="1" x14ac:dyDescent="0.3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9"/>
      <c r="N886" s="30"/>
      <c r="O886" s="50"/>
      <c r="P886" s="49"/>
    </row>
    <row r="887" spans="1:16" ht="15.75" customHeight="1" x14ac:dyDescent="0.3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9"/>
      <c r="N887" s="30"/>
      <c r="O887" s="50"/>
      <c r="P887" s="49"/>
    </row>
    <row r="888" spans="1:16" ht="15.75" customHeight="1" x14ac:dyDescent="0.3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9"/>
      <c r="N888" s="30"/>
      <c r="O888" s="50"/>
      <c r="P888" s="49"/>
    </row>
    <row r="889" spans="1:16" ht="15.75" customHeight="1" x14ac:dyDescent="0.3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9"/>
      <c r="N889" s="30"/>
      <c r="O889" s="50"/>
      <c r="P889" s="49"/>
    </row>
    <row r="890" spans="1:16" ht="15.75" customHeight="1" x14ac:dyDescent="0.3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9"/>
      <c r="N890" s="30"/>
      <c r="O890" s="50"/>
      <c r="P890" s="49"/>
    </row>
    <row r="891" spans="1:16" ht="15.75" customHeight="1" x14ac:dyDescent="0.3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9"/>
      <c r="N891" s="30"/>
      <c r="O891" s="50"/>
      <c r="P891" s="49"/>
    </row>
    <row r="892" spans="1:16" ht="15.75" customHeight="1" x14ac:dyDescent="0.3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9"/>
      <c r="N892" s="30"/>
      <c r="O892" s="50"/>
      <c r="P892" s="49"/>
    </row>
    <row r="893" spans="1:16" ht="15.75" customHeight="1" x14ac:dyDescent="0.3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9"/>
      <c r="N893" s="30"/>
      <c r="O893" s="50"/>
      <c r="P893" s="49"/>
    </row>
    <row r="894" spans="1:16" ht="15.75" customHeight="1" x14ac:dyDescent="0.3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9"/>
      <c r="N894" s="30"/>
      <c r="O894" s="50"/>
      <c r="P894" s="49"/>
    </row>
    <row r="895" spans="1:16" ht="15.75" customHeight="1" x14ac:dyDescent="0.3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9"/>
      <c r="N895" s="30"/>
      <c r="O895" s="50"/>
      <c r="P895" s="49"/>
    </row>
    <row r="896" spans="1:16" ht="15.75" customHeight="1" x14ac:dyDescent="0.3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9"/>
      <c r="N896" s="30"/>
      <c r="O896" s="50"/>
      <c r="P896" s="49"/>
    </row>
    <row r="897" spans="1:16" ht="15.75" customHeight="1" x14ac:dyDescent="0.3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9"/>
      <c r="N897" s="30"/>
      <c r="O897" s="50"/>
      <c r="P897" s="49"/>
    </row>
    <row r="898" spans="1:16" ht="15.75" customHeight="1" x14ac:dyDescent="0.3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9"/>
      <c r="N898" s="30"/>
      <c r="O898" s="50"/>
      <c r="P898" s="49"/>
    </row>
    <row r="899" spans="1:16" ht="15.75" customHeight="1" x14ac:dyDescent="0.3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9"/>
      <c r="N899" s="30"/>
      <c r="O899" s="50"/>
      <c r="P899" s="49"/>
    </row>
    <row r="900" spans="1:16" ht="15.75" customHeight="1" x14ac:dyDescent="0.3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9"/>
      <c r="N900" s="30"/>
      <c r="O900" s="50"/>
      <c r="P900" s="49"/>
    </row>
    <row r="901" spans="1:16" ht="15.75" customHeight="1" x14ac:dyDescent="0.3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9"/>
      <c r="N901" s="30"/>
      <c r="O901" s="50"/>
      <c r="P901" s="49"/>
    </row>
    <row r="902" spans="1:16" ht="15.75" customHeight="1" x14ac:dyDescent="0.3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9"/>
      <c r="N902" s="30"/>
      <c r="O902" s="50"/>
      <c r="P902" s="49"/>
    </row>
    <row r="903" spans="1:16" ht="15.75" customHeight="1" x14ac:dyDescent="0.3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9"/>
      <c r="N903" s="30"/>
      <c r="O903" s="50"/>
      <c r="P903" s="49"/>
    </row>
    <row r="904" spans="1:16" ht="15.75" customHeight="1" x14ac:dyDescent="0.3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9"/>
      <c r="N904" s="30"/>
      <c r="O904" s="50"/>
      <c r="P904" s="49"/>
    </row>
    <row r="905" spans="1:16" ht="15.75" customHeight="1" x14ac:dyDescent="0.3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9"/>
      <c r="N905" s="30"/>
      <c r="O905" s="50"/>
      <c r="P905" s="49"/>
    </row>
    <row r="906" spans="1:16" ht="15.75" customHeight="1" x14ac:dyDescent="0.3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9"/>
      <c r="N906" s="30"/>
      <c r="O906" s="50"/>
      <c r="P906" s="49"/>
    </row>
    <row r="907" spans="1:16" ht="15.75" customHeight="1" x14ac:dyDescent="0.3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9"/>
      <c r="N907" s="30"/>
      <c r="O907" s="50"/>
      <c r="P907" s="49"/>
    </row>
    <row r="908" spans="1:16" ht="15.75" customHeight="1" x14ac:dyDescent="0.3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9"/>
      <c r="N908" s="30"/>
      <c r="O908" s="50"/>
      <c r="P908" s="49"/>
    </row>
    <row r="909" spans="1:16" ht="15.75" customHeight="1" x14ac:dyDescent="0.3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9"/>
      <c r="N909" s="30"/>
      <c r="O909" s="50"/>
      <c r="P909" s="49"/>
    </row>
    <row r="910" spans="1:16" ht="15.75" customHeight="1" x14ac:dyDescent="0.3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9"/>
      <c r="N910" s="30"/>
      <c r="O910" s="50"/>
      <c r="P910" s="49"/>
    </row>
    <row r="911" spans="1:16" ht="15.75" customHeight="1" x14ac:dyDescent="0.3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9"/>
      <c r="N911" s="30"/>
      <c r="O911" s="50"/>
      <c r="P911" s="49"/>
    </row>
    <row r="912" spans="1:16" ht="15.75" customHeight="1" x14ac:dyDescent="0.3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9"/>
      <c r="N912" s="30"/>
      <c r="O912" s="50"/>
      <c r="P912" s="49"/>
    </row>
    <row r="913" spans="1:16" ht="15.75" customHeight="1" x14ac:dyDescent="0.3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9"/>
      <c r="N913" s="30"/>
      <c r="O913" s="50"/>
      <c r="P913" s="49"/>
    </row>
    <row r="914" spans="1:16" ht="15.75" customHeight="1" x14ac:dyDescent="0.3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9"/>
      <c r="N914" s="30"/>
      <c r="O914" s="50"/>
      <c r="P914" s="49"/>
    </row>
    <row r="915" spans="1:16" ht="15.75" customHeight="1" x14ac:dyDescent="0.3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9"/>
      <c r="N915" s="30"/>
      <c r="O915" s="50"/>
      <c r="P915" s="49"/>
    </row>
    <row r="916" spans="1:16" ht="15.75" customHeight="1" x14ac:dyDescent="0.3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9"/>
      <c r="N916" s="30"/>
      <c r="O916" s="50"/>
      <c r="P916" s="49"/>
    </row>
    <row r="917" spans="1:16" ht="15.75" customHeight="1" x14ac:dyDescent="0.3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9"/>
      <c r="N917" s="30"/>
      <c r="O917" s="50"/>
      <c r="P917" s="49"/>
    </row>
    <row r="918" spans="1:16" ht="15.75" customHeight="1" x14ac:dyDescent="0.3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9"/>
      <c r="N918" s="30"/>
      <c r="O918" s="50"/>
      <c r="P918" s="49"/>
    </row>
    <row r="919" spans="1:16" ht="15.75" customHeight="1" x14ac:dyDescent="0.3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9"/>
      <c r="N919" s="30"/>
      <c r="O919" s="50"/>
      <c r="P919" s="49"/>
    </row>
    <row r="920" spans="1:16" ht="15.75" customHeight="1" x14ac:dyDescent="0.3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9"/>
      <c r="N920" s="30"/>
      <c r="O920" s="50"/>
      <c r="P920" s="49"/>
    </row>
    <row r="921" spans="1:16" ht="15.75" customHeight="1" x14ac:dyDescent="0.3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9"/>
      <c r="N921" s="30"/>
      <c r="O921" s="50"/>
      <c r="P921" s="49"/>
    </row>
    <row r="922" spans="1:16" ht="15.75" customHeight="1" x14ac:dyDescent="0.3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9"/>
      <c r="N922" s="30"/>
      <c r="O922" s="50"/>
      <c r="P922" s="49"/>
    </row>
    <row r="923" spans="1:16" ht="15.75" customHeight="1" x14ac:dyDescent="0.3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9"/>
      <c r="N923" s="30"/>
      <c r="O923" s="50"/>
      <c r="P923" s="49"/>
    </row>
    <row r="924" spans="1:16" ht="15.75" customHeight="1" x14ac:dyDescent="0.3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9"/>
      <c r="N924" s="30"/>
      <c r="O924" s="50"/>
      <c r="P924" s="49"/>
    </row>
    <row r="925" spans="1:16" ht="15.75" customHeight="1" x14ac:dyDescent="0.3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9"/>
      <c r="N925" s="30"/>
      <c r="O925" s="50"/>
      <c r="P925" s="49"/>
    </row>
    <row r="926" spans="1:16" ht="15.75" customHeight="1" x14ac:dyDescent="0.3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9"/>
      <c r="N926" s="30"/>
      <c r="O926" s="50"/>
      <c r="P926" s="49"/>
    </row>
    <row r="927" spans="1:16" ht="15.75" customHeight="1" x14ac:dyDescent="0.3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9"/>
      <c r="N927" s="30"/>
      <c r="O927" s="50"/>
      <c r="P927" s="49"/>
    </row>
    <row r="928" spans="1:16" ht="15.75" customHeight="1" x14ac:dyDescent="0.3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9"/>
      <c r="N928" s="30"/>
      <c r="O928" s="50"/>
      <c r="P928" s="49"/>
    </row>
    <row r="929" spans="1:16" ht="15.75" customHeight="1" x14ac:dyDescent="0.3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9"/>
      <c r="N929" s="30"/>
      <c r="O929" s="50"/>
      <c r="P929" s="49"/>
    </row>
    <row r="930" spans="1:16" ht="15.75" customHeight="1" x14ac:dyDescent="0.3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9"/>
      <c r="N930" s="30"/>
      <c r="O930" s="50"/>
      <c r="P930" s="49"/>
    </row>
    <row r="931" spans="1:16" ht="15.75" customHeight="1" x14ac:dyDescent="0.3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9"/>
      <c r="N931" s="30"/>
      <c r="O931" s="50"/>
      <c r="P931" s="49"/>
    </row>
    <row r="932" spans="1:16" ht="15.75" customHeight="1" x14ac:dyDescent="0.3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9"/>
      <c r="N932" s="30"/>
      <c r="O932" s="50"/>
      <c r="P932" s="49"/>
    </row>
    <row r="933" spans="1:16" ht="15.75" customHeight="1" x14ac:dyDescent="0.3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9"/>
      <c r="N933" s="30"/>
      <c r="O933" s="50"/>
      <c r="P933" s="49"/>
    </row>
    <row r="934" spans="1:16" ht="15.75" customHeight="1" x14ac:dyDescent="0.3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9"/>
      <c r="N934" s="30"/>
      <c r="O934" s="50"/>
      <c r="P934" s="49"/>
    </row>
    <row r="935" spans="1:16" ht="15.75" customHeight="1" x14ac:dyDescent="0.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9"/>
      <c r="N935" s="30"/>
      <c r="O935" s="50"/>
      <c r="P935" s="49"/>
    </row>
    <row r="936" spans="1:16" ht="15.75" customHeight="1" x14ac:dyDescent="0.3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9"/>
      <c r="N936" s="30"/>
      <c r="O936" s="50"/>
      <c r="P936" s="49"/>
    </row>
    <row r="937" spans="1:16" ht="15.75" customHeight="1" x14ac:dyDescent="0.3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9"/>
      <c r="N937" s="30"/>
      <c r="O937" s="50"/>
      <c r="P937" s="49"/>
    </row>
    <row r="938" spans="1:16" ht="15.75" customHeight="1" x14ac:dyDescent="0.3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9"/>
      <c r="N938" s="30"/>
      <c r="O938" s="50"/>
      <c r="P938" s="49"/>
    </row>
    <row r="939" spans="1:16" ht="15.75" customHeight="1" x14ac:dyDescent="0.3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9"/>
      <c r="N939" s="30"/>
      <c r="O939" s="50"/>
      <c r="P939" s="49"/>
    </row>
    <row r="940" spans="1:16" ht="15.75" customHeight="1" x14ac:dyDescent="0.3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9"/>
      <c r="N940" s="30"/>
      <c r="O940" s="50"/>
      <c r="P940" s="49"/>
    </row>
    <row r="941" spans="1:16" ht="15.75" customHeight="1" x14ac:dyDescent="0.3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9"/>
      <c r="N941" s="30"/>
      <c r="O941" s="50"/>
      <c r="P941" s="49"/>
    </row>
    <row r="942" spans="1:16" ht="15.75" customHeight="1" x14ac:dyDescent="0.3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9"/>
      <c r="N942" s="30"/>
      <c r="O942" s="50"/>
      <c r="P942" s="49"/>
    </row>
    <row r="943" spans="1:16" ht="15.75" customHeight="1" x14ac:dyDescent="0.3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9"/>
      <c r="N943" s="30"/>
      <c r="O943" s="50"/>
      <c r="P943" s="49"/>
    </row>
    <row r="944" spans="1:16" ht="15.75" customHeight="1" x14ac:dyDescent="0.3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9"/>
      <c r="N944" s="30"/>
      <c r="O944" s="50"/>
      <c r="P944" s="49"/>
    </row>
    <row r="945" spans="1:16" ht="15.75" customHeight="1" x14ac:dyDescent="0.3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9"/>
      <c r="N945" s="30"/>
      <c r="O945" s="50"/>
      <c r="P945" s="49"/>
    </row>
    <row r="946" spans="1:16" ht="15.75" customHeight="1" x14ac:dyDescent="0.3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9"/>
      <c r="N946" s="30"/>
      <c r="O946" s="50"/>
      <c r="P946" s="49"/>
    </row>
    <row r="947" spans="1:16" ht="15.75" customHeight="1" x14ac:dyDescent="0.3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9"/>
      <c r="N947" s="30"/>
      <c r="O947" s="50"/>
      <c r="P947" s="49"/>
    </row>
    <row r="948" spans="1:16" ht="15.75" customHeight="1" x14ac:dyDescent="0.3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9"/>
      <c r="N948" s="30"/>
      <c r="O948" s="50"/>
      <c r="P948" s="49"/>
    </row>
    <row r="949" spans="1:16" ht="15.75" customHeight="1" x14ac:dyDescent="0.3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9"/>
      <c r="N949" s="30"/>
      <c r="O949" s="50"/>
      <c r="P949" s="49"/>
    </row>
    <row r="950" spans="1:16" ht="15.75" customHeight="1" x14ac:dyDescent="0.3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9"/>
      <c r="N950" s="30"/>
      <c r="O950" s="50"/>
      <c r="P950" s="49"/>
    </row>
    <row r="951" spans="1:16" ht="15.75" customHeight="1" x14ac:dyDescent="0.3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9"/>
      <c r="N951" s="30"/>
      <c r="O951" s="50"/>
      <c r="P951" s="49"/>
    </row>
    <row r="952" spans="1:16" ht="15.75" customHeight="1" x14ac:dyDescent="0.3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9"/>
      <c r="N952" s="30"/>
      <c r="O952" s="50"/>
      <c r="P952" s="49"/>
    </row>
    <row r="953" spans="1:16" ht="15.75" customHeight="1" x14ac:dyDescent="0.3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9"/>
      <c r="N953" s="30"/>
      <c r="O953" s="50"/>
      <c r="P953" s="49"/>
    </row>
    <row r="954" spans="1:16" ht="15.75" customHeight="1" x14ac:dyDescent="0.3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9"/>
      <c r="N954" s="30"/>
      <c r="O954" s="50"/>
      <c r="P954" s="49"/>
    </row>
    <row r="955" spans="1:16" ht="15.75" customHeight="1" x14ac:dyDescent="0.3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9"/>
      <c r="N955" s="30"/>
      <c r="O955" s="50"/>
      <c r="P955" s="49"/>
    </row>
    <row r="956" spans="1:16" ht="15.75" customHeight="1" x14ac:dyDescent="0.3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9"/>
      <c r="N956" s="30"/>
      <c r="O956" s="50"/>
      <c r="P956" s="49"/>
    </row>
    <row r="957" spans="1:16" ht="15.75" customHeight="1" x14ac:dyDescent="0.3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9"/>
      <c r="N957" s="30"/>
      <c r="O957" s="50"/>
      <c r="P957" s="49"/>
    </row>
    <row r="958" spans="1:16" ht="15.75" customHeight="1" x14ac:dyDescent="0.3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9"/>
      <c r="N958" s="30"/>
      <c r="O958" s="50"/>
      <c r="P958" s="49"/>
    </row>
    <row r="959" spans="1:16" ht="15.75" customHeight="1" x14ac:dyDescent="0.3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9"/>
      <c r="N959" s="30"/>
      <c r="O959" s="50"/>
      <c r="P959" s="49"/>
    </row>
    <row r="960" spans="1:16" ht="15.75" customHeight="1" x14ac:dyDescent="0.3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9"/>
      <c r="N960" s="30"/>
      <c r="O960" s="50"/>
      <c r="P960" s="49"/>
    </row>
    <row r="961" spans="1:16" ht="15.75" customHeight="1" x14ac:dyDescent="0.3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9"/>
      <c r="N961" s="30"/>
      <c r="O961" s="50"/>
      <c r="P961" s="49"/>
    </row>
    <row r="962" spans="1:16" ht="15.75" customHeight="1" x14ac:dyDescent="0.3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9"/>
      <c r="N962" s="30"/>
      <c r="O962" s="50"/>
      <c r="P962" s="49"/>
    </row>
    <row r="963" spans="1:16" ht="15.75" customHeight="1" x14ac:dyDescent="0.3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9"/>
      <c r="N963" s="30"/>
      <c r="O963" s="50"/>
      <c r="P963" s="49"/>
    </row>
    <row r="964" spans="1:16" ht="15.75" customHeight="1" x14ac:dyDescent="0.3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9"/>
      <c r="N964" s="30"/>
      <c r="O964" s="50"/>
      <c r="P964" s="49"/>
    </row>
    <row r="965" spans="1:16" ht="15.75" customHeight="1" x14ac:dyDescent="0.3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9"/>
      <c r="N965" s="30"/>
      <c r="O965" s="50"/>
      <c r="P965" s="49"/>
    </row>
    <row r="966" spans="1:16" ht="15.75" customHeight="1" x14ac:dyDescent="0.3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9"/>
      <c r="N966" s="30"/>
      <c r="O966" s="50"/>
      <c r="P966" s="49"/>
    </row>
    <row r="967" spans="1:16" ht="15.75" customHeight="1" x14ac:dyDescent="0.3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9"/>
      <c r="N967" s="30"/>
      <c r="O967" s="50"/>
      <c r="P967" s="49"/>
    </row>
    <row r="968" spans="1:16" ht="15.75" customHeight="1" x14ac:dyDescent="0.3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9"/>
      <c r="N968" s="30"/>
      <c r="O968" s="50"/>
      <c r="P968" s="49"/>
    </row>
    <row r="969" spans="1:16" ht="15.75" customHeight="1" x14ac:dyDescent="0.3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9"/>
      <c r="N969" s="30"/>
      <c r="O969" s="50"/>
      <c r="P969" s="49"/>
    </row>
    <row r="970" spans="1:16" ht="15.75" customHeight="1" x14ac:dyDescent="0.3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9"/>
      <c r="N970" s="30"/>
      <c r="O970" s="50"/>
      <c r="P970" s="49"/>
    </row>
    <row r="971" spans="1:16" ht="15.75" customHeight="1" x14ac:dyDescent="0.3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9"/>
      <c r="N971" s="30"/>
      <c r="O971" s="50"/>
      <c r="P971" s="49"/>
    </row>
    <row r="972" spans="1:16" ht="15.75" customHeight="1" x14ac:dyDescent="0.3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9"/>
      <c r="N972" s="30"/>
      <c r="O972" s="50"/>
      <c r="P972" s="49"/>
    </row>
    <row r="973" spans="1:16" ht="15.75" customHeight="1" x14ac:dyDescent="0.3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9"/>
      <c r="N973" s="30"/>
      <c r="O973" s="50"/>
      <c r="P973" s="49"/>
    </row>
    <row r="974" spans="1:16" ht="15.75" customHeight="1" x14ac:dyDescent="0.3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9"/>
      <c r="N974" s="30"/>
      <c r="O974" s="50"/>
      <c r="P974" s="49"/>
    </row>
    <row r="975" spans="1:16" ht="15.75" customHeight="1" x14ac:dyDescent="0.3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9"/>
      <c r="N975" s="30"/>
      <c r="O975" s="50"/>
      <c r="P975" s="49"/>
    </row>
    <row r="976" spans="1:16" ht="15.75" customHeight="1" x14ac:dyDescent="0.3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9"/>
      <c r="N976" s="30"/>
      <c r="O976" s="50"/>
      <c r="P976" s="49"/>
    </row>
    <row r="977" spans="1:16" ht="15.75" customHeight="1" x14ac:dyDescent="0.3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9"/>
      <c r="N977" s="30"/>
      <c r="O977" s="50"/>
      <c r="P977" s="49"/>
    </row>
    <row r="978" spans="1:16" ht="15.75" customHeight="1" x14ac:dyDescent="0.3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9"/>
      <c r="N978" s="30"/>
      <c r="O978" s="50"/>
      <c r="P978" s="49"/>
    </row>
    <row r="979" spans="1:16" ht="15.75" customHeight="1" x14ac:dyDescent="0.3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9"/>
      <c r="N979" s="30"/>
      <c r="O979" s="50"/>
      <c r="P979" s="49"/>
    </row>
    <row r="980" spans="1:16" ht="15.75" customHeight="1" x14ac:dyDescent="0.3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9"/>
      <c r="N980" s="30"/>
      <c r="O980" s="50"/>
      <c r="P980" s="49"/>
    </row>
    <row r="981" spans="1:16" ht="15.75" customHeight="1" x14ac:dyDescent="0.3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9"/>
      <c r="N981" s="30"/>
      <c r="O981" s="50"/>
      <c r="P981" s="49"/>
    </row>
    <row r="982" spans="1:16" ht="15.75" customHeight="1" x14ac:dyDescent="0.3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9"/>
      <c r="N982" s="30"/>
      <c r="O982" s="50"/>
      <c r="P982" s="49"/>
    </row>
    <row r="983" spans="1:16" ht="15.75" customHeight="1" x14ac:dyDescent="0.35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9"/>
      <c r="N983" s="30"/>
      <c r="O983" s="50"/>
      <c r="P983" s="49"/>
    </row>
    <row r="984" spans="1:16" ht="15.75" customHeight="1" x14ac:dyDescent="0.3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9"/>
      <c r="N984" s="30"/>
      <c r="O984" s="50"/>
      <c r="P984" s="49"/>
    </row>
    <row r="985" spans="1:16" ht="15.75" customHeight="1" x14ac:dyDescent="0.3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9"/>
      <c r="N985" s="30"/>
      <c r="O985" s="50"/>
      <c r="P985" s="49"/>
    </row>
    <row r="986" spans="1:16" ht="15.75" customHeight="1" x14ac:dyDescent="0.3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9"/>
      <c r="N986" s="30"/>
      <c r="O986" s="50"/>
      <c r="P986" s="49"/>
    </row>
    <row r="987" spans="1:16" ht="15.75" customHeight="1" x14ac:dyDescent="0.35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9"/>
      <c r="N987" s="30"/>
      <c r="O987" s="50"/>
      <c r="P987" s="49"/>
    </row>
    <row r="988" spans="1:16" ht="15.75" customHeight="1" x14ac:dyDescent="0.3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9"/>
      <c r="N988" s="30"/>
      <c r="O988" s="50"/>
      <c r="P988" s="49"/>
    </row>
    <row r="989" spans="1:16" ht="15.75" customHeight="1" x14ac:dyDescent="0.3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9"/>
      <c r="N989" s="30"/>
      <c r="O989" s="50"/>
      <c r="P989" s="49"/>
    </row>
    <row r="990" spans="1:16" ht="15.75" customHeight="1" x14ac:dyDescent="0.3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9"/>
      <c r="N990" s="30"/>
      <c r="O990" s="50"/>
      <c r="P990" s="49"/>
    </row>
    <row r="991" spans="1:16" ht="15.75" customHeight="1" x14ac:dyDescent="0.3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9"/>
      <c r="N991" s="30"/>
      <c r="O991" s="50"/>
      <c r="P991" s="49"/>
    </row>
    <row r="992" spans="1:16" ht="15.75" customHeight="1" x14ac:dyDescent="0.3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9"/>
      <c r="N992" s="30"/>
      <c r="O992" s="50"/>
      <c r="P992" s="49"/>
    </row>
    <row r="993" spans="1:16" ht="15.75" customHeight="1" x14ac:dyDescent="0.3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9"/>
      <c r="N993" s="30"/>
      <c r="O993" s="50"/>
      <c r="P993" s="49"/>
    </row>
    <row r="994" spans="1:16" ht="15.75" customHeight="1" x14ac:dyDescent="0.3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9"/>
      <c r="N994" s="30"/>
      <c r="O994" s="50"/>
      <c r="P994" s="49"/>
    </row>
    <row r="995" spans="1:16" ht="15.75" customHeight="1" x14ac:dyDescent="0.3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9"/>
      <c r="N995" s="30"/>
      <c r="O995" s="50"/>
      <c r="P995" s="49"/>
    </row>
  </sheetData>
  <autoFilter ref="A2:P100" xr:uid="{00000000-0009-0000-0000-000001000000}">
    <sortState xmlns:xlrd2="http://schemas.microsoft.com/office/spreadsheetml/2017/richdata2" ref="A3:P100">
      <sortCondition descending="1" ref="P2:P100"/>
    </sortState>
  </autoFilter>
  <pageMargins left="0.7" right="0.7" top="0.75" bottom="0.75" header="0" footer="0"/>
  <pageSetup paperSize="8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12DE2-89F4-4B7E-90FF-73897D8C28D6}">
  <dimension ref="A1:S998"/>
  <sheetViews>
    <sheetView zoomScale="90" zoomScaleNormal="90" workbookViewId="0">
      <selection activeCell="E2" sqref="E2:G2"/>
    </sheetView>
  </sheetViews>
  <sheetFormatPr defaultColWidth="14.453125" defaultRowHeight="15" customHeight="1" x14ac:dyDescent="0.35"/>
  <cols>
    <col min="1" max="1" width="22" customWidth="1"/>
    <col min="2" max="2" width="5.26953125" customWidth="1"/>
    <col min="3" max="3" width="7.54296875" customWidth="1"/>
    <col min="4" max="10" width="7.7265625" customWidth="1"/>
    <col min="11" max="11" width="9" customWidth="1"/>
    <col min="12" max="12" width="9" style="68" customWidth="1"/>
    <col min="13" max="13" width="10.54296875" customWidth="1"/>
    <col min="14" max="14" width="10.1796875" customWidth="1"/>
    <col min="15" max="15" width="9.7265625" customWidth="1"/>
    <col min="16" max="16" width="4.81640625" style="62" customWidth="1"/>
    <col min="17" max="17" width="10.26953125" customWidth="1"/>
    <col min="18" max="26" width="8.7265625" customWidth="1"/>
  </cols>
  <sheetData>
    <row r="1" spans="1:19" ht="44.25" customHeight="1" x14ac:dyDescent="0.35">
      <c r="A1" s="51" t="s">
        <v>125</v>
      </c>
      <c r="B1" s="40"/>
      <c r="C1" s="40"/>
      <c r="D1" s="41"/>
      <c r="E1" s="42"/>
      <c r="F1" s="41"/>
      <c r="G1" s="43"/>
      <c r="H1" s="43"/>
      <c r="I1" s="41"/>
      <c r="J1" s="42"/>
      <c r="K1" s="43"/>
      <c r="L1" s="83"/>
      <c r="N1" s="39"/>
      <c r="O1" s="44"/>
      <c r="P1" s="45"/>
      <c r="Q1" s="65" t="s">
        <v>152</v>
      </c>
    </row>
    <row r="2" spans="1:19" ht="42" customHeight="1" x14ac:dyDescent="0.35">
      <c r="A2" s="46" t="s">
        <v>12</v>
      </c>
      <c r="B2" s="46" t="s">
        <v>13</v>
      </c>
      <c r="C2" s="46" t="s">
        <v>14</v>
      </c>
      <c r="D2" s="47" t="s">
        <v>127</v>
      </c>
      <c r="E2" s="47" t="s">
        <v>8</v>
      </c>
      <c r="F2" s="47" t="s">
        <v>9</v>
      </c>
      <c r="G2" s="47" t="s">
        <v>10</v>
      </c>
      <c r="H2" s="47" t="s">
        <v>11</v>
      </c>
      <c r="I2" s="79" t="s">
        <v>128</v>
      </c>
      <c r="J2" s="47" t="s">
        <v>129</v>
      </c>
      <c r="K2" s="47" t="s">
        <v>139</v>
      </c>
      <c r="L2" s="47" t="s">
        <v>151</v>
      </c>
      <c r="M2" s="47" t="s">
        <v>130</v>
      </c>
      <c r="N2" s="48" t="s">
        <v>143</v>
      </c>
      <c r="O2" s="67" t="s">
        <v>156</v>
      </c>
      <c r="P2" s="63" t="s">
        <v>132</v>
      </c>
      <c r="Q2" s="66" t="s">
        <v>157</v>
      </c>
    </row>
    <row r="3" spans="1:19" ht="14.5" x14ac:dyDescent="0.35">
      <c r="A3" s="54" t="s">
        <v>74</v>
      </c>
      <c r="B3" s="55" t="s">
        <v>58</v>
      </c>
      <c r="C3" s="55" t="s">
        <v>59</v>
      </c>
      <c r="D3" s="55">
        <v>118</v>
      </c>
      <c r="E3" s="55">
        <v>116</v>
      </c>
      <c r="F3" s="55">
        <v>120</v>
      </c>
      <c r="G3" s="55"/>
      <c r="H3" s="55">
        <v>110</v>
      </c>
      <c r="I3" s="70"/>
      <c r="J3" s="55"/>
      <c r="K3" s="55"/>
      <c r="L3" s="92">
        <v>120</v>
      </c>
      <c r="M3" s="69">
        <f>AVERAGE(D3:K3)</f>
        <v>116</v>
      </c>
      <c r="N3" s="69">
        <f t="shared" ref="N3:N50" si="0">MIN(13.2, MAX(0, 120 - M3) * 0.66)</f>
        <v>2.64</v>
      </c>
      <c r="O3" s="58">
        <f t="shared" ref="O3:O34" si="1">L3</f>
        <v>120</v>
      </c>
      <c r="P3" s="85">
        <v>9</v>
      </c>
      <c r="Q3" s="59">
        <f t="shared" ref="Q3:Q34" si="2">IF(ISBLANK(L3), 0, L3 + N3)</f>
        <v>122.64</v>
      </c>
    </row>
    <row r="4" spans="1:19" ht="14.5" x14ac:dyDescent="0.35">
      <c r="A4" s="54" t="s">
        <v>63</v>
      </c>
      <c r="B4" s="55" t="s">
        <v>58</v>
      </c>
      <c r="C4" s="55" t="s">
        <v>59</v>
      </c>
      <c r="D4" s="55">
        <v>114</v>
      </c>
      <c r="E4" s="55">
        <v>119</v>
      </c>
      <c r="F4" s="55">
        <v>117</v>
      </c>
      <c r="G4" s="55"/>
      <c r="H4" s="55"/>
      <c r="I4" s="70"/>
      <c r="J4" s="55">
        <v>113</v>
      </c>
      <c r="K4" s="55">
        <f>58+56</f>
        <v>114</v>
      </c>
      <c r="L4" s="93">
        <v>116</v>
      </c>
      <c r="M4" s="69">
        <f>AVERAGE(D4:K4)</f>
        <v>115.4</v>
      </c>
      <c r="N4" s="69">
        <f t="shared" si="0"/>
        <v>3.0359999999999965</v>
      </c>
      <c r="O4" s="58">
        <f t="shared" si="1"/>
        <v>116</v>
      </c>
      <c r="P4" s="85">
        <v>7</v>
      </c>
      <c r="Q4" s="59">
        <f t="shared" si="2"/>
        <v>119.036</v>
      </c>
    </row>
    <row r="5" spans="1:19" ht="14.5" x14ac:dyDescent="0.35">
      <c r="A5" s="54" t="s">
        <v>101</v>
      </c>
      <c r="B5" s="55" t="s">
        <v>58</v>
      </c>
      <c r="C5" s="55" t="s">
        <v>144</v>
      </c>
      <c r="D5" s="55">
        <v>116</v>
      </c>
      <c r="E5" s="55">
        <v>116</v>
      </c>
      <c r="F5" s="55">
        <v>117</v>
      </c>
      <c r="G5" s="55">
        <v>120</v>
      </c>
      <c r="H5" s="55">
        <v>109</v>
      </c>
      <c r="I5" s="70"/>
      <c r="J5" s="55">
        <v>113</v>
      </c>
      <c r="K5" s="55">
        <v>120</v>
      </c>
      <c r="L5" s="94">
        <v>112</v>
      </c>
      <c r="M5" s="69">
        <f t="shared" ref="M5:M11" si="3">AVERAGE(D5:L5)</f>
        <v>115.375</v>
      </c>
      <c r="N5" s="69">
        <f t="shared" si="0"/>
        <v>3.0525000000000002</v>
      </c>
      <c r="O5" s="58">
        <f t="shared" si="1"/>
        <v>112</v>
      </c>
      <c r="P5" s="85">
        <v>1</v>
      </c>
      <c r="Q5" s="59">
        <f t="shared" si="2"/>
        <v>115.05249999999999</v>
      </c>
    </row>
    <row r="6" spans="1:19" ht="14.5" x14ac:dyDescent="0.35">
      <c r="A6" s="54" t="s">
        <v>61</v>
      </c>
      <c r="B6" s="55" t="s">
        <v>58</v>
      </c>
      <c r="C6" s="55" t="s">
        <v>59</v>
      </c>
      <c r="D6" s="55"/>
      <c r="E6" s="55"/>
      <c r="F6" s="55"/>
      <c r="G6" s="55"/>
      <c r="H6" s="55">
        <v>112</v>
      </c>
      <c r="I6" s="70"/>
      <c r="J6" s="55">
        <v>109</v>
      </c>
      <c r="K6" s="55">
        <v>118</v>
      </c>
      <c r="L6" s="80">
        <v>109</v>
      </c>
      <c r="M6" s="69">
        <f t="shared" si="3"/>
        <v>112</v>
      </c>
      <c r="N6" s="69">
        <f t="shared" si="0"/>
        <v>5.28</v>
      </c>
      <c r="O6" s="58">
        <f t="shared" si="1"/>
        <v>109</v>
      </c>
      <c r="P6" s="85">
        <v>5</v>
      </c>
      <c r="Q6" s="59">
        <f t="shared" si="2"/>
        <v>114.28</v>
      </c>
    </row>
    <row r="7" spans="1:19" ht="14.5" x14ac:dyDescent="0.35">
      <c r="A7" s="54" t="s">
        <v>53</v>
      </c>
      <c r="B7" s="55" t="s">
        <v>58</v>
      </c>
      <c r="C7" s="55" t="s">
        <v>134</v>
      </c>
      <c r="D7" s="55"/>
      <c r="E7" s="55"/>
      <c r="F7" s="55">
        <v>119</v>
      </c>
      <c r="G7" s="55">
        <v>110</v>
      </c>
      <c r="H7" s="55"/>
      <c r="I7" s="70"/>
      <c r="J7" s="55">
        <v>119</v>
      </c>
      <c r="K7" s="55">
        <v>118</v>
      </c>
      <c r="L7" s="80">
        <v>109</v>
      </c>
      <c r="M7" s="69">
        <f t="shared" si="3"/>
        <v>115</v>
      </c>
      <c r="N7" s="69">
        <f t="shared" si="0"/>
        <v>3.3000000000000003</v>
      </c>
      <c r="O7" s="58">
        <f t="shared" si="1"/>
        <v>109</v>
      </c>
      <c r="P7" s="85">
        <v>5</v>
      </c>
      <c r="Q7" s="59">
        <f t="shared" si="2"/>
        <v>112.3</v>
      </c>
    </row>
    <row r="8" spans="1:19" ht="14.5" x14ac:dyDescent="0.35">
      <c r="A8" s="54" t="s">
        <v>60</v>
      </c>
      <c r="B8" s="55" t="s">
        <v>58</v>
      </c>
      <c r="C8" s="55" t="s">
        <v>134</v>
      </c>
      <c r="D8" s="55">
        <v>106</v>
      </c>
      <c r="E8" s="55">
        <v>112</v>
      </c>
      <c r="F8" s="55">
        <v>114</v>
      </c>
      <c r="G8" s="55">
        <v>102</v>
      </c>
      <c r="H8" s="55">
        <v>107</v>
      </c>
      <c r="I8" s="70"/>
      <c r="J8" s="55">
        <v>115</v>
      </c>
      <c r="K8" s="55">
        <v>113</v>
      </c>
      <c r="L8" s="80">
        <v>108</v>
      </c>
      <c r="M8" s="69">
        <f t="shared" si="3"/>
        <v>109.625</v>
      </c>
      <c r="N8" s="69">
        <f t="shared" si="0"/>
        <v>6.8475000000000001</v>
      </c>
      <c r="O8" s="58">
        <f t="shared" si="1"/>
        <v>108</v>
      </c>
      <c r="P8" s="85">
        <v>2</v>
      </c>
      <c r="Q8" s="59">
        <f t="shared" si="2"/>
        <v>114.8475</v>
      </c>
    </row>
    <row r="9" spans="1:19" ht="14.5" x14ac:dyDescent="0.35">
      <c r="A9" s="54" t="s">
        <v>84</v>
      </c>
      <c r="B9" s="55" t="s">
        <v>58</v>
      </c>
      <c r="C9" s="55" t="s">
        <v>83</v>
      </c>
      <c r="D9" s="55">
        <v>116</v>
      </c>
      <c r="E9" s="55"/>
      <c r="F9" s="55">
        <v>109</v>
      </c>
      <c r="G9" s="55">
        <v>106</v>
      </c>
      <c r="H9" s="55"/>
      <c r="I9" s="70"/>
      <c r="J9" s="55">
        <v>111</v>
      </c>
      <c r="K9" s="55">
        <v>119</v>
      </c>
      <c r="L9" s="80">
        <v>105</v>
      </c>
      <c r="M9" s="69">
        <f t="shared" si="3"/>
        <v>111</v>
      </c>
      <c r="N9" s="69">
        <f t="shared" si="0"/>
        <v>5.94</v>
      </c>
      <c r="O9" s="58">
        <f t="shared" si="1"/>
        <v>105</v>
      </c>
      <c r="P9" s="85">
        <v>2</v>
      </c>
      <c r="Q9" s="59">
        <f t="shared" si="2"/>
        <v>110.94</v>
      </c>
    </row>
    <row r="10" spans="1:19" ht="14.5" x14ac:dyDescent="0.35">
      <c r="A10" s="54" t="s">
        <v>92</v>
      </c>
      <c r="B10" s="55" t="s">
        <v>58</v>
      </c>
      <c r="C10" s="55" t="s">
        <v>83</v>
      </c>
      <c r="D10" s="55">
        <v>113</v>
      </c>
      <c r="E10" s="55"/>
      <c r="F10" s="55"/>
      <c r="G10" s="55">
        <v>110</v>
      </c>
      <c r="H10" s="55">
        <v>107</v>
      </c>
      <c r="I10" s="70"/>
      <c r="J10" s="55"/>
      <c r="K10" s="55">
        <v>110</v>
      </c>
      <c r="L10" s="80">
        <v>103</v>
      </c>
      <c r="M10" s="69">
        <f t="shared" si="3"/>
        <v>108.6</v>
      </c>
      <c r="N10" s="69">
        <f t="shared" si="0"/>
        <v>7.5240000000000045</v>
      </c>
      <c r="O10" s="58">
        <f t="shared" si="1"/>
        <v>103</v>
      </c>
      <c r="P10" s="85">
        <v>2</v>
      </c>
      <c r="Q10" s="59">
        <f t="shared" si="2"/>
        <v>110.524</v>
      </c>
    </row>
    <row r="11" spans="1:19" ht="14.5" x14ac:dyDescent="0.35">
      <c r="A11" s="54" t="s">
        <v>76</v>
      </c>
      <c r="B11" s="55" t="s">
        <v>58</v>
      </c>
      <c r="C11" s="55" t="s">
        <v>134</v>
      </c>
      <c r="D11" s="55"/>
      <c r="E11" s="55">
        <v>113</v>
      </c>
      <c r="F11" s="55">
        <v>111</v>
      </c>
      <c r="G11" s="55">
        <v>113</v>
      </c>
      <c r="H11" s="55">
        <v>101</v>
      </c>
      <c r="I11" s="70"/>
      <c r="J11" s="55">
        <v>112</v>
      </c>
      <c r="K11" s="55">
        <v>115</v>
      </c>
      <c r="L11" s="80">
        <v>103</v>
      </c>
      <c r="M11" s="69">
        <f t="shared" si="3"/>
        <v>109.71428571428571</v>
      </c>
      <c r="N11" s="69">
        <f t="shared" si="0"/>
        <v>6.7885714285714327</v>
      </c>
      <c r="O11" s="58">
        <f t="shared" si="1"/>
        <v>103</v>
      </c>
      <c r="P11" s="85">
        <v>0</v>
      </c>
      <c r="Q11" s="59">
        <f t="shared" si="2"/>
        <v>109.78857142857143</v>
      </c>
    </row>
    <row r="12" spans="1:19" ht="14.5" x14ac:dyDescent="0.35">
      <c r="A12" s="54" t="s">
        <v>118</v>
      </c>
      <c r="B12" s="55" t="s">
        <v>58</v>
      </c>
      <c r="C12" s="55" t="s">
        <v>134</v>
      </c>
      <c r="D12" s="55">
        <v>114</v>
      </c>
      <c r="E12" s="55"/>
      <c r="F12" s="55">
        <v>107</v>
      </c>
      <c r="G12" s="55">
        <v>111</v>
      </c>
      <c r="H12" s="55"/>
      <c r="I12" s="70"/>
      <c r="J12" s="55"/>
      <c r="K12" s="55">
        <v>112</v>
      </c>
      <c r="L12" s="80">
        <v>100</v>
      </c>
      <c r="M12" s="69">
        <f>AVERAGE(D12:K12)</f>
        <v>111</v>
      </c>
      <c r="N12" s="69">
        <f t="shared" si="0"/>
        <v>5.94</v>
      </c>
      <c r="O12" s="58">
        <f t="shared" si="1"/>
        <v>100</v>
      </c>
      <c r="P12" s="85">
        <v>1</v>
      </c>
      <c r="Q12" s="59">
        <f t="shared" si="2"/>
        <v>105.94</v>
      </c>
    </row>
    <row r="13" spans="1:19" ht="14.5" x14ac:dyDescent="0.35">
      <c r="A13" s="54" t="s">
        <v>31</v>
      </c>
      <c r="B13" s="55" t="s">
        <v>58</v>
      </c>
      <c r="C13" s="55" t="s">
        <v>134</v>
      </c>
      <c r="D13" s="55">
        <v>114</v>
      </c>
      <c r="E13" s="55">
        <v>116</v>
      </c>
      <c r="F13" s="55"/>
      <c r="G13" s="55">
        <v>112</v>
      </c>
      <c r="H13" s="55"/>
      <c r="I13" s="70"/>
      <c r="J13" s="55"/>
      <c r="K13" s="55">
        <v>115</v>
      </c>
      <c r="L13" s="80">
        <v>100</v>
      </c>
      <c r="M13" s="69">
        <f>AVERAGE(D13:K13)</f>
        <v>114.25</v>
      </c>
      <c r="N13" s="69">
        <f t="shared" si="0"/>
        <v>3.7950000000000004</v>
      </c>
      <c r="O13" s="58">
        <f t="shared" si="1"/>
        <v>100</v>
      </c>
      <c r="P13" s="85">
        <v>0</v>
      </c>
      <c r="Q13" s="59">
        <f t="shared" si="2"/>
        <v>103.795</v>
      </c>
    </row>
    <row r="14" spans="1:19" ht="14.5" x14ac:dyDescent="0.35">
      <c r="A14" s="54" t="s">
        <v>70</v>
      </c>
      <c r="B14" s="55" t="s">
        <v>58</v>
      </c>
      <c r="C14" s="55" t="s">
        <v>59</v>
      </c>
      <c r="D14" s="55">
        <v>116</v>
      </c>
      <c r="E14" s="55"/>
      <c r="F14" s="55"/>
      <c r="G14" s="55">
        <v>110</v>
      </c>
      <c r="H14" s="55">
        <v>106</v>
      </c>
      <c r="I14" s="70"/>
      <c r="J14" s="55">
        <v>105</v>
      </c>
      <c r="K14" s="55">
        <v>118</v>
      </c>
      <c r="L14" s="80">
        <v>97</v>
      </c>
      <c r="M14" s="69">
        <f>AVERAGE(D14:L14)</f>
        <v>108.66666666666667</v>
      </c>
      <c r="N14" s="69">
        <f t="shared" si="0"/>
        <v>7.4799999999999969</v>
      </c>
      <c r="O14" s="58">
        <f t="shared" si="1"/>
        <v>97</v>
      </c>
      <c r="P14" s="85">
        <v>0</v>
      </c>
      <c r="Q14" s="59">
        <f t="shared" si="2"/>
        <v>104.47999999999999</v>
      </c>
      <c r="S14" s="82"/>
    </row>
    <row r="15" spans="1:19" ht="14.5" x14ac:dyDescent="0.35">
      <c r="A15" s="54" t="s">
        <v>93</v>
      </c>
      <c r="B15" s="55" t="s">
        <v>58</v>
      </c>
      <c r="C15" s="55" t="s">
        <v>83</v>
      </c>
      <c r="D15" s="55"/>
      <c r="E15" s="55"/>
      <c r="F15" s="55"/>
      <c r="G15" s="55">
        <v>101</v>
      </c>
      <c r="H15" s="55">
        <v>107</v>
      </c>
      <c r="I15" s="70"/>
      <c r="J15" s="55"/>
      <c r="K15" s="55">
        <v>109</v>
      </c>
      <c r="L15" s="80">
        <v>96</v>
      </c>
      <c r="M15" s="69">
        <f>AVERAGE(D15:L15)</f>
        <v>103.25</v>
      </c>
      <c r="N15" s="69">
        <f t="shared" si="0"/>
        <v>11.055</v>
      </c>
      <c r="O15" s="58">
        <f t="shared" si="1"/>
        <v>96</v>
      </c>
      <c r="P15" s="85">
        <v>3</v>
      </c>
      <c r="Q15" s="59">
        <f t="shared" si="2"/>
        <v>107.05500000000001</v>
      </c>
    </row>
    <row r="16" spans="1:19" ht="14.5" x14ac:dyDescent="0.35">
      <c r="A16" s="54" t="s">
        <v>135</v>
      </c>
      <c r="B16" s="55" t="s">
        <v>58</v>
      </c>
      <c r="C16" s="55" t="s">
        <v>83</v>
      </c>
      <c r="D16" s="55"/>
      <c r="E16" s="55"/>
      <c r="F16" s="55"/>
      <c r="G16" s="55"/>
      <c r="H16" s="55"/>
      <c r="I16" s="70"/>
      <c r="J16" s="55">
        <v>113</v>
      </c>
      <c r="K16" s="55">
        <v>109</v>
      </c>
      <c r="L16" s="80">
        <v>94</v>
      </c>
      <c r="M16" s="69">
        <f t="shared" ref="M16:M53" si="4">AVERAGE(D16:K16)</f>
        <v>111</v>
      </c>
      <c r="N16" s="69">
        <f t="shared" si="0"/>
        <v>5.94</v>
      </c>
      <c r="O16" s="58">
        <f t="shared" si="1"/>
        <v>94</v>
      </c>
      <c r="P16" s="85">
        <v>2</v>
      </c>
      <c r="Q16" s="59">
        <f t="shared" si="2"/>
        <v>99.94</v>
      </c>
    </row>
    <row r="17" spans="1:17" ht="14.5" x14ac:dyDescent="0.35">
      <c r="A17" s="54" t="s">
        <v>114</v>
      </c>
      <c r="B17" s="55" t="s">
        <v>58</v>
      </c>
      <c r="C17" s="55" t="s">
        <v>134</v>
      </c>
      <c r="D17" s="55">
        <v>98</v>
      </c>
      <c r="E17" s="55"/>
      <c r="F17" s="55"/>
      <c r="G17" s="55"/>
      <c r="H17" s="55">
        <v>87</v>
      </c>
      <c r="I17" s="70"/>
      <c r="J17" s="55"/>
      <c r="K17" s="55">
        <v>104</v>
      </c>
      <c r="L17" s="80">
        <v>86</v>
      </c>
      <c r="M17" s="69">
        <f t="shared" si="4"/>
        <v>96.333333333333329</v>
      </c>
      <c r="N17" s="69">
        <f t="shared" si="0"/>
        <v>13.2</v>
      </c>
      <c r="O17" s="58">
        <f t="shared" si="1"/>
        <v>86</v>
      </c>
      <c r="P17" s="85">
        <v>1</v>
      </c>
      <c r="Q17" s="59">
        <f t="shared" si="2"/>
        <v>99.2</v>
      </c>
    </row>
    <row r="18" spans="1:17" ht="14.5" hidden="1" x14ac:dyDescent="0.35">
      <c r="A18" s="54" t="s">
        <v>86</v>
      </c>
      <c r="B18" s="55" t="s">
        <v>58</v>
      </c>
      <c r="C18" s="55" t="s">
        <v>83</v>
      </c>
      <c r="D18" s="55">
        <v>108</v>
      </c>
      <c r="E18" s="55"/>
      <c r="F18" s="55"/>
      <c r="G18" s="55"/>
      <c r="H18" s="55"/>
      <c r="I18" s="70"/>
      <c r="J18" s="55"/>
      <c r="K18" s="55"/>
      <c r="L18" s="80"/>
      <c r="M18" s="69">
        <f t="shared" si="4"/>
        <v>108</v>
      </c>
      <c r="N18" s="69">
        <f t="shared" si="0"/>
        <v>7.92</v>
      </c>
      <c r="O18" s="58">
        <f t="shared" si="1"/>
        <v>0</v>
      </c>
      <c r="P18" s="85"/>
      <c r="Q18" s="59">
        <f t="shared" si="2"/>
        <v>0</v>
      </c>
    </row>
    <row r="19" spans="1:17" ht="15.75" hidden="1" customHeight="1" x14ac:dyDescent="0.35">
      <c r="A19" s="54" t="s">
        <v>73</v>
      </c>
      <c r="B19" s="55" t="s">
        <v>58</v>
      </c>
      <c r="C19" s="55" t="s">
        <v>59</v>
      </c>
      <c r="D19" s="55">
        <v>115</v>
      </c>
      <c r="E19" s="55"/>
      <c r="F19" s="55"/>
      <c r="G19" s="55">
        <v>114</v>
      </c>
      <c r="H19" s="55">
        <v>103</v>
      </c>
      <c r="I19" s="70"/>
      <c r="J19" s="55">
        <v>106</v>
      </c>
      <c r="K19" s="55">
        <v>101</v>
      </c>
      <c r="L19" s="80"/>
      <c r="M19" s="69">
        <f t="shared" si="4"/>
        <v>107.8</v>
      </c>
      <c r="N19" s="69">
        <f t="shared" si="0"/>
        <v>8.0520000000000014</v>
      </c>
      <c r="O19" s="58">
        <f t="shared" si="1"/>
        <v>0</v>
      </c>
      <c r="P19" s="85"/>
      <c r="Q19" s="59">
        <f t="shared" si="2"/>
        <v>0</v>
      </c>
    </row>
    <row r="20" spans="1:17" ht="15.75" hidden="1" customHeight="1" x14ac:dyDescent="0.35">
      <c r="A20" s="54" t="s">
        <v>64</v>
      </c>
      <c r="B20" s="55" t="s">
        <v>58</v>
      </c>
      <c r="C20" s="55" t="s">
        <v>59</v>
      </c>
      <c r="D20" s="55">
        <v>117</v>
      </c>
      <c r="E20" s="55">
        <v>119</v>
      </c>
      <c r="F20" s="55"/>
      <c r="G20" s="55"/>
      <c r="H20" s="55"/>
      <c r="I20" s="70"/>
      <c r="J20" s="55"/>
      <c r="K20" s="55">
        <v>120</v>
      </c>
      <c r="L20" s="80"/>
      <c r="M20" s="69">
        <f t="shared" si="4"/>
        <v>118.66666666666667</v>
      </c>
      <c r="N20" s="69">
        <f t="shared" si="0"/>
        <v>0.8799999999999969</v>
      </c>
      <c r="O20" s="58">
        <f t="shared" si="1"/>
        <v>0</v>
      </c>
      <c r="P20" s="85"/>
      <c r="Q20" s="59">
        <f t="shared" si="2"/>
        <v>0</v>
      </c>
    </row>
    <row r="21" spans="1:17" ht="15.75" hidden="1" customHeight="1" x14ac:dyDescent="0.35">
      <c r="A21" s="54" t="s">
        <v>62</v>
      </c>
      <c r="B21" s="55" t="s">
        <v>58</v>
      </c>
      <c r="C21" s="55" t="s">
        <v>59</v>
      </c>
      <c r="D21" s="55">
        <v>114</v>
      </c>
      <c r="E21" s="55"/>
      <c r="F21" s="55"/>
      <c r="G21" s="55"/>
      <c r="H21" s="55"/>
      <c r="I21" s="70"/>
      <c r="J21" s="55"/>
      <c r="K21" s="55"/>
      <c r="L21" s="80"/>
      <c r="M21" s="69">
        <f t="shared" si="4"/>
        <v>114</v>
      </c>
      <c r="N21" s="69">
        <f t="shared" si="0"/>
        <v>3.96</v>
      </c>
      <c r="O21" s="58">
        <f t="shared" si="1"/>
        <v>0</v>
      </c>
      <c r="P21" s="85"/>
      <c r="Q21" s="59">
        <f t="shared" si="2"/>
        <v>0</v>
      </c>
    </row>
    <row r="22" spans="1:17" ht="15.75" hidden="1" customHeight="1" x14ac:dyDescent="0.35">
      <c r="A22" s="54" t="s">
        <v>75</v>
      </c>
      <c r="B22" s="55" t="s">
        <v>58</v>
      </c>
      <c r="C22" s="55" t="s">
        <v>59</v>
      </c>
      <c r="D22" s="55"/>
      <c r="E22" s="55"/>
      <c r="F22" s="55">
        <v>110</v>
      </c>
      <c r="G22" s="55">
        <v>106</v>
      </c>
      <c r="H22" s="55">
        <v>114</v>
      </c>
      <c r="I22" s="70"/>
      <c r="J22" s="55"/>
      <c r="K22" s="55">
        <v>117</v>
      </c>
      <c r="L22" s="80"/>
      <c r="M22" s="69">
        <f t="shared" si="4"/>
        <v>111.75</v>
      </c>
      <c r="N22" s="69">
        <f t="shared" si="0"/>
        <v>5.4450000000000003</v>
      </c>
      <c r="O22" s="58">
        <f t="shared" si="1"/>
        <v>0</v>
      </c>
      <c r="P22" s="85"/>
      <c r="Q22" s="59">
        <f t="shared" si="2"/>
        <v>0</v>
      </c>
    </row>
    <row r="23" spans="1:17" ht="15.75" hidden="1" customHeight="1" x14ac:dyDescent="0.35">
      <c r="A23" s="54" t="s">
        <v>57</v>
      </c>
      <c r="B23" s="55" t="s">
        <v>58</v>
      </c>
      <c r="C23" s="55" t="s">
        <v>59</v>
      </c>
      <c r="D23" s="55">
        <v>118</v>
      </c>
      <c r="E23" s="55"/>
      <c r="F23" s="55"/>
      <c r="G23" s="55"/>
      <c r="H23" s="55"/>
      <c r="I23" s="70"/>
      <c r="J23" s="55"/>
      <c r="K23" s="55"/>
      <c r="L23" s="80"/>
      <c r="M23" s="69">
        <f t="shared" si="4"/>
        <v>118</v>
      </c>
      <c r="N23" s="69">
        <f t="shared" si="0"/>
        <v>1.32</v>
      </c>
      <c r="O23" s="58">
        <f t="shared" si="1"/>
        <v>0</v>
      </c>
      <c r="P23" s="85"/>
      <c r="Q23" s="59">
        <f t="shared" si="2"/>
        <v>0</v>
      </c>
    </row>
    <row r="24" spans="1:17" ht="15.75" hidden="1" customHeight="1" x14ac:dyDescent="0.35">
      <c r="A24" s="54" t="s">
        <v>68</v>
      </c>
      <c r="B24" s="55" t="s">
        <v>58</v>
      </c>
      <c r="C24" s="55" t="s">
        <v>59</v>
      </c>
      <c r="D24" s="55">
        <v>112</v>
      </c>
      <c r="E24" s="55">
        <v>118</v>
      </c>
      <c r="F24" s="55">
        <v>110</v>
      </c>
      <c r="G24" s="55"/>
      <c r="H24" s="55"/>
      <c r="I24" s="70"/>
      <c r="J24" s="55"/>
      <c r="K24" s="55"/>
      <c r="L24" s="80"/>
      <c r="M24" s="69">
        <f t="shared" si="4"/>
        <v>113.33333333333333</v>
      </c>
      <c r="N24" s="69">
        <f t="shared" si="0"/>
        <v>4.400000000000003</v>
      </c>
      <c r="O24" s="58">
        <f t="shared" si="1"/>
        <v>0</v>
      </c>
      <c r="P24" s="85"/>
      <c r="Q24" s="59">
        <f t="shared" si="2"/>
        <v>0</v>
      </c>
    </row>
    <row r="25" spans="1:17" ht="15.75" hidden="1" customHeight="1" x14ac:dyDescent="0.35">
      <c r="A25" s="54" t="s">
        <v>19</v>
      </c>
      <c r="B25" s="55" t="s">
        <v>58</v>
      </c>
      <c r="C25" s="55" t="s">
        <v>134</v>
      </c>
      <c r="D25" s="55"/>
      <c r="E25" s="55">
        <v>114</v>
      </c>
      <c r="F25" s="55"/>
      <c r="G25" s="55"/>
      <c r="H25" s="55"/>
      <c r="I25" s="70"/>
      <c r="J25" s="55"/>
      <c r="K25" s="55">
        <v>115</v>
      </c>
      <c r="L25" s="80"/>
      <c r="M25" s="69">
        <f t="shared" si="4"/>
        <v>114.5</v>
      </c>
      <c r="N25" s="69">
        <f t="shared" si="0"/>
        <v>3.6300000000000003</v>
      </c>
      <c r="O25" s="58">
        <f t="shared" si="1"/>
        <v>0</v>
      </c>
      <c r="P25" s="85"/>
      <c r="Q25" s="59">
        <f t="shared" si="2"/>
        <v>0</v>
      </c>
    </row>
    <row r="26" spans="1:17" ht="15.75" hidden="1" customHeight="1" x14ac:dyDescent="0.35">
      <c r="A26" s="54" t="s">
        <v>26</v>
      </c>
      <c r="B26" s="55" t="s">
        <v>58</v>
      </c>
      <c r="C26" s="55" t="s">
        <v>134</v>
      </c>
      <c r="D26" s="55">
        <v>114</v>
      </c>
      <c r="E26" s="55"/>
      <c r="F26" s="55"/>
      <c r="G26" s="55"/>
      <c r="H26" s="55">
        <v>94</v>
      </c>
      <c r="I26" s="70"/>
      <c r="J26" s="55"/>
      <c r="K26" s="55"/>
      <c r="L26" s="80"/>
      <c r="M26" s="69">
        <f t="shared" si="4"/>
        <v>104</v>
      </c>
      <c r="N26" s="69">
        <f t="shared" si="0"/>
        <v>10.56</v>
      </c>
      <c r="O26" s="58">
        <f t="shared" si="1"/>
        <v>0</v>
      </c>
      <c r="P26" s="85"/>
      <c r="Q26" s="59">
        <f t="shared" si="2"/>
        <v>0</v>
      </c>
    </row>
    <row r="27" spans="1:17" ht="15.75" hidden="1" customHeight="1" x14ac:dyDescent="0.35">
      <c r="A27" s="87" t="s">
        <v>51</v>
      </c>
      <c r="B27" s="88" t="s">
        <v>58</v>
      </c>
      <c r="C27" s="88" t="s">
        <v>134</v>
      </c>
      <c r="D27" s="88"/>
      <c r="E27" s="88"/>
      <c r="F27" s="88"/>
      <c r="G27" s="88"/>
      <c r="H27" s="88"/>
      <c r="I27" s="89"/>
      <c r="J27" s="88">
        <v>118</v>
      </c>
      <c r="K27" s="88">
        <v>118</v>
      </c>
      <c r="L27" s="90"/>
      <c r="M27" s="91">
        <f t="shared" si="4"/>
        <v>118</v>
      </c>
      <c r="N27" s="91">
        <f t="shared" si="0"/>
        <v>1.32</v>
      </c>
      <c r="O27" s="58">
        <f t="shared" si="1"/>
        <v>0</v>
      </c>
      <c r="P27" s="86"/>
      <c r="Q27" s="59">
        <f t="shared" si="2"/>
        <v>0</v>
      </c>
    </row>
    <row r="28" spans="1:17" ht="15.75" hidden="1" customHeight="1" x14ac:dyDescent="0.35">
      <c r="A28" s="87" t="s">
        <v>23</v>
      </c>
      <c r="B28" s="88" t="s">
        <v>58</v>
      </c>
      <c r="C28" s="88" t="s">
        <v>134</v>
      </c>
      <c r="D28" s="88"/>
      <c r="E28" s="88"/>
      <c r="F28" s="88">
        <v>105</v>
      </c>
      <c r="G28" s="88">
        <v>99</v>
      </c>
      <c r="H28" s="88"/>
      <c r="I28" s="89"/>
      <c r="J28" s="88"/>
      <c r="K28" s="88">
        <v>106</v>
      </c>
      <c r="L28" s="90"/>
      <c r="M28" s="91">
        <f t="shared" si="4"/>
        <v>103.33333333333333</v>
      </c>
      <c r="N28" s="91">
        <f t="shared" si="0"/>
        <v>11.000000000000004</v>
      </c>
      <c r="O28" s="58">
        <f t="shared" si="1"/>
        <v>0</v>
      </c>
      <c r="P28" s="85"/>
      <c r="Q28" s="59">
        <f t="shared" si="2"/>
        <v>0</v>
      </c>
    </row>
    <row r="29" spans="1:17" ht="15.75" hidden="1" customHeight="1" x14ac:dyDescent="0.35">
      <c r="A29" s="87" t="s">
        <v>149</v>
      </c>
      <c r="B29" s="88" t="s">
        <v>58</v>
      </c>
      <c r="C29" s="88" t="s">
        <v>134</v>
      </c>
      <c r="D29" s="88"/>
      <c r="E29" s="88"/>
      <c r="F29" s="88"/>
      <c r="G29" s="88"/>
      <c r="H29" s="88"/>
      <c r="I29" s="89"/>
      <c r="J29" s="88">
        <v>117</v>
      </c>
      <c r="K29" s="88">
        <v>117</v>
      </c>
      <c r="L29" s="90"/>
      <c r="M29" s="91">
        <f t="shared" si="4"/>
        <v>117</v>
      </c>
      <c r="N29" s="91">
        <f t="shared" si="0"/>
        <v>1.98</v>
      </c>
      <c r="O29" s="58">
        <f t="shared" si="1"/>
        <v>0</v>
      </c>
      <c r="P29" s="86"/>
      <c r="Q29" s="59">
        <f t="shared" si="2"/>
        <v>0</v>
      </c>
    </row>
    <row r="30" spans="1:17" ht="15.75" hidden="1" customHeight="1" x14ac:dyDescent="0.35">
      <c r="A30" s="54" t="s">
        <v>36</v>
      </c>
      <c r="B30" s="55" t="s">
        <v>58</v>
      </c>
      <c r="C30" s="55" t="s">
        <v>134</v>
      </c>
      <c r="D30" s="55"/>
      <c r="E30" s="55">
        <v>116</v>
      </c>
      <c r="F30" s="55">
        <v>116</v>
      </c>
      <c r="G30" s="55"/>
      <c r="H30" s="55">
        <v>106</v>
      </c>
      <c r="I30" s="70"/>
      <c r="J30" s="55"/>
      <c r="K30" s="55">
        <v>120</v>
      </c>
      <c r="L30" s="80"/>
      <c r="M30" s="69">
        <f t="shared" si="4"/>
        <v>114.5</v>
      </c>
      <c r="N30" s="69">
        <f t="shared" si="0"/>
        <v>3.6300000000000003</v>
      </c>
      <c r="O30" s="58">
        <f t="shared" si="1"/>
        <v>0</v>
      </c>
      <c r="P30" s="85"/>
      <c r="Q30" s="59">
        <f t="shared" si="2"/>
        <v>0</v>
      </c>
    </row>
    <row r="31" spans="1:17" ht="15.75" hidden="1" customHeight="1" x14ac:dyDescent="0.35">
      <c r="A31" s="54" t="s">
        <v>34</v>
      </c>
      <c r="B31" s="55" t="s">
        <v>58</v>
      </c>
      <c r="C31" s="55" t="s">
        <v>134</v>
      </c>
      <c r="D31" s="55">
        <v>119</v>
      </c>
      <c r="E31" s="55"/>
      <c r="F31" s="55"/>
      <c r="G31" s="55">
        <v>112</v>
      </c>
      <c r="H31" s="55">
        <v>115</v>
      </c>
      <c r="I31" s="70"/>
      <c r="J31" s="55"/>
      <c r="K31" s="55">
        <v>119</v>
      </c>
      <c r="L31" s="80"/>
      <c r="M31" s="69">
        <f t="shared" si="4"/>
        <v>116.25</v>
      </c>
      <c r="N31" s="69">
        <f t="shared" si="0"/>
        <v>2.4750000000000001</v>
      </c>
      <c r="O31" s="58">
        <f t="shared" si="1"/>
        <v>0</v>
      </c>
      <c r="P31" s="85"/>
      <c r="Q31" s="59">
        <f t="shared" si="2"/>
        <v>0</v>
      </c>
    </row>
    <row r="32" spans="1:17" ht="15.75" hidden="1" customHeight="1" x14ac:dyDescent="0.35">
      <c r="A32" s="54" t="s">
        <v>33</v>
      </c>
      <c r="B32" s="55" t="s">
        <v>58</v>
      </c>
      <c r="C32" s="55" t="s">
        <v>134</v>
      </c>
      <c r="D32" s="55">
        <v>115</v>
      </c>
      <c r="E32" s="55"/>
      <c r="F32" s="55">
        <v>115</v>
      </c>
      <c r="G32" s="55"/>
      <c r="H32" s="55"/>
      <c r="I32" s="70"/>
      <c r="J32" s="55"/>
      <c r="K32" s="55"/>
      <c r="L32" s="80"/>
      <c r="M32" s="69">
        <f t="shared" si="4"/>
        <v>115</v>
      </c>
      <c r="N32" s="69">
        <f t="shared" si="0"/>
        <v>3.3000000000000003</v>
      </c>
      <c r="O32" s="58">
        <f t="shared" si="1"/>
        <v>0</v>
      </c>
      <c r="P32" s="85"/>
      <c r="Q32" s="59">
        <f t="shared" si="2"/>
        <v>0</v>
      </c>
    </row>
    <row r="33" spans="1:17" ht="15.75" hidden="1" customHeight="1" x14ac:dyDescent="0.35">
      <c r="A33" s="54" t="s">
        <v>44</v>
      </c>
      <c r="B33" s="55" t="s">
        <v>58</v>
      </c>
      <c r="C33" s="55" t="s">
        <v>134</v>
      </c>
      <c r="D33" s="55"/>
      <c r="E33" s="55"/>
      <c r="F33" s="55"/>
      <c r="G33" s="55">
        <v>115</v>
      </c>
      <c r="H33" s="55"/>
      <c r="I33" s="70"/>
      <c r="J33" s="55"/>
      <c r="K33" s="55"/>
      <c r="L33" s="80"/>
      <c r="M33" s="69">
        <f t="shared" si="4"/>
        <v>115</v>
      </c>
      <c r="N33" s="69">
        <f t="shared" si="0"/>
        <v>3.3000000000000003</v>
      </c>
      <c r="O33" s="58">
        <f t="shared" si="1"/>
        <v>0</v>
      </c>
      <c r="P33" s="85"/>
      <c r="Q33" s="59">
        <f t="shared" si="2"/>
        <v>0</v>
      </c>
    </row>
    <row r="34" spans="1:17" ht="15.75" hidden="1" customHeight="1" x14ac:dyDescent="0.35">
      <c r="A34" s="54" t="s">
        <v>47</v>
      </c>
      <c r="B34" s="55" t="s">
        <v>58</v>
      </c>
      <c r="C34" s="55" t="s">
        <v>134</v>
      </c>
      <c r="D34" s="55"/>
      <c r="E34" s="55"/>
      <c r="F34" s="55"/>
      <c r="G34" s="55"/>
      <c r="H34" s="55">
        <v>107</v>
      </c>
      <c r="I34" s="70"/>
      <c r="J34" s="55"/>
      <c r="K34" s="55"/>
      <c r="L34" s="80"/>
      <c r="M34" s="69">
        <f t="shared" si="4"/>
        <v>107</v>
      </c>
      <c r="N34" s="69">
        <f t="shared" si="0"/>
        <v>8.58</v>
      </c>
      <c r="O34" s="58">
        <f t="shared" si="1"/>
        <v>0</v>
      </c>
      <c r="P34" s="85"/>
      <c r="Q34" s="59">
        <f t="shared" si="2"/>
        <v>0</v>
      </c>
    </row>
    <row r="35" spans="1:17" ht="15.75" hidden="1" customHeight="1" x14ac:dyDescent="0.35">
      <c r="A35" s="54" t="s">
        <v>24</v>
      </c>
      <c r="B35" s="55" t="s">
        <v>58</v>
      </c>
      <c r="C35" s="55" t="s">
        <v>134</v>
      </c>
      <c r="D35" s="55"/>
      <c r="E35" s="55"/>
      <c r="F35" s="55"/>
      <c r="G35" s="55"/>
      <c r="H35" s="55">
        <v>109</v>
      </c>
      <c r="I35" s="70"/>
      <c r="J35" s="55"/>
      <c r="K35" s="55"/>
      <c r="L35" s="80"/>
      <c r="M35" s="69">
        <f t="shared" si="4"/>
        <v>109</v>
      </c>
      <c r="N35" s="69">
        <f t="shared" si="0"/>
        <v>7.2600000000000007</v>
      </c>
      <c r="O35" s="58">
        <f t="shared" ref="O35:O66" si="5">L35</f>
        <v>0</v>
      </c>
      <c r="P35" s="85"/>
      <c r="Q35" s="59">
        <f t="shared" ref="Q35:Q66" si="6">IF(ISBLANK(L35), 0, L35 + N35)</f>
        <v>0</v>
      </c>
    </row>
    <row r="36" spans="1:17" ht="15.75" hidden="1" customHeight="1" x14ac:dyDescent="0.35">
      <c r="A36" s="54" t="s">
        <v>25</v>
      </c>
      <c r="B36" s="55" t="s">
        <v>58</v>
      </c>
      <c r="C36" s="55" t="s">
        <v>134</v>
      </c>
      <c r="D36" s="55"/>
      <c r="E36" s="55"/>
      <c r="F36" s="55">
        <v>114</v>
      </c>
      <c r="G36" s="55"/>
      <c r="H36" s="55"/>
      <c r="I36" s="70"/>
      <c r="J36" s="55"/>
      <c r="K36" s="55"/>
      <c r="L36" s="80"/>
      <c r="M36" s="69">
        <f t="shared" si="4"/>
        <v>114</v>
      </c>
      <c r="N36" s="69">
        <f t="shared" si="0"/>
        <v>3.96</v>
      </c>
      <c r="O36" s="58">
        <f t="shared" si="5"/>
        <v>0</v>
      </c>
      <c r="P36" s="85"/>
      <c r="Q36" s="59">
        <f t="shared" si="6"/>
        <v>0</v>
      </c>
    </row>
    <row r="37" spans="1:17" ht="15.75" hidden="1" customHeight="1" x14ac:dyDescent="0.35">
      <c r="A37" s="54" t="s">
        <v>94</v>
      </c>
      <c r="B37" s="55" t="s">
        <v>58</v>
      </c>
      <c r="C37" s="55" t="s">
        <v>95</v>
      </c>
      <c r="D37" s="55">
        <v>106</v>
      </c>
      <c r="E37" s="55">
        <v>103</v>
      </c>
      <c r="F37" s="55"/>
      <c r="G37" s="55"/>
      <c r="H37" s="55"/>
      <c r="I37" s="70"/>
      <c r="J37" s="55">
        <v>106</v>
      </c>
      <c r="K37" s="55"/>
      <c r="L37" s="80"/>
      <c r="M37" s="69">
        <f t="shared" si="4"/>
        <v>105</v>
      </c>
      <c r="N37" s="69">
        <f t="shared" si="0"/>
        <v>9.9</v>
      </c>
      <c r="O37" s="58">
        <f t="shared" si="5"/>
        <v>0</v>
      </c>
      <c r="P37" s="85"/>
      <c r="Q37" s="59">
        <f t="shared" si="6"/>
        <v>0</v>
      </c>
    </row>
    <row r="38" spans="1:17" ht="15.75" hidden="1" customHeight="1" x14ac:dyDescent="0.35">
      <c r="A38" s="54" t="s">
        <v>96</v>
      </c>
      <c r="B38" s="55" t="s">
        <v>58</v>
      </c>
      <c r="C38" s="55" t="s">
        <v>95</v>
      </c>
      <c r="D38" s="55">
        <v>100</v>
      </c>
      <c r="E38" s="55"/>
      <c r="F38" s="55"/>
      <c r="G38" s="55"/>
      <c r="H38" s="55"/>
      <c r="I38" s="70"/>
      <c r="J38" s="55"/>
      <c r="K38" s="55"/>
      <c r="L38" s="80"/>
      <c r="M38" s="69">
        <f t="shared" si="4"/>
        <v>100</v>
      </c>
      <c r="N38" s="69">
        <f t="shared" si="0"/>
        <v>13.2</v>
      </c>
      <c r="O38" s="58">
        <f t="shared" si="5"/>
        <v>0</v>
      </c>
      <c r="P38" s="85"/>
      <c r="Q38" s="59">
        <f t="shared" si="6"/>
        <v>0</v>
      </c>
    </row>
    <row r="39" spans="1:17" ht="15.75" hidden="1" customHeight="1" x14ac:dyDescent="0.35">
      <c r="A39" s="78" t="s">
        <v>146</v>
      </c>
      <c r="B39" s="71" t="s">
        <v>58</v>
      </c>
      <c r="C39" s="71" t="s">
        <v>144</v>
      </c>
      <c r="D39" s="71"/>
      <c r="E39" s="71"/>
      <c r="F39" s="71"/>
      <c r="G39" s="71"/>
      <c r="H39" s="71"/>
      <c r="I39" s="72"/>
      <c r="J39" s="71">
        <v>119</v>
      </c>
      <c r="K39" s="71">
        <v>119</v>
      </c>
      <c r="L39" s="80"/>
      <c r="M39" s="69">
        <f t="shared" si="4"/>
        <v>119</v>
      </c>
      <c r="N39" s="69">
        <f t="shared" si="0"/>
        <v>0.66</v>
      </c>
      <c r="O39" s="58">
        <f t="shared" si="5"/>
        <v>0</v>
      </c>
      <c r="P39" s="86"/>
      <c r="Q39" s="59">
        <f t="shared" si="6"/>
        <v>0</v>
      </c>
    </row>
    <row r="40" spans="1:17" ht="15.75" hidden="1" customHeight="1" x14ac:dyDescent="0.35">
      <c r="A40" s="54" t="s">
        <v>63</v>
      </c>
      <c r="B40" s="55" t="s">
        <v>58</v>
      </c>
      <c r="C40" s="55" t="s">
        <v>144</v>
      </c>
      <c r="D40" s="55">
        <v>114</v>
      </c>
      <c r="E40" s="55">
        <v>119</v>
      </c>
      <c r="F40" s="55">
        <v>117</v>
      </c>
      <c r="G40" s="55"/>
      <c r="H40" s="55"/>
      <c r="I40" s="70"/>
      <c r="J40" s="55">
        <v>113</v>
      </c>
      <c r="K40" s="55">
        <f>58+56</f>
        <v>114</v>
      </c>
      <c r="L40" s="80"/>
      <c r="M40" s="69">
        <f t="shared" si="4"/>
        <v>115.4</v>
      </c>
      <c r="N40" s="69">
        <f t="shared" si="0"/>
        <v>3.0359999999999965</v>
      </c>
      <c r="O40" s="58">
        <f t="shared" si="5"/>
        <v>0</v>
      </c>
      <c r="P40" s="85"/>
      <c r="Q40" s="59">
        <f t="shared" si="6"/>
        <v>0</v>
      </c>
    </row>
    <row r="41" spans="1:17" ht="15.75" hidden="1" customHeight="1" x14ac:dyDescent="0.35">
      <c r="A41" s="54" t="s">
        <v>145</v>
      </c>
      <c r="B41" s="55" t="s">
        <v>58</v>
      </c>
      <c r="C41" s="55" t="s">
        <v>144</v>
      </c>
      <c r="D41" s="55"/>
      <c r="E41" s="55"/>
      <c r="F41" s="55"/>
      <c r="G41" s="55"/>
      <c r="H41" s="55"/>
      <c r="I41" s="70"/>
      <c r="J41" s="55">
        <v>116</v>
      </c>
      <c r="K41" s="55">
        <f>58+58</f>
        <v>116</v>
      </c>
      <c r="L41" s="80"/>
      <c r="M41" s="69">
        <f t="shared" si="4"/>
        <v>116</v>
      </c>
      <c r="N41" s="69">
        <f t="shared" si="0"/>
        <v>2.64</v>
      </c>
      <c r="O41" s="58">
        <f t="shared" si="5"/>
        <v>0</v>
      </c>
      <c r="P41" s="85"/>
      <c r="Q41" s="59">
        <f t="shared" si="6"/>
        <v>0</v>
      </c>
    </row>
    <row r="42" spans="1:17" s="68" customFormat="1" ht="15.75" hidden="1" customHeight="1" x14ac:dyDescent="0.35">
      <c r="A42" s="54" t="s">
        <v>103</v>
      </c>
      <c r="B42" s="55" t="s">
        <v>58</v>
      </c>
      <c r="C42" s="55" t="s">
        <v>136</v>
      </c>
      <c r="D42" s="55"/>
      <c r="E42" s="55"/>
      <c r="F42" s="55">
        <v>109</v>
      </c>
      <c r="G42" s="55"/>
      <c r="H42" s="55">
        <v>108</v>
      </c>
      <c r="I42" s="70"/>
      <c r="J42" s="55"/>
      <c r="K42" s="55">
        <v>104</v>
      </c>
      <c r="L42" s="80"/>
      <c r="M42" s="69">
        <f t="shared" si="4"/>
        <v>107</v>
      </c>
      <c r="N42" s="69">
        <f t="shared" si="0"/>
        <v>8.58</v>
      </c>
      <c r="O42" s="58">
        <f t="shared" si="5"/>
        <v>0</v>
      </c>
      <c r="P42" s="85"/>
      <c r="Q42" s="59">
        <f t="shared" si="6"/>
        <v>0</v>
      </c>
    </row>
    <row r="43" spans="1:17" ht="15.75" hidden="1" customHeight="1" x14ac:dyDescent="0.35">
      <c r="A43" s="54" t="s">
        <v>111</v>
      </c>
      <c r="B43" s="55" t="s">
        <v>58</v>
      </c>
      <c r="C43" s="55" t="s">
        <v>136</v>
      </c>
      <c r="D43" s="55"/>
      <c r="E43" s="55">
        <v>115</v>
      </c>
      <c r="F43" s="55">
        <v>118</v>
      </c>
      <c r="G43" s="55">
        <v>111</v>
      </c>
      <c r="H43" s="55">
        <v>104</v>
      </c>
      <c r="I43" s="70"/>
      <c r="J43" s="55"/>
      <c r="K43" s="55">
        <v>120</v>
      </c>
      <c r="L43" s="80"/>
      <c r="M43" s="69">
        <f t="shared" si="4"/>
        <v>113.6</v>
      </c>
      <c r="N43" s="69">
        <f t="shared" si="0"/>
        <v>4.2240000000000038</v>
      </c>
      <c r="O43" s="58">
        <f t="shared" si="5"/>
        <v>0</v>
      </c>
      <c r="P43" s="85"/>
      <c r="Q43" s="59">
        <f t="shared" si="6"/>
        <v>0</v>
      </c>
    </row>
    <row r="44" spans="1:17" ht="15.75" hidden="1" customHeight="1" x14ac:dyDescent="0.35">
      <c r="A44" s="54" t="s">
        <v>113</v>
      </c>
      <c r="B44" s="55" t="s">
        <v>58</v>
      </c>
      <c r="C44" s="55" t="s">
        <v>136</v>
      </c>
      <c r="D44" s="55">
        <v>108</v>
      </c>
      <c r="E44" s="55"/>
      <c r="F44" s="55"/>
      <c r="G44" s="55"/>
      <c r="H44" s="55"/>
      <c r="I44" s="70"/>
      <c r="J44" s="55"/>
      <c r="K44" s="55"/>
      <c r="L44" s="80"/>
      <c r="M44" s="69">
        <f t="shared" si="4"/>
        <v>108</v>
      </c>
      <c r="N44" s="69">
        <f t="shared" si="0"/>
        <v>7.92</v>
      </c>
      <c r="O44" s="58">
        <f t="shared" si="5"/>
        <v>0</v>
      </c>
      <c r="P44" s="85"/>
      <c r="Q44" s="59">
        <f t="shared" si="6"/>
        <v>0</v>
      </c>
    </row>
    <row r="45" spans="1:17" ht="15.75" hidden="1" customHeight="1" x14ac:dyDescent="0.35">
      <c r="A45" s="54" t="s">
        <v>115</v>
      </c>
      <c r="B45" s="55" t="s">
        <v>58</v>
      </c>
      <c r="C45" s="55" t="s">
        <v>136</v>
      </c>
      <c r="D45" s="55">
        <v>114</v>
      </c>
      <c r="E45" s="55"/>
      <c r="F45" s="55">
        <v>105</v>
      </c>
      <c r="G45" s="55"/>
      <c r="H45" s="55"/>
      <c r="I45" s="70"/>
      <c r="J45" s="55"/>
      <c r="K45" s="55"/>
      <c r="L45" s="80"/>
      <c r="M45" s="69">
        <f t="shared" si="4"/>
        <v>109.5</v>
      </c>
      <c r="N45" s="69">
        <f t="shared" si="0"/>
        <v>6.9300000000000006</v>
      </c>
      <c r="O45" s="58">
        <f t="shared" si="5"/>
        <v>0</v>
      </c>
      <c r="P45" s="85"/>
      <c r="Q45" s="59">
        <f t="shared" si="6"/>
        <v>0</v>
      </c>
    </row>
    <row r="46" spans="1:17" ht="15.75" hidden="1" customHeight="1" x14ac:dyDescent="0.35">
      <c r="A46" s="54" t="s">
        <v>123</v>
      </c>
      <c r="B46" s="55" t="s">
        <v>58</v>
      </c>
      <c r="C46" s="55" t="s">
        <v>136</v>
      </c>
      <c r="D46" s="55"/>
      <c r="E46" s="55"/>
      <c r="F46" s="55"/>
      <c r="G46" s="55">
        <v>98</v>
      </c>
      <c r="H46" s="55">
        <v>96</v>
      </c>
      <c r="I46" s="70"/>
      <c r="J46" s="55"/>
      <c r="K46" s="55">
        <v>109</v>
      </c>
      <c r="L46" s="80"/>
      <c r="M46" s="69">
        <f t="shared" si="4"/>
        <v>101</v>
      </c>
      <c r="N46" s="69">
        <f t="shared" si="0"/>
        <v>12.540000000000001</v>
      </c>
      <c r="O46" s="58">
        <f t="shared" si="5"/>
        <v>0</v>
      </c>
      <c r="P46" s="85"/>
      <c r="Q46" s="59">
        <f t="shared" si="6"/>
        <v>0</v>
      </c>
    </row>
    <row r="47" spans="1:17" ht="15.75" hidden="1" customHeight="1" x14ac:dyDescent="0.35">
      <c r="A47" s="54" t="s">
        <v>124</v>
      </c>
      <c r="B47" s="55" t="s">
        <v>58</v>
      </c>
      <c r="C47" s="55" t="s">
        <v>136</v>
      </c>
      <c r="D47" s="55"/>
      <c r="E47" s="55"/>
      <c r="F47" s="55"/>
      <c r="G47" s="55"/>
      <c r="H47" s="55">
        <v>117</v>
      </c>
      <c r="I47" s="70"/>
      <c r="J47" s="55"/>
      <c r="K47" s="55"/>
      <c r="L47" s="80"/>
      <c r="M47" s="69">
        <f t="shared" si="4"/>
        <v>117</v>
      </c>
      <c r="N47" s="69">
        <f t="shared" si="0"/>
        <v>1.98</v>
      </c>
      <c r="O47" s="58">
        <f t="shared" si="5"/>
        <v>0</v>
      </c>
      <c r="P47" s="85"/>
      <c r="Q47" s="59">
        <f t="shared" si="6"/>
        <v>0</v>
      </c>
    </row>
    <row r="48" spans="1:17" ht="15.75" hidden="1" customHeight="1" x14ac:dyDescent="0.35">
      <c r="A48" s="54" t="s">
        <v>106</v>
      </c>
      <c r="B48" s="55" t="s">
        <v>58</v>
      </c>
      <c r="C48" s="55" t="s">
        <v>136</v>
      </c>
      <c r="D48" s="55"/>
      <c r="E48" s="55">
        <v>95</v>
      </c>
      <c r="F48" s="55"/>
      <c r="G48" s="55"/>
      <c r="H48" s="55"/>
      <c r="I48" s="70"/>
      <c r="J48" s="55"/>
      <c r="K48" s="55"/>
      <c r="L48" s="80"/>
      <c r="M48" s="69">
        <f t="shared" si="4"/>
        <v>95</v>
      </c>
      <c r="N48" s="69">
        <f t="shared" si="0"/>
        <v>13.2</v>
      </c>
      <c r="O48" s="58">
        <f t="shared" si="5"/>
        <v>0</v>
      </c>
      <c r="P48" s="85"/>
      <c r="Q48" s="59">
        <f t="shared" si="6"/>
        <v>0</v>
      </c>
    </row>
    <row r="49" spans="1:17" ht="15.75" hidden="1" customHeight="1" x14ac:dyDescent="0.35">
      <c r="A49" s="54" t="s">
        <v>110</v>
      </c>
      <c r="B49" s="55" t="s">
        <v>58</v>
      </c>
      <c r="C49" s="55" t="s">
        <v>136</v>
      </c>
      <c r="D49" s="55">
        <v>110</v>
      </c>
      <c r="E49" s="55">
        <v>99</v>
      </c>
      <c r="F49" s="55">
        <v>115</v>
      </c>
      <c r="G49" s="55">
        <v>105</v>
      </c>
      <c r="H49" s="55"/>
      <c r="I49" s="70"/>
      <c r="J49" s="55">
        <v>107</v>
      </c>
      <c r="K49" s="55">
        <v>110</v>
      </c>
      <c r="L49" s="80"/>
      <c r="M49" s="69">
        <f t="shared" si="4"/>
        <v>107.66666666666667</v>
      </c>
      <c r="N49" s="69">
        <f t="shared" si="0"/>
        <v>8.139999999999997</v>
      </c>
      <c r="O49" s="58">
        <f t="shared" si="5"/>
        <v>0</v>
      </c>
      <c r="P49" s="85"/>
      <c r="Q49" s="59">
        <f t="shared" si="6"/>
        <v>0</v>
      </c>
    </row>
    <row r="50" spans="1:17" ht="15.75" hidden="1" customHeight="1" x14ac:dyDescent="0.35">
      <c r="A50" s="54" t="s">
        <v>121</v>
      </c>
      <c r="B50" s="55" t="s">
        <v>58</v>
      </c>
      <c r="C50" s="55" t="s">
        <v>136</v>
      </c>
      <c r="D50" s="55"/>
      <c r="E50" s="55"/>
      <c r="F50" s="55">
        <v>116</v>
      </c>
      <c r="G50" s="55">
        <v>109</v>
      </c>
      <c r="H50" s="55">
        <v>107</v>
      </c>
      <c r="I50" s="70"/>
      <c r="J50" s="55"/>
      <c r="K50" s="55">
        <v>114</v>
      </c>
      <c r="L50" s="80"/>
      <c r="M50" s="69">
        <f t="shared" si="4"/>
        <v>111.5</v>
      </c>
      <c r="N50" s="69">
        <f t="shared" si="0"/>
        <v>5.61</v>
      </c>
      <c r="O50" s="58">
        <f t="shared" si="5"/>
        <v>0</v>
      </c>
      <c r="P50" s="85"/>
      <c r="Q50" s="59">
        <f t="shared" si="6"/>
        <v>0</v>
      </c>
    </row>
    <row r="51" spans="1:17" ht="15.75" customHeight="1" x14ac:dyDescent="0.35">
      <c r="A51" s="87" t="s">
        <v>81</v>
      </c>
      <c r="B51" s="55" t="s">
        <v>22</v>
      </c>
      <c r="C51" s="55" t="s">
        <v>59</v>
      </c>
      <c r="D51" s="55">
        <v>100</v>
      </c>
      <c r="E51" s="55">
        <v>100</v>
      </c>
      <c r="F51" s="55">
        <v>100</v>
      </c>
      <c r="G51" s="55"/>
      <c r="H51" s="55"/>
      <c r="I51" s="70"/>
      <c r="J51" s="55">
        <v>99</v>
      </c>
      <c r="K51" s="55">
        <v>100</v>
      </c>
      <c r="L51" s="92">
        <v>97</v>
      </c>
      <c r="M51" s="69">
        <f t="shared" si="4"/>
        <v>99.8</v>
      </c>
      <c r="N51" s="69">
        <f t="shared" ref="N51:N82" si="7">MIN(13.2, MAX(0, 100 - M51) * 0.66)</f>
        <v>0.13200000000000189</v>
      </c>
      <c r="O51" s="58">
        <f t="shared" si="5"/>
        <v>97</v>
      </c>
      <c r="P51" s="85">
        <v>8</v>
      </c>
      <c r="Q51" s="59">
        <f t="shared" si="6"/>
        <v>97.132000000000005</v>
      </c>
    </row>
    <row r="52" spans="1:17" ht="15.75" customHeight="1" x14ac:dyDescent="0.35">
      <c r="A52" s="54" t="s">
        <v>19</v>
      </c>
      <c r="B52" s="55" t="s">
        <v>22</v>
      </c>
      <c r="C52" s="55" t="s">
        <v>134</v>
      </c>
      <c r="D52" s="55">
        <v>95</v>
      </c>
      <c r="E52" s="55"/>
      <c r="F52" s="55">
        <v>86</v>
      </c>
      <c r="G52" s="55">
        <v>95</v>
      </c>
      <c r="H52" s="55">
        <v>86</v>
      </c>
      <c r="I52" s="70"/>
      <c r="J52" s="55"/>
      <c r="K52" s="55"/>
      <c r="L52" s="93">
        <v>96</v>
      </c>
      <c r="M52" s="69">
        <f t="shared" si="4"/>
        <v>90.5</v>
      </c>
      <c r="N52" s="69">
        <f t="shared" si="7"/>
        <v>6.2700000000000005</v>
      </c>
      <c r="O52" s="58">
        <f t="shared" si="5"/>
        <v>96</v>
      </c>
      <c r="P52" s="85">
        <v>9</v>
      </c>
      <c r="Q52" s="59">
        <f t="shared" si="6"/>
        <v>102.27</v>
      </c>
    </row>
    <row r="53" spans="1:17" s="68" customFormat="1" ht="15.75" customHeight="1" x14ac:dyDescent="0.35">
      <c r="A53" s="87" t="s">
        <v>154</v>
      </c>
      <c r="B53" s="55" t="s">
        <v>22</v>
      </c>
      <c r="C53" s="55" t="s">
        <v>134</v>
      </c>
      <c r="D53" s="55"/>
      <c r="E53" s="55"/>
      <c r="F53" s="55"/>
      <c r="G53" s="55"/>
      <c r="H53" s="55"/>
      <c r="I53" s="70"/>
      <c r="J53" s="55">
        <v>95</v>
      </c>
      <c r="K53" s="55">
        <v>98</v>
      </c>
      <c r="L53" s="80">
        <v>95</v>
      </c>
      <c r="M53" s="69">
        <f t="shared" si="4"/>
        <v>96.5</v>
      </c>
      <c r="N53" s="69">
        <f t="shared" si="7"/>
        <v>2.31</v>
      </c>
      <c r="O53" s="58">
        <f t="shared" si="5"/>
        <v>95</v>
      </c>
      <c r="P53" s="85">
        <v>4</v>
      </c>
      <c r="Q53" s="59">
        <f t="shared" si="6"/>
        <v>97.31</v>
      </c>
    </row>
    <row r="54" spans="1:17" ht="15.75" customHeight="1" x14ac:dyDescent="0.35">
      <c r="A54" s="87" t="s">
        <v>50</v>
      </c>
      <c r="B54" s="55" t="s">
        <v>22</v>
      </c>
      <c r="C54" s="55" t="s">
        <v>134</v>
      </c>
      <c r="D54" s="55">
        <v>99</v>
      </c>
      <c r="E54" s="55">
        <v>98</v>
      </c>
      <c r="F54" s="55">
        <v>97</v>
      </c>
      <c r="G54" s="55">
        <v>97</v>
      </c>
      <c r="H54" s="55">
        <v>94</v>
      </c>
      <c r="I54" s="70"/>
      <c r="J54" s="55">
        <v>98</v>
      </c>
      <c r="K54" s="55">
        <v>99</v>
      </c>
      <c r="L54" s="94">
        <v>95</v>
      </c>
      <c r="M54" s="69">
        <f>AVERAGE(D54:L54)</f>
        <v>97.125</v>
      </c>
      <c r="N54" s="69">
        <f t="shared" si="7"/>
        <v>1.8975000000000002</v>
      </c>
      <c r="O54" s="58">
        <f t="shared" si="5"/>
        <v>95</v>
      </c>
      <c r="P54" s="85">
        <v>7</v>
      </c>
      <c r="Q54" s="59">
        <f t="shared" si="6"/>
        <v>96.897499999999994</v>
      </c>
    </row>
    <row r="55" spans="1:17" ht="15.75" customHeight="1" x14ac:dyDescent="0.35">
      <c r="A55" s="54" t="s">
        <v>65</v>
      </c>
      <c r="B55" s="55" t="s">
        <v>22</v>
      </c>
      <c r="C55" s="55" t="s">
        <v>59</v>
      </c>
      <c r="D55" s="55">
        <v>98</v>
      </c>
      <c r="E55" s="55"/>
      <c r="F55" s="55">
        <v>100</v>
      </c>
      <c r="G55" s="55"/>
      <c r="H55" s="55"/>
      <c r="I55" s="70"/>
      <c r="J55" s="55">
        <v>98</v>
      </c>
      <c r="K55" s="55">
        <v>100</v>
      </c>
      <c r="L55" s="80">
        <v>94</v>
      </c>
      <c r="M55" s="69">
        <f>AVERAGE(D55:K55)</f>
        <v>99</v>
      </c>
      <c r="N55" s="69">
        <f t="shared" si="7"/>
        <v>0.66</v>
      </c>
      <c r="O55" s="58">
        <f t="shared" si="5"/>
        <v>94</v>
      </c>
      <c r="P55" s="85">
        <v>3</v>
      </c>
      <c r="Q55" s="59">
        <f t="shared" si="6"/>
        <v>94.66</v>
      </c>
    </row>
    <row r="56" spans="1:17" ht="15.75" customHeight="1" x14ac:dyDescent="0.35">
      <c r="A56" s="54" t="s">
        <v>71</v>
      </c>
      <c r="B56" s="55" t="s">
        <v>22</v>
      </c>
      <c r="C56" s="55" t="s">
        <v>59</v>
      </c>
      <c r="D56" s="55">
        <v>88</v>
      </c>
      <c r="E56" s="55">
        <v>82</v>
      </c>
      <c r="F56" s="55"/>
      <c r="G56" s="55"/>
      <c r="H56" s="55"/>
      <c r="I56" s="70"/>
      <c r="J56" s="55"/>
      <c r="K56" s="55">
        <v>99</v>
      </c>
      <c r="L56" s="80">
        <v>92</v>
      </c>
      <c r="M56" s="69">
        <f>AVERAGE(D56:K56)</f>
        <v>89.666666666666671</v>
      </c>
      <c r="N56" s="69">
        <f t="shared" si="7"/>
        <v>6.8199999999999976</v>
      </c>
      <c r="O56" s="58">
        <f t="shared" si="5"/>
        <v>92</v>
      </c>
      <c r="P56" s="85">
        <v>5</v>
      </c>
      <c r="Q56" s="59">
        <f t="shared" si="6"/>
        <v>98.82</v>
      </c>
    </row>
    <row r="57" spans="1:17" ht="15.75" customHeight="1" x14ac:dyDescent="0.35">
      <c r="A57" s="54" t="s">
        <v>48</v>
      </c>
      <c r="B57" s="55" t="s">
        <v>22</v>
      </c>
      <c r="C57" s="55" t="s">
        <v>134</v>
      </c>
      <c r="D57" s="55">
        <v>98</v>
      </c>
      <c r="E57" s="55">
        <v>99</v>
      </c>
      <c r="F57" s="55">
        <v>99</v>
      </c>
      <c r="G57" s="55">
        <v>92</v>
      </c>
      <c r="H57" s="55">
        <v>96</v>
      </c>
      <c r="I57" s="70"/>
      <c r="J57" s="55">
        <v>98</v>
      </c>
      <c r="K57" s="55"/>
      <c r="L57" s="80">
        <v>92</v>
      </c>
      <c r="M57" s="69">
        <f>AVERAGE(D57:L57)</f>
        <v>96.285714285714292</v>
      </c>
      <c r="N57" s="69">
        <f t="shared" si="7"/>
        <v>2.4514285714285675</v>
      </c>
      <c r="O57" s="58">
        <f t="shared" si="5"/>
        <v>92</v>
      </c>
      <c r="P57" s="85">
        <v>4</v>
      </c>
      <c r="Q57" s="59">
        <f t="shared" si="6"/>
        <v>94.451428571428565</v>
      </c>
    </row>
    <row r="58" spans="1:17" ht="15.75" customHeight="1" x14ac:dyDescent="0.35">
      <c r="A58" s="87" t="s">
        <v>122</v>
      </c>
      <c r="B58" s="55" t="s">
        <v>22</v>
      </c>
      <c r="C58" s="55" t="s">
        <v>134</v>
      </c>
      <c r="D58" s="55">
        <v>90</v>
      </c>
      <c r="E58" s="71"/>
      <c r="F58" s="71"/>
      <c r="G58" s="71"/>
      <c r="H58" s="71"/>
      <c r="I58" s="72"/>
      <c r="J58" s="71"/>
      <c r="K58" s="71"/>
      <c r="L58" s="80">
        <f>43+48</f>
        <v>91</v>
      </c>
      <c r="M58" s="69">
        <f>AVERAGE(D58:K58)</f>
        <v>90</v>
      </c>
      <c r="N58" s="69">
        <f t="shared" si="7"/>
        <v>6.6000000000000005</v>
      </c>
      <c r="O58" s="58">
        <f t="shared" si="5"/>
        <v>91</v>
      </c>
      <c r="P58" s="85">
        <v>6</v>
      </c>
      <c r="Q58" s="59">
        <f t="shared" si="6"/>
        <v>97.6</v>
      </c>
    </row>
    <row r="59" spans="1:17" s="68" customFormat="1" ht="15.75" customHeight="1" x14ac:dyDescent="0.35">
      <c r="A59" s="87" t="s">
        <v>153</v>
      </c>
      <c r="B59" s="55" t="s">
        <v>22</v>
      </c>
      <c r="C59" s="55" t="s">
        <v>59</v>
      </c>
      <c r="D59" s="55">
        <v>90</v>
      </c>
      <c r="E59" s="71"/>
      <c r="F59" s="71"/>
      <c r="G59" s="71"/>
      <c r="H59" s="71"/>
      <c r="I59" s="72"/>
      <c r="J59" s="71"/>
      <c r="K59" s="71"/>
      <c r="L59" s="80">
        <v>90</v>
      </c>
      <c r="M59" s="69">
        <f>AVERAGE(D59:K59)</f>
        <v>90</v>
      </c>
      <c r="N59" s="69">
        <f t="shared" si="7"/>
        <v>6.6000000000000005</v>
      </c>
      <c r="O59" s="58">
        <f t="shared" si="5"/>
        <v>90</v>
      </c>
      <c r="P59" s="85">
        <v>2</v>
      </c>
      <c r="Q59" s="59">
        <f t="shared" si="6"/>
        <v>96.6</v>
      </c>
    </row>
    <row r="60" spans="1:17" ht="15.75" customHeight="1" x14ac:dyDescent="0.35">
      <c r="A60" s="54" t="s">
        <v>78</v>
      </c>
      <c r="B60" s="55" t="s">
        <v>22</v>
      </c>
      <c r="C60" s="55" t="s">
        <v>59</v>
      </c>
      <c r="D60" s="55">
        <v>92</v>
      </c>
      <c r="E60" s="55">
        <v>88</v>
      </c>
      <c r="F60" s="55">
        <v>93</v>
      </c>
      <c r="G60" s="55"/>
      <c r="H60" s="55">
        <v>86</v>
      </c>
      <c r="I60" s="70"/>
      <c r="J60" s="55">
        <v>88</v>
      </c>
      <c r="K60" s="55">
        <v>86</v>
      </c>
      <c r="L60" s="80">
        <v>89</v>
      </c>
      <c r="M60" s="69">
        <f>AVERAGE(D60:L60)</f>
        <v>88.857142857142861</v>
      </c>
      <c r="N60" s="69">
        <f t="shared" si="7"/>
        <v>7.3542857142857123</v>
      </c>
      <c r="O60" s="58">
        <f t="shared" si="5"/>
        <v>89</v>
      </c>
      <c r="P60" s="85">
        <v>3</v>
      </c>
      <c r="Q60" s="59">
        <f t="shared" si="6"/>
        <v>96.354285714285709</v>
      </c>
    </row>
    <row r="61" spans="1:17" ht="15.75" customHeight="1" x14ac:dyDescent="0.35">
      <c r="A61" s="54" t="s">
        <v>72</v>
      </c>
      <c r="B61" s="55" t="s">
        <v>22</v>
      </c>
      <c r="C61" s="55" t="s">
        <v>59</v>
      </c>
      <c r="D61" s="55">
        <v>98</v>
      </c>
      <c r="E61" s="55">
        <v>91</v>
      </c>
      <c r="F61" s="55">
        <v>96</v>
      </c>
      <c r="G61" s="55"/>
      <c r="H61" s="55">
        <v>93</v>
      </c>
      <c r="I61" s="70"/>
      <c r="J61" s="55"/>
      <c r="K61" s="55">
        <v>98</v>
      </c>
      <c r="L61" s="80">
        <v>87</v>
      </c>
      <c r="M61" s="69">
        <f>AVERAGE(D61:K61)</f>
        <v>95.2</v>
      </c>
      <c r="N61" s="69">
        <f t="shared" si="7"/>
        <v>3.1679999999999984</v>
      </c>
      <c r="O61" s="58">
        <f t="shared" si="5"/>
        <v>87</v>
      </c>
      <c r="P61" s="85">
        <v>5</v>
      </c>
      <c r="Q61" s="59">
        <f t="shared" si="6"/>
        <v>90.167999999999992</v>
      </c>
    </row>
    <row r="62" spans="1:17" ht="15.75" customHeight="1" x14ac:dyDescent="0.35">
      <c r="A62" s="54" t="s">
        <v>40</v>
      </c>
      <c r="B62" s="55" t="s">
        <v>22</v>
      </c>
      <c r="C62" s="55" t="s">
        <v>134</v>
      </c>
      <c r="D62" s="55">
        <v>91</v>
      </c>
      <c r="E62" s="55">
        <v>93</v>
      </c>
      <c r="F62" s="55">
        <v>97</v>
      </c>
      <c r="G62" s="55">
        <v>95</v>
      </c>
      <c r="H62" s="55"/>
      <c r="I62" s="70"/>
      <c r="J62" s="55">
        <v>96</v>
      </c>
      <c r="K62" s="55">
        <v>96</v>
      </c>
      <c r="L62" s="80">
        <v>86</v>
      </c>
      <c r="M62" s="69">
        <f>AVERAGE(D62:L62)</f>
        <v>93.428571428571431</v>
      </c>
      <c r="N62" s="69">
        <f t="shared" si="7"/>
        <v>4.3371428571428563</v>
      </c>
      <c r="O62" s="58">
        <f t="shared" si="5"/>
        <v>86</v>
      </c>
      <c r="P62" s="85">
        <v>4</v>
      </c>
      <c r="Q62" s="59">
        <f t="shared" si="6"/>
        <v>90.337142857142851</v>
      </c>
    </row>
    <row r="63" spans="1:17" ht="15.75" customHeight="1" x14ac:dyDescent="0.35">
      <c r="A63" s="54" t="s">
        <v>77</v>
      </c>
      <c r="B63" s="55" t="s">
        <v>22</v>
      </c>
      <c r="C63" s="55" t="s">
        <v>59</v>
      </c>
      <c r="D63" s="55">
        <v>93</v>
      </c>
      <c r="E63" s="55"/>
      <c r="F63" s="55"/>
      <c r="G63" s="55"/>
      <c r="H63" s="55"/>
      <c r="I63" s="70"/>
      <c r="J63" s="55"/>
      <c r="K63" s="55"/>
      <c r="L63" s="80">
        <v>85</v>
      </c>
      <c r="M63" s="69">
        <f t="shared" ref="M63:M80" si="8">AVERAGE(D63:K63)</f>
        <v>93</v>
      </c>
      <c r="N63" s="69">
        <f t="shared" si="7"/>
        <v>4.62</v>
      </c>
      <c r="O63" s="58">
        <f t="shared" si="5"/>
        <v>85</v>
      </c>
      <c r="P63" s="85">
        <v>1</v>
      </c>
      <c r="Q63" s="59">
        <f t="shared" si="6"/>
        <v>89.62</v>
      </c>
    </row>
    <row r="64" spans="1:17" ht="15.75" customHeight="1" x14ac:dyDescent="0.35">
      <c r="A64" s="54" t="s">
        <v>155</v>
      </c>
      <c r="B64" s="55" t="s">
        <v>22</v>
      </c>
      <c r="C64" s="55" t="s">
        <v>134</v>
      </c>
      <c r="D64" s="55">
        <v>90</v>
      </c>
      <c r="E64" s="55"/>
      <c r="F64" s="55"/>
      <c r="G64" s="55"/>
      <c r="H64" s="55"/>
      <c r="I64" s="70"/>
      <c r="J64" s="55"/>
      <c r="K64" s="55"/>
      <c r="L64" s="80">
        <v>79</v>
      </c>
      <c r="M64" s="69">
        <f t="shared" si="8"/>
        <v>90</v>
      </c>
      <c r="N64" s="69">
        <f t="shared" si="7"/>
        <v>6.6000000000000005</v>
      </c>
      <c r="O64" s="58">
        <f t="shared" si="5"/>
        <v>79</v>
      </c>
      <c r="P64" s="85">
        <v>3</v>
      </c>
      <c r="Q64" s="59">
        <f t="shared" si="6"/>
        <v>85.6</v>
      </c>
    </row>
    <row r="65" spans="1:17" s="68" customFormat="1" ht="15.75" hidden="1" customHeight="1" x14ac:dyDescent="0.35">
      <c r="A65" s="54" t="s">
        <v>73</v>
      </c>
      <c r="B65" s="55" t="s">
        <v>22</v>
      </c>
      <c r="C65" s="55" t="s">
        <v>59</v>
      </c>
      <c r="D65" s="55"/>
      <c r="E65" s="55">
        <v>97</v>
      </c>
      <c r="F65" s="55">
        <v>100</v>
      </c>
      <c r="G65" s="55"/>
      <c r="H65" s="55"/>
      <c r="I65" s="70"/>
      <c r="J65" s="55"/>
      <c r="K65" s="55"/>
      <c r="L65" s="80"/>
      <c r="M65" s="69">
        <f t="shared" si="8"/>
        <v>98.5</v>
      </c>
      <c r="N65" s="69">
        <f t="shared" si="7"/>
        <v>0.99</v>
      </c>
      <c r="O65" s="58">
        <f t="shared" si="5"/>
        <v>0</v>
      </c>
      <c r="P65" s="85"/>
      <c r="Q65" s="59">
        <f t="shared" si="6"/>
        <v>0</v>
      </c>
    </row>
    <row r="66" spans="1:17" ht="15.75" hidden="1" customHeight="1" x14ac:dyDescent="0.35">
      <c r="A66" s="54" t="s">
        <v>76</v>
      </c>
      <c r="B66" s="55" t="s">
        <v>22</v>
      </c>
      <c r="C66" s="55" t="s">
        <v>59</v>
      </c>
      <c r="D66" s="55">
        <v>93</v>
      </c>
      <c r="E66" s="55"/>
      <c r="F66" s="55"/>
      <c r="G66" s="55"/>
      <c r="H66" s="55"/>
      <c r="I66" s="70"/>
      <c r="J66" s="55"/>
      <c r="K66" s="55"/>
      <c r="L66" s="80"/>
      <c r="M66" s="69">
        <f t="shared" si="8"/>
        <v>93</v>
      </c>
      <c r="N66" s="69">
        <f t="shared" si="7"/>
        <v>4.62</v>
      </c>
      <c r="O66" s="58">
        <f t="shared" si="5"/>
        <v>0</v>
      </c>
      <c r="P66" s="85"/>
      <c r="Q66" s="59">
        <f t="shared" si="6"/>
        <v>0</v>
      </c>
    </row>
    <row r="67" spans="1:17" ht="15.75" hidden="1" customHeight="1" x14ac:dyDescent="0.35">
      <c r="A67" s="54" t="s">
        <v>61</v>
      </c>
      <c r="B67" s="55" t="s">
        <v>22</v>
      </c>
      <c r="C67" s="55" t="s">
        <v>59</v>
      </c>
      <c r="D67" s="55"/>
      <c r="E67" s="55">
        <v>93</v>
      </c>
      <c r="F67" s="55"/>
      <c r="G67" s="55"/>
      <c r="H67" s="55"/>
      <c r="I67" s="70"/>
      <c r="J67" s="55"/>
      <c r="K67" s="55"/>
      <c r="L67" s="80"/>
      <c r="M67" s="69">
        <f t="shared" si="8"/>
        <v>93</v>
      </c>
      <c r="N67" s="69">
        <f t="shared" si="7"/>
        <v>4.62</v>
      </c>
      <c r="O67" s="58">
        <f t="shared" ref="O67:O103" si="9">L67</f>
        <v>0</v>
      </c>
      <c r="P67" s="85"/>
      <c r="Q67" s="59">
        <f t="shared" ref="Q67:Q103" si="10">IF(ISBLANK(L67), 0, L67 + N67)</f>
        <v>0</v>
      </c>
    </row>
    <row r="68" spans="1:17" ht="15.75" hidden="1" customHeight="1" x14ac:dyDescent="0.35">
      <c r="A68" s="54" t="s">
        <v>137</v>
      </c>
      <c r="B68" s="55" t="s">
        <v>22</v>
      </c>
      <c r="C68" s="55" t="s">
        <v>59</v>
      </c>
      <c r="D68" s="55"/>
      <c r="E68" s="55"/>
      <c r="F68" s="55"/>
      <c r="G68" s="55"/>
      <c r="H68" s="55"/>
      <c r="I68" s="70"/>
      <c r="J68" s="55">
        <v>96</v>
      </c>
      <c r="K68" s="55">
        <v>100</v>
      </c>
      <c r="L68" s="80"/>
      <c r="M68" s="69">
        <f t="shared" si="8"/>
        <v>98</v>
      </c>
      <c r="N68" s="69">
        <f t="shared" si="7"/>
        <v>1.32</v>
      </c>
      <c r="O68" s="58">
        <f t="shared" si="9"/>
        <v>0</v>
      </c>
      <c r="P68" s="85"/>
      <c r="Q68" s="59">
        <f t="shared" si="10"/>
        <v>0</v>
      </c>
    </row>
    <row r="69" spans="1:17" ht="15.75" hidden="1" customHeight="1" x14ac:dyDescent="0.35">
      <c r="A69" s="54" t="s">
        <v>51</v>
      </c>
      <c r="B69" s="55" t="s">
        <v>22</v>
      </c>
      <c r="C69" s="55" t="s">
        <v>134</v>
      </c>
      <c r="D69" s="55">
        <v>99</v>
      </c>
      <c r="E69" s="55"/>
      <c r="F69" s="55"/>
      <c r="G69" s="55"/>
      <c r="H69" s="55"/>
      <c r="I69" s="70"/>
      <c r="J69" s="55"/>
      <c r="K69" s="55"/>
      <c r="L69" s="80"/>
      <c r="M69" s="69">
        <f t="shared" si="8"/>
        <v>99</v>
      </c>
      <c r="N69" s="69">
        <f t="shared" si="7"/>
        <v>0.66</v>
      </c>
      <c r="O69" s="58">
        <f t="shared" si="9"/>
        <v>0</v>
      </c>
      <c r="P69" s="85"/>
      <c r="Q69" s="59">
        <f t="shared" si="10"/>
        <v>0</v>
      </c>
    </row>
    <row r="70" spans="1:17" ht="15.75" hidden="1" customHeight="1" x14ac:dyDescent="0.35">
      <c r="A70" s="54" t="s">
        <v>147</v>
      </c>
      <c r="B70" s="55" t="s">
        <v>22</v>
      </c>
      <c r="C70" s="55" t="s">
        <v>134</v>
      </c>
      <c r="D70" s="55"/>
      <c r="E70" s="55"/>
      <c r="F70" s="55"/>
      <c r="G70" s="55"/>
      <c r="H70" s="55"/>
      <c r="I70" s="70"/>
      <c r="J70" s="55">
        <v>100</v>
      </c>
      <c r="K70" s="55">
        <v>100</v>
      </c>
      <c r="L70" s="80"/>
      <c r="M70" s="69">
        <f t="shared" si="8"/>
        <v>100</v>
      </c>
      <c r="N70" s="69">
        <f t="shared" si="7"/>
        <v>0</v>
      </c>
      <c r="O70" s="58">
        <f t="shared" si="9"/>
        <v>0</v>
      </c>
      <c r="P70" s="85"/>
      <c r="Q70" s="59">
        <f t="shared" si="10"/>
        <v>0</v>
      </c>
    </row>
    <row r="71" spans="1:17" ht="15.75" hidden="1" customHeight="1" x14ac:dyDescent="0.35">
      <c r="A71" s="54" t="s">
        <v>46</v>
      </c>
      <c r="B71" s="55" t="s">
        <v>22</v>
      </c>
      <c r="C71" s="55" t="s">
        <v>134</v>
      </c>
      <c r="D71" s="55">
        <v>100</v>
      </c>
      <c r="E71" s="55">
        <v>99</v>
      </c>
      <c r="F71" s="55">
        <v>100</v>
      </c>
      <c r="G71" s="55">
        <v>93</v>
      </c>
      <c r="H71" s="55">
        <v>95</v>
      </c>
      <c r="I71" s="70"/>
      <c r="J71" s="55"/>
      <c r="K71" s="55">
        <v>100</v>
      </c>
      <c r="L71" s="80"/>
      <c r="M71" s="69">
        <f t="shared" si="8"/>
        <v>97.833333333333329</v>
      </c>
      <c r="N71" s="69">
        <f t="shared" si="7"/>
        <v>1.4300000000000033</v>
      </c>
      <c r="O71" s="58">
        <f t="shared" si="9"/>
        <v>0</v>
      </c>
      <c r="P71" s="85"/>
      <c r="Q71" s="59">
        <f t="shared" si="10"/>
        <v>0</v>
      </c>
    </row>
    <row r="72" spans="1:17" ht="15.75" hidden="1" customHeight="1" x14ac:dyDescent="0.35">
      <c r="A72" s="54" t="s">
        <v>49</v>
      </c>
      <c r="B72" s="55" t="s">
        <v>22</v>
      </c>
      <c r="C72" s="55" t="s">
        <v>134</v>
      </c>
      <c r="D72" s="55"/>
      <c r="E72" s="55"/>
      <c r="F72" s="55">
        <v>93</v>
      </c>
      <c r="G72" s="55"/>
      <c r="H72" s="55"/>
      <c r="I72" s="70"/>
      <c r="J72" s="55"/>
      <c r="K72" s="55"/>
      <c r="L72" s="80"/>
      <c r="M72" s="69">
        <f t="shared" si="8"/>
        <v>93</v>
      </c>
      <c r="N72" s="69">
        <f t="shared" si="7"/>
        <v>4.62</v>
      </c>
      <c r="O72" s="58">
        <f t="shared" si="9"/>
        <v>0</v>
      </c>
      <c r="P72" s="85"/>
      <c r="Q72" s="59">
        <f t="shared" si="10"/>
        <v>0</v>
      </c>
    </row>
    <row r="73" spans="1:17" ht="15.75" hidden="1" customHeight="1" x14ac:dyDescent="0.35">
      <c r="A73" s="54" t="s">
        <v>32</v>
      </c>
      <c r="B73" s="55" t="s">
        <v>22</v>
      </c>
      <c r="C73" s="55" t="s">
        <v>134</v>
      </c>
      <c r="D73" s="55"/>
      <c r="E73" s="55"/>
      <c r="F73" s="55">
        <v>98</v>
      </c>
      <c r="G73" s="55"/>
      <c r="H73" s="55"/>
      <c r="I73" s="70"/>
      <c r="J73" s="55"/>
      <c r="K73" s="55"/>
      <c r="L73" s="80"/>
      <c r="M73" s="69">
        <f t="shared" si="8"/>
        <v>98</v>
      </c>
      <c r="N73" s="69">
        <f t="shared" si="7"/>
        <v>1.32</v>
      </c>
      <c r="O73" s="58">
        <f t="shared" si="9"/>
        <v>0</v>
      </c>
      <c r="P73" s="85"/>
      <c r="Q73" s="59">
        <f t="shared" si="10"/>
        <v>0</v>
      </c>
    </row>
    <row r="74" spans="1:17" ht="15.75" hidden="1" customHeight="1" x14ac:dyDescent="0.35">
      <c r="A74" s="54" t="s">
        <v>47</v>
      </c>
      <c r="B74" s="55" t="s">
        <v>22</v>
      </c>
      <c r="C74" s="55" t="s">
        <v>134</v>
      </c>
      <c r="D74" s="55"/>
      <c r="E74" s="55">
        <v>99</v>
      </c>
      <c r="F74" s="55"/>
      <c r="G74" s="55">
        <v>96</v>
      </c>
      <c r="H74" s="55"/>
      <c r="I74" s="70"/>
      <c r="J74" s="55">
        <v>93</v>
      </c>
      <c r="K74" s="55">
        <v>95</v>
      </c>
      <c r="L74" s="80"/>
      <c r="M74" s="69">
        <f t="shared" si="8"/>
        <v>95.75</v>
      </c>
      <c r="N74" s="69">
        <f t="shared" si="7"/>
        <v>2.8050000000000002</v>
      </c>
      <c r="O74" s="58">
        <f t="shared" si="9"/>
        <v>0</v>
      </c>
      <c r="P74" s="85"/>
      <c r="Q74" s="59">
        <f t="shared" si="10"/>
        <v>0</v>
      </c>
    </row>
    <row r="75" spans="1:17" ht="15.75" hidden="1" customHeight="1" x14ac:dyDescent="0.35">
      <c r="A75" s="54" t="s">
        <v>52</v>
      </c>
      <c r="B75" s="55" t="s">
        <v>22</v>
      </c>
      <c r="C75" s="55" t="s">
        <v>134</v>
      </c>
      <c r="D75" s="55">
        <v>98</v>
      </c>
      <c r="E75" s="55"/>
      <c r="F75" s="55"/>
      <c r="G75" s="55"/>
      <c r="H75" s="55"/>
      <c r="I75" s="70"/>
      <c r="J75" s="55"/>
      <c r="K75" s="55"/>
      <c r="L75" s="80"/>
      <c r="M75" s="69">
        <f t="shared" si="8"/>
        <v>98</v>
      </c>
      <c r="N75" s="69">
        <f t="shared" si="7"/>
        <v>1.32</v>
      </c>
      <c r="O75" s="58">
        <f t="shared" si="9"/>
        <v>0</v>
      </c>
      <c r="P75" s="85"/>
      <c r="Q75" s="59">
        <f t="shared" si="10"/>
        <v>0</v>
      </c>
    </row>
    <row r="76" spans="1:17" ht="15.75" hidden="1" customHeight="1" x14ac:dyDescent="0.35">
      <c r="A76" s="54" t="s">
        <v>148</v>
      </c>
      <c r="B76" s="55" t="s">
        <v>22</v>
      </c>
      <c r="C76" s="55" t="s">
        <v>134</v>
      </c>
      <c r="D76" s="55"/>
      <c r="E76" s="55"/>
      <c r="F76" s="55"/>
      <c r="G76" s="55"/>
      <c r="H76" s="55"/>
      <c r="I76" s="70"/>
      <c r="J76" s="55">
        <v>100</v>
      </c>
      <c r="K76" s="55">
        <v>100</v>
      </c>
      <c r="L76" s="80"/>
      <c r="M76" s="69">
        <f t="shared" si="8"/>
        <v>100</v>
      </c>
      <c r="N76" s="69">
        <f t="shared" si="7"/>
        <v>0</v>
      </c>
      <c r="O76" s="58">
        <f t="shared" si="9"/>
        <v>0</v>
      </c>
      <c r="P76" s="85"/>
      <c r="Q76" s="59">
        <f t="shared" si="10"/>
        <v>0</v>
      </c>
    </row>
    <row r="77" spans="1:17" ht="15.75" hidden="1" customHeight="1" x14ac:dyDescent="0.35">
      <c r="A77" s="54" t="s">
        <v>37</v>
      </c>
      <c r="B77" s="55" t="s">
        <v>22</v>
      </c>
      <c r="C77" s="55" t="s">
        <v>134</v>
      </c>
      <c r="D77" s="55"/>
      <c r="E77" s="55"/>
      <c r="F77" s="55">
        <v>94</v>
      </c>
      <c r="G77" s="55"/>
      <c r="H77" s="55"/>
      <c r="I77" s="70"/>
      <c r="J77" s="55"/>
      <c r="K77" s="55">
        <v>98</v>
      </c>
      <c r="L77" s="80"/>
      <c r="M77" s="69">
        <f t="shared" si="8"/>
        <v>96</v>
      </c>
      <c r="N77" s="69">
        <f t="shared" si="7"/>
        <v>2.64</v>
      </c>
      <c r="O77" s="58">
        <f t="shared" si="9"/>
        <v>0</v>
      </c>
      <c r="P77" s="85"/>
      <c r="Q77" s="59">
        <f t="shared" si="10"/>
        <v>0</v>
      </c>
    </row>
    <row r="78" spans="1:17" ht="15.75" hidden="1" customHeight="1" x14ac:dyDescent="0.35">
      <c r="A78" s="54" t="s">
        <v>150</v>
      </c>
      <c r="B78" s="55" t="s">
        <v>22</v>
      </c>
      <c r="C78" s="55" t="s">
        <v>134</v>
      </c>
      <c r="D78" s="55"/>
      <c r="E78" s="55"/>
      <c r="F78" s="55"/>
      <c r="G78" s="55"/>
      <c r="H78" s="55"/>
      <c r="I78" s="70"/>
      <c r="J78" s="55">
        <v>98</v>
      </c>
      <c r="K78" s="55">
        <v>98</v>
      </c>
      <c r="L78" s="80"/>
      <c r="M78" s="69">
        <f t="shared" si="8"/>
        <v>98</v>
      </c>
      <c r="N78" s="69">
        <f t="shared" si="7"/>
        <v>1.32</v>
      </c>
      <c r="O78" s="58">
        <f t="shared" si="9"/>
        <v>0</v>
      </c>
      <c r="P78" s="85"/>
      <c r="Q78" s="59">
        <f t="shared" si="10"/>
        <v>0</v>
      </c>
    </row>
    <row r="79" spans="1:17" ht="15.75" hidden="1" customHeight="1" x14ac:dyDescent="0.35">
      <c r="A79" s="54" t="s">
        <v>25</v>
      </c>
      <c r="B79" s="55" t="s">
        <v>22</v>
      </c>
      <c r="C79" s="55" t="s">
        <v>134</v>
      </c>
      <c r="D79" s="55"/>
      <c r="E79" s="55"/>
      <c r="F79" s="55"/>
      <c r="G79" s="55"/>
      <c r="H79" s="55"/>
      <c r="I79" s="70"/>
      <c r="J79" s="55">
        <v>97</v>
      </c>
      <c r="K79" s="55"/>
      <c r="L79" s="80"/>
      <c r="M79" s="69">
        <f t="shared" si="8"/>
        <v>97</v>
      </c>
      <c r="N79" s="69">
        <f t="shared" si="7"/>
        <v>1.98</v>
      </c>
      <c r="O79" s="58">
        <f t="shared" si="9"/>
        <v>0</v>
      </c>
      <c r="P79" s="85"/>
      <c r="Q79" s="59">
        <f t="shared" si="10"/>
        <v>0</v>
      </c>
    </row>
    <row r="80" spans="1:17" ht="15.75" hidden="1" customHeight="1" x14ac:dyDescent="0.35">
      <c r="A80" s="54" t="s">
        <v>39</v>
      </c>
      <c r="B80" s="55" t="s">
        <v>22</v>
      </c>
      <c r="C80" s="55" t="s">
        <v>134</v>
      </c>
      <c r="D80" s="55"/>
      <c r="E80" s="55">
        <v>98</v>
      </c>
      <c r="F80" s="55"/>
      <c r="G80" s="55"/>
      <c r="H80" s="55"/>
      <c r="I80" s="70"/>
      <c r="J80" s="55"/>
      <c r="K80" s="55">
        <v>99</v>
      </c>
      <c r="L80" s="80"/>
      <c r="M80" s="69">
        <f t="shared" si="8"/>
        <v>98.5</v>
      </c>
      <c r="N80" s="69">
        <f t="shared" si="7"/>
        <v>0.99</v>
      </c>
      <c r="O80" s="58">
        <f t="shared" si="9"/>
        <v>0</v>
      </c>
      <c r="P80" s="85"/>
      <c r="Q80" s="59">
        <f t="shared" si="10"/>
        <v>0</v>
      </c>
    </row>
    <row r="81" spans="1:17" ht="15.75" customHeight="1" x14ac:dyDescent="0.35">
      <c r="A81" s="54" t="s">
        <v>87</v>
      </c>
      <c r="B81" s="55" t="s">
        <v>28</v>
      </c>
      <c r="C81" s="55" t="s">
        <v>83</v>
      </c>
      <c r="D81" s="55">
        <v>94</v>
      </c>
      <c r="E81" s="55">
        <v>97</v>
      </c>
      <c r="F81" s="55">
        <v>100</v>
      </c>
      <c r="G81" s="55">
        <v>91</v>
      </c>
      <c r="H81" s="55">
        <v>89</v>
      </c>
      <c r="I81" s="70"/>
      <c r="J81" s="55"/>
      <c r="K81" s="55">
        <v>98</v>
      </c>
      <c r="L81" s="92">
        <v>94</v>
      </c>
      <c r="M81" s="69">
        <f>AVERAGE(D81:L81)</f>
        <v>94.714285714285708</v>
      </c>
      <c r="N81" s="69">
        <f t="shared" si="7"/>
        <v>3.4885714285714329</v>
      </c>
      <c r="O81" s="58">
        <f t="shared" si="9"/>
        <v>94</v>
      </c>
      <c r="P81" s="85">
        <v>0</v>
      </c>
      <c r="Q81" s="59">
        <f t="shared" si="10"/>
        <v>97.488571428571433</v>
      </c>
    </row>
    <row r="82" spans="1:17" ht="15.75" customHeight="1" x14ac:dyDescent="0.35">
      <c r="A82" s="54" t="s">
        <v>29</v>
      </c>
      <c r="B82" s="55" t="s">
        <v>28</v>
      </c>
      <c r="C82" s="55" t="s">
        <v>134</v>
      </c>
      <c r="D82" s="55"/>
      <c r="E82" s="55"/>
      <c r="F82" s="55">
        <v>99</v>
      </c>
      <c r="G82" s="55">
        <v>99</v>
      </c>
      <c r="H82" s="55">
        <f>39+48</f>
        <v>87</v>
      </c>
      <c r="I82" s="70"/>
      <c r="J82" s="55"/>
      <c r="K82" s="55"/>
      <c r="L82" s="93">
        <v>92</v>
      </c>
      <c r="M82" s="69">
        <f>AVERAGE(D82:K82)</f>
        <v>95</v>
      </c>
      <c r="N82" s="69">
        <f t="shared" si="7"/>
        <v>3.3000000000000003</v>
      </c>
      <c r="O82" s="58">
        <f t="shared" si="9"/>
        <v>92</v>
      </c>
      <c r="P82" s="85">
        <v>3</v>
      </c>
      <c r="Q82" s="59">
        <f t="shared" si="10"/>
        <v>95.3</v>
      </c>
    </row>
    <row r="83" spans="1:17" ht="15.75" customHeight="1" x14ac:dyDescent="0.35">
      <c r="A83" s="54" t="s">
        <v>91</v>
      </c>
      <c r="B83" s="55" t="s">
        <v>28</v>
      </c>
      <c r="C83" s="55" t="s">
        <v>83</v>
      </c>
      <c r="D83" s="55"/>
      <c r="E83" s="55">
        <v>66</v>
      </c>
      <c r="F83" s="55"/>
      <c r="G83" s="55"/>
      <c r="H83" s="55"/>
      <c r="I83" s="70"/>
      <c r="J83" s="55"/>
      <c r="K83" s="55">
        <v>95</v>
      </c>
      <c r="L83" s="94">
        <v>91</v>
      </c>
      <c r="M83" s="69">
        <f>AVERAGE(D83:K83)</f>
        <v>80.5</v>
      </c>
      <c r="N83" s="69">
        <f t="shared" ref="N83:N103" si="11">MIN(13.2, MAX(0, 100 - M83) * 0.66)</f>
        <v>12.870000000000001</v>
      </c>
      <c r="O83" s="58">
        <f t="shared" si="9"/>
        <v>91</v>
      </c>
      <c r="P83" s="85">
        <v>7</v>
      </c>
      <c r="Q83" s="59">
        <f t="shared" si="10"/>
        <v>103.87</v>
      </c>
    </row>
    <row r="84" spans="1:17" ht="15.75" customHeight="1" x14ac:dyDescent="0.35">
      <c r="A84" s="54" t="s">
        <v>89</v>
      </c>
      <c r="B84" s="55" t="s">
        <v>28</v>
      </c>
      <c r="C84" s="55" t="s">
        <v>83</v>
      </c>
      <c r="D84" s="55">
        <v>85</v>
      </c>
      <c r="E84" s="55">
        <v>94</v>
      </c>
      <c r="F84" s="55">
        <v>89</v>
      </c>
      <c r="G84" s="55">
        <v>88</v>
      </c>
      <c r="H84" s="55">
        <v>81</v>
      </c>
      <c r="I84" s="70"/>
      <c r="J84" s="55">
        <v>87</v>
      </c>
      <c r="K84" s="55"/>
      <c r="L84" s="80">
        <v>91</v>
      </c>
      <c r="M84" s="69">
        <f>AVERAGE(D84:L84)</f>
        <v>87.857142857142861</v>
      </c>
      <c r="N84" s="69">
        <f t="shared" si="11"/>
        <v>8.0142857142857125</v>
      </c>
      <c r="O84" s="58">
        <f t="shared" si="9"/>
        <v>91</v>
      </c>
      <c r="P84" s="85">
        <v>4</v>
      </c>
      <c r="Q84" s="59">
        <f t="shared" si="10"/>
        <v>99.014285714285705</v>
      </c>
    </row>
    <row r="85" spans="1:17" ht="15.75" customHeight="1" x14ac:dyDescent="0.35">
      <c r="A85" s="54" t="s">
        <v>85</v>
      </c>
      <c r="B85" s="55" t="s">
        <v>28</v>
      </c>
      <c r="C85" s="55" t="s">
        <v>83</v>
      </c>
      <c r="D85" s="55">
        <v>94</v>
      </c>
      <c r="E85" s="55">
        <v>94</v>
      </c>
      <c r="F85" s="55">
        <v>97</v>
      </c>
      <c r="G85" s="55">
        <v>88</v>
      </c>
      <c r="H85" s="55">
        <v>92</v>
      </c>
      <c r="I85" s="70"/>
      <c r="J85" s="55">
        <v>92</v>
      </c>
      <c r="K85" s="55">
        <v>95</v>
      </c>
      <c r="L85" s="80">
        <v>90</v>
      </c>
      <c r="M85" s="69">
        <f>AVERAGE(D85:L85)</f>
        <v>92.75</v>
      </c>
      <c r="N85" s="69">
        <f t="shared" si="11"/>
        <v>4.7850000000000001</v>
      </c>
      <c r="O85" s="58">
        <f t="shared" si="9"/>
        <v>90</v>
      </c>
      <c r="P85" s="85">
        <v>4</v>
      </c>
      <c r="Q85" s="59">
        <f t="shared" si="10"/>
        <v>94.784999999999997</v>
      </c>
    </row>
    <row r="86" spans="1:17" ht="15.75" customHeight="1" x14ac:dyDescent="0.35">
      <c r="A86" s="54" t="s">
        <v>97</v>
      </c>
      <c r="B86" s="55" t="s">
        <v>28</v>
      </c>
      <c r="C86" s="55" t="s">
        <v>95</v>
      </c>
      <c r="D86" s="55">
        <v>98</v>
      </c>
      <c r="E86" s="55">
        <v>98</v>
      </c>
      <c r="F86" s="55">
        <v>95</v>
      </c>
      <c r="G86" s="55">
        <v>96</v>
      </c>
      <c r="H86" s="55">
        <v>90</v>
      </c>
      <c r="I86" s="70"/>
      <c r="J86" s="55">
        <v>99</v>
      </c>
      <c r="K86" s="55">
        <v>94</v>
      </c>
      <c r="L86" s="80">
        <v>85</v>
      </c>
      <c r="M86" s="69">
        <f>AVERAGE(D86:L86)</f>
        <v>94.375</v>
      </c>
      <c r="N86" s="69">
        <f t="shared" si="11"/>
        <v>3.7125000000000004</v>
      </c>
      <c r="O86" s="58">
        <f t="shared" si="9"/>
        <v>85</v>
      </c>
      <c r="P86" s="85">
        <v>5</v>
      </c>
      <c r="Q86" s="59">
        <f t="shared" si="10"/>
        <v>88.712500000000006</v>
      </c>
    </row>
    <row r="87" spans="1:17" ht="15.75" customHeight="1" x14ac:dyDescent="0.35">
      <c r="A87" s="54" t="s">
        <v>98</v>
      </c>
      <c r="B87" s="55" t="s">
        <v>28</v>
      </c>
      <c r="C87" s="55" t="s">
        <v>95</v>
      </c>
      <c r="D87" s="55">
        <v>95</v>
      </c>
      <c r="E87" s="55">
        <v>99</v>
      </c>
      <c r="F87" s="55"/>
      <c r="G87" s="55"/>
      <c r="H87" s="55">
        <v>98</v>
      </c>
      <c r="I87" s="70"/>
      <c r="J87" s="55">
        <v>97</v>
      </c>
      <c r="K87" s="55">
        <v>99</v>
      </c>
      <c r="L87" s="80">
        <v>85</v>
      </c>
      <c r="M87" s="69">
        <f>AVERAGE(D87:L87)</f>
        <v>95.5</v>
      </c>
      <c r="N87" s="69">
        <f t="shared" si="11"/>
        <v>2.97</v>
      </c>
      <c r="O87" s="58">
        <f t="shared" si="9"/>
        <v>85</v>
      </c>
      <c r="P87" s="85">
        <v>2</v>
      </c>
      <c r="Q87" s="59">
        <f t="shared" si="10"/>
        <v>87.97</v>
      </c>
    </row>
    <row r="88" spans="1:17" ht="15.75" hidden="1" customHeight="1" x14ac:dyDescent="0.35">
      <c r="A88" s="54" t="s">
        <v>88</v>
      </c>
      <c r="B88" s="55" t="s">
        <v>28</v>
      </c>
      <c r="C88" s="55" t="s">
        <v>83</v>
      </c>
      <c r="D88" s="55">
        <v>95</v>
      </c>
      <c r="E88" s="55"/>
      <c r="F88" s="55"/>
      <c r="G88" s="55">
        <v>97</v>
      </c>
      <c r="H88" s="55"/>
      <c r="I88" s="70"/>
      <c r="J88" s="55">
        <v>91</v>
      </c>
      <c r="K88" s="55">
        <v>97</v>
      </c>
      <c r="L88" s="80"/>
      <c r="M88" s="69">
        <f t="shared" ref="M88:M103" si="12">AVERAGE(D88:K88)</f>
        <v>95</v>
      </c>
      <c r="N88" s="69">
        <f t="shared" si="11"/>
        <v>3.3000000000000003</v>
      </c>
      <c r="O88" s="58">
        <f t="shared" si="9"/>
        <v>0</v>
      </c>
      <c r="P88" s="85"/>
      <c r="Q88" s="59">
        <f t="shared" si="10"/>
        <v>0</v>
      </c>
    </row>
    <row r="89" spans="1:17" ht="15.75" hidden="1" customHeight="1" x14ac:dyDescent="0.35">
      <c r="A89" s="54" t="s">
        <v>90</v>
      </c>
      <c r="B89" s="55" t="s">
        <v>28</v>
      </c>
      <c r="C89" s="55" t="s">
        <v>83</v>
      </c>
      <c r="D89" s="55">
        <v>88</v>
      </c>
      <c r="E89" s="55">
        <v>92</v>
      </c>
      <c r="F89" s="55"/>
      <c r="G89" s="55"/>
      <c r="H89" s="55">
        <v>94</v>
      </c>
      <c r="I89" s="70"/>
      <c r="J89" s="55">
        <v>96</v>
      </c>
      <c r="K89" s="55"/>
      <c r="L89" s="80"/>
      <c r="M89" s="69">
        <f t="shared" si="12"/>
        <v>92.5</v>
      </c>
      <c r="N89" s="69">
        <f t="shared" si="11"/>
        <v>4.95</v>
      </c>
      <c r="O89" s="58">
        <f t="shared" si="9"/>
        <v>0</v>
      </c>
      <c r="P89" s="85"/>
      <c r="Q89" s="59">
        <f t="shared" si="10"/>
        <v>0</v>
      </c>
    </row>
    <row r="90" spans="1:17" ht="15.75" hidden="1" customHeight="1" x14ac:dyDescent="0.35">
      <c r="A90" s="54" t="s">
        <v>79</v>
      </c>
      <c r="B90" s="55" t="s">
        <v>28</v>
      </c>
      <c r="C90" s="55" t="s">
        <v>59</v>
      </c>
      <c r="D90" s="55">
        <v>98</v>
      </c>
      <c r="E90" s="55">
        <v>100</v>
      </c>
      <c r="F90" s="55"/>
      <c r="G90" s="55"/>
      <c r="H90" s="55">
        <v>97</v>
      </c>
      <c r="I90" s="70"/>
      <c r="J90" s="55">
        <v>99</v>
      </c>
      <c r="K90" s="55">
        <v>98</v>
      </c>
      <c r="L90" s="80"/>
      <c r="M90" s="69">
        <f t="shared" si="12"/>
        <v>98.4</v>
      </c>
      <c r="N90" s="69">
        <f t="shared" si="11"/>
        <v>1.0559999999999963</v>
      </c>
      <c r="O90" s="58">
        <f t="shared" si="9"/>
        <v>0</v>
      </c>
      <c r="P90" s="85"/>
      <c r="Q90" s="59">
        <f t="shared" si="10"/>
        <v>0</v>
      </c>
    </row>
    <row r="91" spans="1:17" ht="15.75" hidden="1" customHeight="1" x14ac:dyDescent="0.35">
      <c r="A91" s="54" t="s">
        <v>56</v>
      </c>
      <c r="B91" s="55" t="s">
        <v>28</v>
      </c>
      <c r="C91" s="55" t="s">
        <v>134</v>
      </c>
      <c r="D91" s="55">
        <v>98</v>
      </c>
      <c r="E91" s="55">
        <v>92</v>
      </c>
      <c r="F91" s="55"/>
      <c r="G91" s="55">
        <v>92</v>
      </c>
      <c r="H91" s="55">
        <v>85</v>
      </c>
      <c r="I91" s="70"/>
      <c r="J91" s="55">
        <v>97</v>
      </c>
      <c r="K91" s="55">
        <f>45+50</f>
        <v>95</v>
      </c>
      <c r="L91" s="80"/>
      <c r="M91" s="69">
        <f t="shared" si="12"/>
        <v>93.166666666666671</v>
      </c>
      <c r="N91" s="69">
        <f t="shared" si="11"/>
        <v>4.5099999999999971</v>
      </c>
      <c r="O91" s="58">
        <f t="shared" si="9"/>
        <v>0</v>
      </c>
      <c r="P91" s="85"/>
      <c r="Q91" s="59">
        <f t="shared" si="10"/>
        <v>0</v>
      </c>
    </row>
    <row r="92" spans="1:17" ht="15.75" hidden="1" customHeight="1" x14ac:dyDescent="0.35">
      <c r="A92" s="54" t="s">
        <v>30</v>
      </c>
      <c r="B92" s="55" t="s">
        <v>28</v>
      </c>
      <c r="C92" s="55" t="s">
        <v>134</v>
      </c>
      <c r="D92" s="55">
        <v>93</v>
      </c>
      <c r="E92" s="55"/>
      <c r="F92" s="55">
        <v>96</v>
      </c>
      <c r="G92" s="55">
        <v>77</v>
      </c>
      <c r="H92" s="55"/>
      <c r="I92" s="70"/>
      <c r="J92" s="55"/>
      <c r="K92" s="55"/>
      <c r="L92" s="80"/>
      <c r="M92" s="69">
        <f t="shared" si="12"/>
        <v>88.666666666666671</v>
      </c>
      <c r="N92" s="69">
        <f t="shared" si="11"/>
        <v>7.4799999999999969</v>
      </c>
      <c r="O92" s="58">
        <f t="shared" si="9"/>
        <v>0</v>
      </c>
      <c r="P92" s="85"/>
      <c r="Q92" s="59">
        <f t="shared" si="10"/>
        <v>0</v>
      </c>
    </row>
    <row r="93" spans="1:17" ht="15.75" hidden="1" customHeight="1" x14ac:dyDescent="0.35">
      <c r="A93" s="54" t="s">
        <v>55</v>
      </c>
      <c r="B93" s="55" t="s">
        <v>28</v>
      </c>
      <c r="C93" s="55" t="s">
        <v>134</v>
      </c>
      <c r="D93" s="55"/>
      <c r="E93" s="55"/>
      <c r="F93" s="55"/>
      <c r="G93" s="55"/>
      <c r="H93" s="55">
        <f>46+47</f>
        <v>93</v>
      </c>
      <c r="I93" s="70"/>
      <c r="J93" s="55"/>
      <c r="K93" s="55"/>
      <c r="L93" s="80"/>
      <c r="M93" s="69">
        <f t="shared" si="12"/>
        <v>93</v>
      </c>
      <c r="N93" s="69">
        <f t="shared" si="11"/>
        <v>4.62</v>
      </c>
      <c r="O93" s="58">
        <f t="shared" si="9"/>
        <v>0</v>
      </c>
      <c r="P93" s="85"/>
      <c r="Q93" s="59">
        <f t="shared" si="10"/>
        <v>0</v>
      </c>
    </row>
    <row r="94" spans="1:17" ht="15.75" hidden="1" customHeight="1" x14ac:dyDescent="0.35">
      <c r="A94" s="54" t="s">
        <v>27</v>
      </c>
      <c r="B94" s="55" t="s">
        <v>28</v>
      </c>
      <c r="C94" s="55" t="s">
        <v>134</v>
      </c>
      <c r="D94" s="55">
        <v>96</v>
      </c>
      <c r="E94" s="55"/>
      <c r="F94" s="55"/>
      <c r="G94" s="55"/>
      <c r="H94" s="55"/>
      <c r="I94" s="70"/>
      <c r="J94" s="55"/>
      <c r="K94" s="55"/>
      <c r="L94" s="80"/>
      <c r="M94" s="69">
        <f t="shared" si="12"/>
        <v>96</v>
      </c>
      <c r="N94" s="69">
        <f t="shared" si="11"/>
        <v>2.64</v>
      </c>
      <c r="O94" s="58">
        <f t="shared" si="9"/>
        <v>0</v>
      </c>
      <c r="P94" s="85"/>
      <c r="Q94" s="59">
        <f t="shared" si="10"/>
        <v>0</v>
      </c>
    </row>
    <row r="95" spans="1:17" ht="15.75" hidden="1" customHeight="1" x14ac:dyDescent="0.35">
      <c r="A95" s="54" t="s">
        <v>41</v>
      </c>
      <c r="B95" s="55" t="s">
        <v>28</v>
      </c>
      <c r="C95" s="55" t="s">
        <v>134</v>
      </c>
      <c r="D95" s="55">
        <v>87</v>
      </c>
      <c r="E95" s="55"/>
      <c r="F95" s="55">
        <v>93</v>
      </c>
      <c r="G95" s="55">
        <v>85</v>
      </c>
      <c r="H95" s="55">
        <f>39+47</f>
        <v>86</v>
      </c>
      <c r="I95" s="70"/>
      <c r="J95" s="55">
        <v>93</v>
      </c>
      <c r="K95" s="55">
        <f>45+49</f>
        <v>94</v>
      </c>
      <c r="L95" s="80"/>
      <c r="M95" s="69">
        <f t="shared" si="12"/>
        <v>89.666666666666671</v>
      </c>
      <c r="N95" s="69">
        <f t="shared" si="11"/>
        <v>6.8199999999999976</v>
      </c>
      <c r="O95" s="58">
        <f t="shared" si="9"/>
        <v>0</v>
      </c>
      <c r="P95" s="85"/>
      <c r="Q95" s="59">
        <f t="shared" si="10"/>
        <v>0</v>
      </c>
    </row>
    <row r="96" spans="1:17" ht="15.75" hidden="1" customHeight="1" x14ac:dyDescent="0.35">
      <c r="A96" s="54" t="s">
        <v>54</v>
      </c>
      <c r="B96" s="55" t="s">
        <v>28</v>
      </c>
      <c r="C96" s="55" t="s">
        <v>134</v>
      </c>
      <c r="D96" s="55"/>
      <c r="E96" s="55"/>
      <c r="F96" s="55"/>
      <c r="G96" s="55">
        <v>85</v>
      </c>
      <c r="H96" s="55"/>
      <c r="I96" s="70"/>
      <c r="J96" s="55"/>
      <c r="K96" s="55"/>
      <c r="L96" s="80"/>
      <c r="M96" s="69">
        <f t="shared" si="12"/>
        <v>85</v>
      </c>
      <c r="N96" s="69">
        <f t="shared" si="11"/>
        <v>9.9</v>
      </c>
      <c r="O96" s="58">
        <f t="shared" si="9"/>
        <v>0</v>
      </c>
      <c r="P96" s="85"/>
      <c r="Q96" s="59">
        <f t="shared" si="10"/>
        <v>0</v>
      </c>
    </row>
    <row r="97" spans="1:17" ht="15.75" hidden="1" customHeight="1" x14ac:dyDescent="0.35">
      <c r="A97" s="54" t="s">
        <v>99</v>
      </c>
      <c r="B97" s="55" t="s">
        <v>28</v>
      </c>
      <c r="C97" s="55" t="s">
        <v>95</v>
      </c>
      <c r="D97" s="55">
        <v>95</v>
      </c>
      <c r="E97" s="55">
        <v>99</v>
      </c>
      <c r="F97" s="55">
        <v>97</v>
      </c>
      <c r="G97" s="55"/>
      <c r="H97" s="55"/>
      <c r="I97" s="70"/>
      <c r="J97" s="55">
        <v>83</v>
      </c>
      <c r="K97" s="55"/>
      <c r="L97" s="80"/>
      <c r="M97" s="69">
        <f t="shared" si="12"/>
        <v>93.5</v>
      </c>
      <c r="N97" s="69">
        <f t="shared" si="11"/>
        <v>4.29</v>
      </c>
      <c r="O97" s="58">
        <f t="shared" si="9"/>
        <v>0</v>
      </c>
      <c r="P97" s="85"/>
      <c r="Q97" s="59">
        <f t="shared" si="10"/>
        <v>0</v>
      </c>
    </row>
    <row r="98" spans="1:17" ht="15.75" hidden="1" customHeight="1" x14ac:dyDescent="0.35">
      <c r="A98" s="54" t="s">
        <v>100</v>
      </c>
      <c r="B98" s="55" t="s">
        <v>28</v>
      </c>
      <c r="C98" s="55" t="s">
        <v>95</v>
      </c>
      <c r="D98" s="55">
        <v>94</v>
      </c>
      <c r="E98" s="55"/>
      <c r="F98" s="55">
        <v>97</v>
      </c>
      <c r="G98" s="55">
        <v>88</v>
      </c>
      <c r="H98" s="55">
        <v>87</v>
      </c>
      <c r="I98" s="70"/>
      <c r="J98" s="55">
        <v>86</v>
      </c>
      <c r="K98" s="55">
        <v>98</v>
      </c>
      <c r="L98" s="80"/>
      <c r="M98" s="69">
        <f t="shared" si="12"/>
        <v>91.666666666666671</v>
      </c>
      <c r="N98" s="69">
        <f t="shared" si="11"/>
        <v>5.4999999999999973</v>
      </c>
      <c r="O98" s="58">
        <f t="shared" si="9"/>
        <v>0</v>
      </c>
      <c r="P98" s="85"/>
      <c r="Q98" s="59">
        <f t="shared" si="10"/>
        <v>0</v>
      </c>
    </row>
    <row r="99" spans="1:17" ht="15.75" hidden="1" customHeight="1" x14ac:dyDescent="0.35">
      <c r="A99" s="54" t="s">
        <v>112</v>
      </c>
      <c r="B99" s="55" t="s">
        <v>28</v>
      </c>
      <c r="C99" s="55" t="s">
        <v>136</v>
      </c>
      <c r="D99" s="55">
        <v>95</v>
      </c>
      <c r="E99" s="55">
        <v>95</v>
      </c>
      <c r="F99" s="55">
        <v>98</v>
      </c>
      <c r="G99" s="55">
        <v>83</v>
      </c>
      <c r="H99" s="55">
        <v>83</v>
      </c>
      <c r="I99" s="70"/>
      <c r="J99" s="55"/>
      <c r="K99" s="55">
        <v>95</v>
      </c>
      <c r="L99" s="80"/>
      <c r="M99" s="69">
        <f t="shared" si="12"/>
        <v>91.5</v>
      </c>
      <c r="N99" s="69">
        <f t="shared" si="11"/>
        <v>5.61</v>
      </c>
      <c r="O99" s="58">
        <f t="shared" si="9"/>
        <v>0</v>
      </c>
      <c r="P99" s="85"/>
      <c r="Q99" s="59">
        <f t="shared" si="10"/>
        <v>0</v>
      </c>
    </row>
    <row r="100" spans="1:17" ht="15.75" hidden="1" customHeight="1" x14ac:dyDescent="0.35">
      <c r="A100" s="54" t="s">
        <v>116</v>
      </c>
      <c r="B100" s="55" t="s">
        <v>28</v>
      </c>
      <c r="C100" s="55" t="s">
        <v>136</v>
      </c>
      <c r="D100" s="55">
        <v>94</v>
      </c>
      <c r="E100" s="55"/>
      <c r="F100" s="55">
        <v>90</v>
      </c>
      <c r="G100" s="55">
        <v>85</v>
      </c>
      <c r="H100" s="55">
        <v>82</v>
      </c>
      <c r="I100" s="70"/>
      <c r="J100" s="55"/>
      <c r="K100" s="55"/>
      <c r="L100" s="80"/>
      <c r="M100" s="69">
        <f t="shared" si="12"/>
        <v>87.75</v>
      </c>
      <c r="N100" s="69">
        <f t="shared" si="11"/>
        <v>8.0850000000000009</v>
      </c>
      <c r="O100" s="58">
        <f t="shared" si="9"/>
        <v>0</v>
      </c>
      <c r="P100" s="85"/>
      <c r="Q100" s="59">
        <f t="shared" si="10"/>
        <v>0</v>
      </c>
    </row>
    <row r="101" spans="1:17" ht="15.75" hidden="1" customHeight="1" x14ac:dyDescent="0.35">
      <c r="A101" s="54" t="s">
        <v>107</v>
      </c>
      <c r="B101" s="55" t="s">
        <v>28</v>
      </c>
      <c r="C101" s="55" t="s">
        <v>136</v>
      </c>
      <c r="D101" s="55"/>
      <c r="E101" s="55"/>
      <c r="F101" s="55">
        <v>96</v>
      </c>
      <c r="G101" s="55">
        <v>80</v>
      </c>
      <c r="H101" s="55">
        <v>91</v>
      </c>
      <c r="I101" s="70"/>
      <c r="J101" s="55"/>
      <c r="K101" s="55">
        <v>98</v>
      </c>
      <c r="L101" s="80"/>
      <c r="M101" s="69">
        <f t="shared" si="12"/>
        <v>91.25</v>
      </c>
      <c r="N101" s="69">
        <f t="shared" si="11"/>
        <v>5.7750000000000004</v>
      </c>
      <c r="O101" s="58">
        <f t="shared" si="9"/>
        <v>0</v>
      </c>
      <c r="P101" s="85"/>
      <c r="Q101" s="59">
        <f t="shared" si="10"/>
        <v>0</v>
      </c>
    </row>
    <row r="102" spans="1:17" ht="15.75" hidden="1" customHeight="1" x14ac:dyDescent="0.35">
      <c r="A102" s="54" t="s">
        <v>109</v>
      </c>
      <c r="B102" s="55" t="s">
        <v>28</v>
      </c>
      <c r="C102" s="55" t="s">
        <v>136</v>
      </c>
      <c r="D102" s="55"/>
      <c r="E102" s="55">
        <v>96</v>
      </c>
      <c r="F102" s="55"/>
      <c r="G102" s="55"/>
      <c r="H102" s="55"/>
      <c r="I102" s="70"/>
      <c r="J102" s="55"/>
      <c r="K102" s="55"/>
      <c r="L102" s="80"/>
      <c r="M102" s="69">
        <f t="shared" si="12"/>
        <v>96</v>
      </c>
      <c r="N102" s="69">
        <f t="shared" si="11"/>
        <v>2.64</v>
      </c>
      <c r="O102" s="58">
        <f t="shared" si="9"/>
        <v>0</v>
      </c>
      <c r="P102" s="85"/>
      <c r="Q102" s="59">
        <f t="shared" si="10"/>
        <v>0</v>
      </c>
    </row>
    <row r="103" spans="1:17" ht="15.75" hidden="1" customHeight="1" x14ac:dyDescent="0.35">
      <c r="A103" s="54" t="s">
        <v>108</v>
      </c>
      <c r="B103" s="55" t="s">
        <v>28</v>
      </c>
      <c r="C103" s="55" t="s">
        <v>136</v>
      </c>
      <c r="D103" s="55"/>
      <c r="E103" s="55">
        <v>98</v>
      </c>
      <c r="F103" s="55"/>
      <c r="G103" s="55"/>
      <c r="H103" s="55"/>
      <c r="I103" s="70"/>
      <c r="J103" s="55"/>
      <c r="K103" s="55"/>
      <c r="L103" s="80"/>
      <c r="M103" s="69">
        <f t="shared" si="12"/>
        <v>98</v>
      </c>
      <c r="N103" s="69">
        <f t="shared" si="11"/>
        <v>1.32</v>
      </c>
      <c r="O103" s="58">
        <f t="shared" si="9"/>
        <v>0</v>
      </c>
      <c r="P103" s="85"/>
      <c r="Q103" s="59">
        <f t="shared" si="10"/>
        <v>0</v>
      </c>
    </row>
    <row r="104" spans="1:17" ht="15.75" customHeight="1" x14ac:dyDescent="0.3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84"/>
      <c r="M104" s="30"/>
      <c r="N104" s="39"/>
      <c r="O104" s="30"/>
      <c r="P104" s="50"/>
      <c r="Q104" s="49"/>
    </row>
    <row r="105" spans="1:17" ht="15.75" customHeight="1" x14ac:dyDescent="0.3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84"/>
      <c r="M105" s="30"/>
      <c r="N105" s="39"/>
      <c r="O105" s="30"/>
      <c r="P105" s="50"/>
      <c r="Q105" s="49"/>
    </row>
    <row r="106" spans="1:17" ht="15.75" customHeight="1" x14ac:dyDescent="0.3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84"/>
      <c r="M106" s="30"/>
      <c r="N106" s="39"/>
      <c r="O106" s="30"/>
      <c r="P106" s="50"/>
      <c r="Q106" s="49"/>
    </row>
    <row r="107" spans="1:17" ht="15.75" customHeight="1" x14ac:dyDescent="0.3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84"/>
      <c r="M107" s="30"/>
      <c r="N107" s="39"/>
      <c r="O107" s="30"/>
      <c r="P107" s="50"/>
      <c r="Q107" s="49"/>
    </row>
    <row r="108" spans="1:17" ht="15.75" customHeight="1" x14ac:dyDescent="0.3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84"/>
      <c r="M108" s="30"/>
      <c r="N108" s="39"/>
      <c r="O108" s="30"/>
      <c r="P108" s="50"/>
      <c r="Q108" s="49"/>
    </row>
    <row r="109" spans="1:17" ht="15.75" customHeight="1" x14ac:dyDescent="0.3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84"/>
      <c r="M109" s="30"/>
      <c r="N109" s="39"/>
      <c r="O109" s="30"/>
      <c r="P109" s="50"/>
      <c r="Q109" s="49"/>
    </row>
    <row r="110" spans="1:17" ht="15.75" customHeight="1" x14ac:dyDescent="0.3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84"/>
      <c r="M110" s="30"/>
      <c r="N110" s="39"/>
      <c r="O110" s="30"/>
      <c r="P110" s="50"/>
      <c r="Q110" s="49"/>
    </row>
    <row r="111" spans="1:17" ht="15.75" customHeight="1" x14ac:dyDescent="0.3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84"/>
      <c r="M111" s="30"/>
      <c r="N111" s="39"/>
      <c r="O111" s="30"/>
      <c r="P111" s="50"/>
      <c r="Q111" s="49"/>
    </row>
    <row r="112" spans="1:17" ht="15.75" customHeight="1" x14ac:dyDescent="0.3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84"/>
      <c r="M112" s="30"/>
      <c r="N112" s="39"/>
      <c r="O112" s="30"/>
      <c r="P112" s="50"/>
      <c r="Q112" s="49"/>
    </row>
    <row r="113" spans="1:17" ht="15.75" customHeight="1" x14ac:dyDescent="0.3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84"/>
      <c r="M113" s="30"/>
      <c r="N113" s="39"/>
      <c r="O113" s="30"/>
      <c r="P113" s="50"/>
      <c r="Q113" s="49"/>
    </row>
    <row r="114" spans="1:17" ht="15.75" customHeight="1" x14ac:dyDescent="0.3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84"/>
      <c r="M114" s="30"/>
      <c r="N114" s="39"/>
      <c r="O114" s="30"/>
      <c r="P114" s="50"/>
      <c r="Q114" s="49"/>
    </row>
    <row r="115" spans="1:17" ht="15.75" customHeight="1" x14ac:dyDescent="0.3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84"/>
      <c r="M115" s="30"/>
      <c r="N115" s="39"/>
      <c r="O115" s="30"/>
      <c r="P115" s="50"/>
      <c r="Q115" s="49"/>
    </row>
    <row r="116" spans="1:17" ht="15.75" customHeight="1" x14ac:dyDescent="0.3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84"/>
      <c r="M116" s="30"/>
      <c r="N116" s="39"/>
      <c r="O116" s="30"/>
      <c r="P116" s="50"/>
      <c r="Q116" s="49"/>
    </row>
    <row r="117" spans="1:17" ht="15.75" customHeight="1" x14ac:dyDescent="0.3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84"/>
      <c r="M117" s="30"/>
      <c r="N117" s="39"/>
      <c r="O117" s="30"/>
      <c r="P117" s="50"/>
      <c r="Q117" s="49"/>
    </row>
    <row r="118" spans="1:17" ht="15.75" customHeight="1" x14ac:dyDescent="0.3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84"/>
      <c r="M118" s="30"/>
      <c r="N118" s="39"/>
      <c r="O118" s="30"/>
      <c r="P118" s="50"/>
      <c r="Q118" s="49"/>
    </row>
    <row r="119" spans="1:17" ht="15.75" customHeight="1" x14ac:dyDescent="0.3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84"/>
      <c r="M119" s="30"/>
      <c r="N119" s="39"/>
      <c r="O119" s="30"/>
      <c r="P119" s="50"/>
      <c r="Q119" s="49"/>
    </row>
    <row r="120" spans="1:17" ht="15.75" customHeight="1" x14ac:dyDescent="0.3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84"/>
      <c r="M120" s="30"/>
      <c r="N120" s="39"/>
      <c r="O120" s="30"/>
      <c r="P120" s="50"/>
      <c r="Q120" s="49"/>
    </row>
    <row r="121" spans="1:17" ht="15.75" customHeight="1" x14ac:dyDescent="0.3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84"/>
      <c r="M121" s="30"/>
      <c r="N121" s="39"/>
      <c r="O121" s="30"/>
      <c r="P121" s="50"/>
      <c r="Q121" s="49"/>
    </row>
    <row r="122" spans="1:17" ht="15.75" customHeight="1" x14ac:dyDescent="0.3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84"/>
      <c r="M122" s="30"/>
      <c r="N122" s="39"/>
      <c r="O122" s="30"/>
      <c r="P122" s="50"/>
      <c r="Q122" s="49"/>
    </row>
    <row r="123" spans="1:17" ht="15.75" customHeight="1" x14ac:dyDescent="0.3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84"/>
      <c r="M123" s="30"/>
      <c r="N123" s="39"/>
      <c r="O123" s="30"/>
      <c r="P123" s="50"/>
      <c r="Q123" s="49"/>
    </row>
    <row r="124" spans="1:17" ht="15.75" customHeight="1" x14ac:dyDescent="0.3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84"/>
      <c r="M124" s="30"/>
      <c r="N124" s="39"/>
      <c r="O124" s="30"/>
      <c r="P124" s="50"/>
      <c r="Q124" s="49"/>
    </row>
    <row r="125" spans="1:17" ht="15.75" customHeight="1" x14ac:dyDescent="0.3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84"/>
      <c r="M125" s="30"/>
      <c r="N125" s="39"/>
      <c r="O125" s="30"/>
      <c r="P125" s="50"/>
      <c r="Q125" s="49"/>
    </row>
    <row r="126" spans="1:17" ht="15.75" customHeight="1" x14ac:dyDescent="0.3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84"/>
      <c r="M126" s="30"/>
      <c r="N126" s="39"/>
      <c r="O126" s="30"/>
      <c r="P126" s="50"/>
      <c r="Q126" s="49"/>
    </row>
    <row r="127" spans="1:17" ht="15.75" customHeight="1" x14ac:dyDescent="0.3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84"/>
      <c r="M127" s="30"/>
      <c r="N127" s="39"/>
      <c r="O127" s="30"/>
      <c r="P127" s="50"/>
      <c r="Q127" s="49"/>
    </row>
    <row r="128" spans="1:17" ht="15.75" customHeight="1" x14ac:dyDescent="0.3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84"/>
      <c r="M128" s="30"/>
      <c r="N128" s="39"/>
      <c r="O128" s="30"/>
      <c r="P128" s="50"/>
      <c r="Q128" s="49"/>
    </row>
    <row r="129" spans="1:17" ht="15.75" customHeight="1" x14ac:dyDescent="0.3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84"/>
      <c r="M129" s="30"/>
      <c r="N129" s="39"/>
      <c r="O129" s="30"/>
      <c r="P129" s="50"/>
      <c r="Q129" s="49"/>
    </row>
    <row r="130" spans="1:17" ht="15.75" customHeight="1" x14ac:dyDescent="0.3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84"/>
      <c r="M130" s="30"/>
      <c r="N130" s="39"/>
      <c r="O130" s="30"/>
      <c r="P130" s="50"/>
      <c r="Q130" s="49"/>
    </row>
    <row r="131" spans="1:17" ht="15.75" customHeight="1" x14ac:dyDescent="0.3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84"/>
      <c r="M131" s="30"/>
      <c r="N131" s="39"/>
      <c r="O131" s="30"/>
      <c r="P131" s="50"/>
      <c r="Q131" s="49"/>
    </row>
    <row r="132" spans="1:17" ht="15.75" customHeight="1" x14ac:dyDescent="0.3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84"/>
      <c r="M132" s="30"/>
      <c r="N132" s="39"/>
      <c r="O132" s="30"/>
      <c r="P132" s="50"/>
      <c r="Q132" s="49"/>
    </row>
    <row r="133" spans="1:17" ht="15.75" customHeight="1" x14ac:dyDescent="0.3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84"/>
      <c r="M133" s="30"/>
      <c r="N133" s="39"/>
      <c r="O133" s="30"/>
      <c r="P133" s="50"/>
      <c r="Q133" s="49"/>
    </row>
    <row r="134" spans="1:17" ht="15.75" customHeight="1" x14ac:dyDescent="0.3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84"/>
      <c r="M134" s="30"/>
      <c r="N134" s="39"/>
      <c r="O134" s="30"/>
      <c r="P134" s="50"/>
      <c r="Q134" s="49"/>
    </row>
    <row r="135" spans="1:17" ht="15.75" customHeight="1" x14ac:dyDescent="0.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84"/>
      <c r="M135" s="30"/>
      <c r="N135" s="39"/>
      <c r="O135" s="30"/>
      <c r="P135" s="50"/>
      <c r="Q135" s="49"/>
    </row>
    <row r="136" spans="1:17" ht="15.75" customHeight="1" x14ac:dyDescent="0.3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84"/>
      <c r="M136" s="30"/>
      <c r="N136" s="39"/>
      <c r="O136" s="30"/>
      <c r="P136" s="50"/>
      <c r="Q136" s="49"/>
    </row>
    <row r="137" spans="1:17" ht="15.75" customHeight="1" x14ac:dyDescent="0.3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84"/>
      <c r="M137" s="30"/>
      <c r="N137" s="39"/>
      <c r="O137" s="30"/>
      <c r="P137" s="50"/>
      <c r="Q137" s="49"/>
    </row>
    <row r="138" spans="1:17" ht="15.75" customHeight="1" x14ac:dyDescent="0.3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84"/>
      <c r="M138" s="30"/>
      <c r="N138" s="39"/>
      <c r="O138" s="30"/>
      <c r="P138" s="50"/>
      <c r="Q138" s="49"/>
    </row>
    <row r="139" spans="1:17" ht="15.75" customHeight="1" x14ac:dyDescent="0.3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84"/>
      <c r="M139" s="30"/>
      <c r="N139" s="39"/>
      <c r="O139" s="30"/>
      <c r="P139" s="50"/>
      <c r="Q139" s="49"/>
    </row>
    <row r="140" spans="1:17" ht="15.75" customHeight="1" x14ac:dyDescent="0.3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84"/>
      <c r="M140" s="30"/>
      <c r="N140" s="39"/>
      <c r="O140" s="30"/>
      <c r="P140" s="50"/>
      <c r="Q140" s="49"/>
    </row>
    <row r="141" spans="1:17" ht="15.75" customHeight="1" x14ac:dyDescent="0.3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84"/>
      <c r="M141" s="30"/>
      <c r="N141" s="39"/>
      <c r="O141" s="30"/>
      <c r="P141" s="50"/>
      <c r="Q141" s="49"/>
    </row>
    <row r="142" spans="1:17" ht="15.75" customHeight="1" x14ac:dyDescent="0.3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84"/>
      <c r="M142" s="30"/>
      <c r="N142" s="39"/>
      <c r="O142" s="30"/>
      <c r="P142" s="50"/>
      <c r="Q142" s="49"/>
    </row>
    <row r="143" spans="1:17" ht="15.75" customHeight="1" x14ac:dyDescent="0.3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84"/>
      <c r="M143" s="30"/>
      <c r="N143" s="39"/>
      <c r="O143" s="30"/>
      <c r="P143" s="50"/>
      <c r="Q143" s="49"/>
    </row>
    <row r="144" spans="1:17" ht="15.75" customHeight="1" x14ac:dyDescent="0.3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84"/>
      <c r="M144" s="30"/>
      <c r="N144" s="39"/>
      <c r="O144" s="30"/>
      <c r="P144" s="50"/>
      <c r="Q144" s="49"/>
    </row>
    <row r="145" spans="1:17" ht="15.75" customHeight="1" x14ac:dyDescent="0.3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84"/>
      <c r="M145" s="30"/>
      <c r="N145" s="39"/>
      <c r="O145" s="30"/>
      <c r="P145" s="50"/>
      <c r="Q145" s="49"/>
    </row>
    <row r="146" spans="1:17" ht="15.75" customHeight="1" x14ac:dyDescent="0.3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84"/>
      <c r="M146" s="30"/>
      <c r="N146" s="39"/>
      <c r="O146" s="30"/>
      <c r="P146" s="50"/>
      <c r="Q146" s="49"/>
    </row>
    <row r="147" spans="1:17" ht="15.75" customHeight="1" x14ac:dyDescent="0.3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84"/>
      <c r="M147" s="30"/>
      <c r="N147" s="39"/>
      <c r="O147" s="30"/>
      <c r="P147" s="50"/>
      <c r="Q147" s="49"/>
    </row>
    <row r="148" spans="1:17" ht="15.75" customHeight="1" x14ac:dyDescent="0.3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84"/>
      <c r="M148" s="30"/>
      <c r="N148" s="39"/>
      <c r="O148" s="30"/>
      <c r="P148" s="50"/>
      <c r="Q148" s="49"/>
    </row>
    <row r="149" spans="1:17" ht="15.75" customHeight="1" x14ac:dyDescent="0.3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84"/>
      <c r="M149" s="30"/>
      <c r="N149" s="39"/>
      <c r="O149" s="30"/>
      <c r="P149" s="50"/>
      <c r="Q149" s="49"/>
    </row>
    <row r="150" spans="1:17" ht="15.75" customHeight="1" x14ac:dyDescent="0.3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84"/>
      <c r="M150" s="30"/>
      <c r="N150" s="39"/>
      <c r="O150" s="30"/>
      <c r="P150" s="50"/>
      <c r="Q150" s="49"/>
    </row>
    <row r="151" spans="1:17" ht="15.75" customHeight="1" x14ac:dyDescent="0.3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84"/>
      <c r="M151" s="30"/>
      <c r="N151" s="39"/>
      <c r="O151" s="30"/>
      <c r="P151" s="50"/>
      <c r="Q151" s="49"/>
    </row>
    <row r="152" spans="1:17" ht="15.75" customHeight="1" x14ac:dyDescent="0.3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84"/>
      <c r="M152" s="30"/>
      <c r="N152" s="39"/>
      <c r="O152" s="30"/>
      <c r="P152" s="50"/>
      <c r="Q152" s="49"/>
    </row>
    <row r="153" spans="1:17" ht="15.75" customHeight="1" x14ac:dyDescent="0.3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84"/>
      <c r="M153" s="30"/>
      <c r="N153" s="39"/>
      <c r="O153" s="30"/>
      <c r="P153" s="50"/>
      <c r="Q153" s="49"/>
    </row>
    <row r="154" spans="1:17" ht="15.75" customHeight="1" x14ac:dyDescent="0.3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84"/>
      <c r="M154" s="30"/>
      <c r="N154" s="39"/>
      <c r="O154" s="30"/>
      <c r="P154" s="50"/>
      <c r="Q154" s="49"/>
    </row>
    <row r="155" spans="1:17" ht="15.75" customHeight="1" x14ac:dyDescent="0.3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84"/>
      <c r="M155" s="30"/>
      <c r="N155" s="39"/>
      <c r="O155" s="30"/>
      <c r="P155" s="50"/>
      <c r="Q155" s="49"/>
    </row>
    <row r="156" spans="1:17" ht="15.75" customHeight="1" x14ac:dyDescent="0.3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84"/>
      <c r="M156" s="30"/>
      <c r="N156" s="39"/>
      <c r="O156" s="30"/>
      <c r="P156" s="50"/>
      <c r="Q156" s="49"/>
    </row>
    <row r="157" spans="1:17" ht="15.75" customHeight="1" x14ac:dyDescent="0.3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84"/>
      <c r="M157" s="30"/>
      <c r="N157" s="39"/>
      <c r="O157" s="30"/>
      <c r="P157" s="50"/>
      <c r="Q157" s="49"/>
    </row>
    <row r="158" spans="1:17" ht="15.75" customHeight="1" x14ac:dyDescent="0.3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84"/>
      <c r="M158" s="30"/>
      <c r="N158" s="39"/>
      <c r="O158" s="30"/>
      <c r="P158" s="50"/>
      <c r="Q158" s="49"/>
    </row>
    <row r="159" spans="1:17" ht="15.75" customHeight="1" x14ac:dyDescent="0.3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84"/>
      <c r="M159" s="30"/>
      <c r="N159" s="39"/>
      <c r="O159" s="30"/>
      <c r="P159" s="50"/>
      <c r="Q159" s="49"/>
    </row>
    <row r="160" spans="1:17" ht="15.75" customHeight="1" x14ac:dyDescent="0.3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84"/>
      <c r="M160" s="30"/>
      <c r="N160" s="39"/>
      <c r="O160" s="30"/>
      <c r="P160" s="50"/>
      <c r="Q160" s="49"/>
    </row>
    <row r="161" spans="1:17" ht="15.75" customHeight="1" x14ac:dyDescent="0.3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84"/>
      <c r="M161" s="30"/>
      <c r="N161" s="39"/>
      <c r="O161" s="30"/>
      <c r="P161" s="50"/>
      <c r="Q161" s="49"/>
    </row>
    <row r="162" spans="1:17" ht="15.75" customHeight="1" x14ac:dyDescent="0.3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84"/>
      <c r="M162" s="30"/>
      <c r="N162" s="39"/>
      <c r="O162" s="30"/>
      <c r="P162" s="50"/>
      <c r="Q162" s="49"/>
    </row>
    <row r="163" spans="1:17" ht="15.75" customHeight="1" x14ac:dyDescent="0.3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84"/>
      <c r="M163" s="30"/>
      <c r="N163" s="39"/>
      <c r="O163" s="30"/>
      <c r="P163" s="50"/>
      <c r="Q163" s="49"/>
    </row>
    <row r="164" spans="1:17" ht="15.75" customHeight="1" x14ac:dyDescent="0.3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84"/>
      <c r="M164" s="30"/>
      <c r="N164" s="39"/>
      <c r="O164" s="30"/>
      <c r="P164" s="50"/>
      <c r="Q164" s="49"/>
    </row>
    <row r="165" spans="1:17" ht="15.75" customHeight="1" x14ac:dyDescent="0.3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84"/>
      <c r="M165" s="30"/>
      <c r="N165" s="39"/>
      <c r="O165" s="30"/>
      <c r="P165" s="50"/>
      <c r="Q165" s="49"/>
    </row>
    <row r="166" spans="1:17" ht="15.75" customHeight="1" x14ac:dyDescent="0.3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84"/>
      <c r="M166" s="30"/>
      <c r="N166" s="39"/>
      <c r="O166" s="30"/>
      <c r="P166" s="50"/>
      <c r="Q166" s="49"/>
    </row>
    <row r="167" spans="1:17" ht="15.75" customHeight="1" x14ac:dyDescent="0.3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84"/>
      <c r="M167" s="30"/>
      <c r="N167" s="39"/>
      <c r="O167" s="30"/>
      <c r="P167" s="50"/>
      <c r="Q167" s="49"/>
    </row>
    <row r="168" spans="1:17" ht="15.75" customHeight="1" x14ac:dyDescent="0.3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84"/>
      <c r="M168" s="30"/>
      <c r="N168" s="39"/>
      <c r="O168" s="30"/>
      <c r="P168" s="50"/>
      <c r="Q168" s="49"/>
    </row>
    <row r="169" spans="1:17" ht="15.75" customHeight="1" x14ac:dyDescent="0.3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84"/>
      <c r="M169" s="30"/>
      <c r="N169" s="39"/>
      <c r="O169" s="30"/>
      <c r="P169" s="50"/>
      <c r="Q169" s="49"/>
    </row>
    <row r="170" spans="1:17" ht="15.75" customHeight="1" x14ac:dyDescent="0.3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84"/>
      <c r="M170" s="30"/>
      <c r="N170" s="39"/>
      <c r="O170" s="30"/>
      <c r="P170" s="50"/>
      <c r="Q170" s="49"/>
    </row>
    <row r="171" spans="1:17" ht="15.75" customHeight="1" x14ac:dyDescent="0.3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84"/>
      <c r="M171" s="30"/>
      <c r="N171" s="39"/>
      <c r="O171" s="30"/>
      <c r="P171" s="50"/>
      <c r="Q171" s="49"/>
    </row>
    <row r="172" spans="1:17" ht="15.75" customHeight="1" x14ac:dyDescent="0.3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84"/>
      <c r="M172" s="30"/>
      <c r="N172" s="39"/>
      <c r="O172" s="30"/>
      <c r="P172" s="50"/>
      <c r="Q172" s="49"/>
    </row>
    <row r="173" spans="1:17" ht="15.75" customHeight="1" x14ac:dyDescent="0.3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84"/>
      <c r="M173" s="30"/>
      <c r="N173" s="39"/>
      <c r="O173" s="30"/>
      <c r="P173" s="50"/>
      <c r="Q173" s="49"/>
    </row>
    <row r="174" spans="1:17" ht="15.75" customHeight="1" x14ac:dyDescent="0.3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84"/>
      <c r="M174" s="30"/>
      <c r="N174" s="39"/>
      <c r="O174" s="30"/>
      <c r="P174" s="50"/>
      <c r="Q174" s="49"/>
    </row>
    <row r="175" spans="1:17" ht="15.75" customHeight="1" x14ac:dyDescent="0.3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84"/>
      <c r="M175" s="30"/>
      <c r="N175" s="39"/>
      <c r="O175" s="30"/>
      <c r="P175" s="50"/>
      <c r="Q175" s="49"/>
    </row>
    <row r="176" spans="1:17" ht="15.75" customHeight="1" x14ac:dyDescent="0.3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84"/>
      <c r="M176" s="30"/>
      <c r="N176" s="39"/>
      <c r="O176" s="30"/>
      <c r="P176" s="50"/>
      <c r="Q176" s="49"/>
    </row>
    <row r="177" spans="1:17" ht="15.75" customHeight="1" x14ac:dyDescent="0.3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84"/>
      <c r="M177" s="30"/>
      <c r="N177" s="39"/>
      <c r="O177" s="30"/>
      <c r="P177" s="50"/>
      <c r="Q177" s="49"/>
    </row>
    <row r="178" spans="1:17" ht="15.75" customHeight="1" x14ac:dyDescent="0.3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84"/>
      <c r="M178" s="30"/>
      <c r="N178" s="39"/>
      <c r="O178" s="30"/>
      <c r="P178" s="50"/>
      <c r="Q178" s="49"/>
    </row>
    <row r="179" spans="1:17" ht="15.75" customHeight="1" x14ac:dyDescent="0.3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84"/>
      <c r="M179" s="30"/>
      <c r="N179" s="39"/>
      <c r="O179" s="30"/>
      <c r="P179" s="50"/>
      <c r="Q179" s="49"/>
    </row>
    <row r="180" spans="1:17" ht="15.75" customHeight="1" x14ac:dyDescent="0.3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84"/>
      <c r="M180" s="30"/>
      <c r="N180" s="39"/>
      <c r="O180" s="30"/>
      <c r="P180" s="50"/>
      <c r="Q180" s="49"/>
    </row>
    <row r="181" spans="1:17" ht="15.75" customHeight="1" x14ac:dyDescent="0.3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84"/>
      <c r="M181" s="30"/>
      <c r="N181" s="39"/>
      <c r="O181" s="30"/>
      <c r="P181" s="50"/>
      <c r="Q181" s="49"/>
    </row>
    <row r="182" spans="1:17" ht="15.75" customHeight="1" x14ac:dyDescent="0.3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84"/>
      <c r="M182" s="30"/>
      <c r="N182" s="39"/>
      <c r="O182" s="30"/>
      <c r="P182" s="50"/>
      <c r="Q182" s="49"/>
    </row>
    <row r="183" spans="1:17" ht="15.75" customHeight="1" x14ac:dyDescent="0.3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84"/>
      <c r="M183" s="30"/>
      <c r="N183" s="39"/>
      <c r="O183" s="30"/>
      <c r="P183" s="50"/>
      <c r="Q183" s="49"/>
    </row>
    <row r="184" spans="1:17" ht="15.75" customHeight="1" x14ac:dyDescent="0.3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84"/>
      <c r="M184" s="30"/>
      <c r="N184" s="39"/>
      <c r="O184" s="30"/>
      <c r="P184" s="50"/>
      <c r="Q184" s="49"/>
    </row>
    <row r="185" spans="1:17" ht="15.75" customHeight="1" x14ac:dyDescent="0.3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84"/>
      <c r="M185" s="30"/>
      <c r="N185" s="39"/>
      <c r="O185" s="30"/>
      <c r="P185" s="50"/>
      <c r="Q185" s="49"/>
    </row>
    <row r="186" spans="1:17" ht="15.75" customHeight="1" x14ac:dyDescent="0.3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84"/>
      <c r="M186" s="30"/>
      <c r="N186" s="39"/>
      <c r="O186" s="30"/>
      <c r="P186" s="50"/>
      <c r="Q186" s="49"/>
    </row>
    <row r="187" spans="1:17" ht="15.75" customHeight="1" x14ac:dyDescent="0.3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84"/>
      <c r="M187" s="30"/>
      <c r="N187" s="39"/>
      <c r="O187" s="30"/>
      <c r="P187" s="50"/>
      <c r="Q187" s="49"/>
    </row>
    <row r="188" spans="1:17" ht="15.75" customHeight="1" x14ac:dyDescent="0.3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84"/>
      <c r="M188" s="30"/>
      <c r="N188" s="39"/>
      <c r="O188" s="30"/>
      <c r="P188" s="50"/>
      <c r="Q188" s="49"/>
    </row>
    <row r="189" spans="1:17" ht="15.75" customHeight="1" x14ac:dyDescent="0.3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84"/>
      <c r="M189" s="30"/>
      <c r="N189" s="39"/>
      <c r="O189" s="30"/>
      <c r="P189" s="50"/>
      <c r="Q189" s="49"/>
    </row>
    <row r="190" spans="1:17" ht="15.75" customHeight="1" x14ac:dyDescent="0.3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84"/>
      <c r="M190" s="30"/>
      <c r="N190" s="39"/>
      <c r="O190" s="30"/>
      <c r="P190" s="50"/>
      <c r="Q190" s="49"/>
    </row>
    <row r="191" spans="1:17" ht="15.75" customHeight="1" x14ac:dyDescent="0.3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84"/>
      <c r="M191" s="30"/>
      <c r="N191" s="39"/>
      <c r="O191" s="30"/>
      <c r="P191" s="50"/>
      <c r="Q191" s="49"/>
    </row>
    <row r="192" spans="1:17" ht="15.75" customHeight="1" x14ac:dyDescent="0.3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84"/>
      <c r="M192" s="30"/>
      <c r="N192" s="39"/>
      <c r="O192" s="30"/>
      <c r="P192" s="50"/>
      <c r="Q192" s="49"/>
    </row>
    <row r="193" spans="1:17" ht="15.75" customHeight="1" x14ac:dyDescent="0.3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84"/>
      <c r="M193" s="30"/>
      <c r="N193" s="39"/>
      <c r="O193" s="30"/>
      <c r="P193" s="50"/>
      <c r="Q193" s="49"/>
    </row>
    <row r="194" spans="1:17" ht="15.75" customHeight="1" x14ac:dyDescent="0.3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84"/>
      <c r="M194" s="30"/>
      <c r="N194" s="39"/>
      <c r="O194" s="30"/>
      <c r="P194" s="50"/>
      <c r="Q194" s="49"/>
    </row>
    <row r="195" spans="1:17" ht="15.75" customHeight="1" x14ac:dyDescent="0.3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84"/>
      <c r="M195" s="30"/>
      <c r="N195" s="39"/>
      <c r="O195" s="30"/>
      <c r="P195" s="50"/>
      <c r="Q195" s="49"/>
    </row>
    <row r="196" spans="1:17" ht="15.75" customHeight="1" x14ac:dyDescent="0.3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84"/>
      <c r="M196" s="30"/>
      <c r="N196" s="39"/>
      <c r="O196" s="30"/>
      <c r="P196" s="50"/>
      <c r="Q196" s="49"/>
    </row>
    <row r="197" spans="1:17" ht="15.75" customHeight="1" x14ac:dyDescent="0.3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84"/>
      <c r="M197" s="30"/>
      <c r="N197" s="39"/>
      <c r="O197" s="30"/>
      <c r="P197" s="50"/>
      <c r="Q197" s="49"/>
    </row>
    <row r="198" spans="1:17" ht="15.75" customHeight="1" x14ac:dyDescent="0.3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84"/>
      <c r="M198" s="30"/>
      <c r="N198" s="39"/>
      <c r="O198" s="30"/>
      <c r="P198" s="50"/>
      <c r="Q198" s="49"/>
    </row>
    <row r="199" spans="1:17" ht="15.75" customHeight="1" x14ac:dyDescent="0.3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84"/>
      <c r="M199" s="30"/>
      <c r="N199" s="39"/>
      <c r="O199" s="30"/>
      <c r="P199" s="50"/>
      <c r="Q199" s="49"/>
    </row>
    <row r="200" spans="1:17" ht="15.75" customHeight="1" x14ac:dyDescent="0.3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84"/>
      <c r="M200" s="30"/>
      <c r="N200" s="39"/>
      <c r="O200" s="30"/>
      <c r="P200" s="50"/>
      <c r="Q200" s="49"/>
    </row>
    <row r="201" spans="1:17" ht="15.75" customHeight="1" x14ac:dyDescent="0.3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84"/>
      <c r="M201" s="30"/>
      <c r="N201" s="39"/>
      <c r="O201" s="30"/>
      <c r="P201" s="50"/>
      <c r="Q201" s="49"/>
    </row>
    <row r="202" spans="1:17" ht="15.75" customHeight="1" x14ac:dyDescent="0.3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84"/>
      <c r="M202" s="30"/>
      <c r="N202" s="39"/>
      <c r="O202" s="30"/>
      <c r="P202" s="50"/>
      <c r="Q202" s="49"/>
    </row>
    <row r="203" spans="1:17" ht="15.75" customHeight="1" x14ac:dyDescent="0.3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84"/>
      <c r="M203" s="30"/>
      <c r="N203" s="39"/>
      <c r="O203" s="30"/>
      <c r="P203" s="50"/>
      <c r="Q203" s="49"/>
    </row>
    <row r="204" spans="1:17" ht="15.75" customHeight="1" x14ac:dyDescent="0.3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84"/>
      <c r="M204" s="30"/>
      <c r="N204" s="39"/>
      <c r="O204" s="30"/>
      <c r="P204" s="50"/>
      <c r="Q204" s="49"/>
    </row>
    <row r="205" spans="1:17" ht="15.75" customHeight="1" x14ac:dyDescent="0.3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84"/>
      <c r="M205" s="30"/>
      <c r="N205" s="39"/>
      <c r="O205" s="30"/>
      <c r="P205" s="50"/>
      <c r="Q205" s="49"/>
    </row>
    <row r="206" spans="1:17" ht="15.75" customHeight="1" x14ac:dyDescent="0.3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84"/>
      <c r="M206" s="30"/>
      <c r="N206" s="39"/>
      <c r="O206" s="30"/>
      <c r="P206" s="50"/>
      <c r="Q206" s="49"/>
    </row>
    <row r="207" spans="1:17" ht="15.75" customHeight="1" x14ac:dyDescent="0.3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84"/>
      <c r="M207" s="30"/>
      <c r="N207" s="39"/>
      <c r="O207" s="30"/>
      <c r="P207" s="50"/>
      <c r="Q207" s="49"/>
    </row>
    <row r="208" spans="1:17" ht="15.75" customHeight="1" x14ac:dyDescent="0.3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84"/>
      <c r="M208" s="30"/>
      <c r="N208" s="39"/>
      <c r="O208" s="30"/>
      <c r="P208" s="50"/>
      <c r="Q208" s="49"/>
    </row>
    <row r="209" spans="1:17" ht="15.75" customHeight="1" x14ac:dyDescent="0.3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84"/>
      <c r="M209" s="30"/>
      <c r="N209" s="39"/>
      <c r="O209" s="30"/>
      <c r="P209" s="50"/>
      <c r="Q209" s="49"/>
    </row>
    <row r="210" spans="1:17" ht="15.75" customHeight="1" x14ac:dyDescent="0.3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84"/>
      <c r="M210" s="30"/>
      <c r="N210" s="39"/>
      <c r="O210" s="30"/>
      <c r="P210" s="50"/>
      <c r="Q210" s="49"/>
    </row>
    <row r="211" spans="1:17" ht="15.75" customHeight="1" x14ac:dyDescent="0.3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84"/>
      <c r="M211" s="30"/>
      <c r="N211" s="39"/>
      <c r="O211" s="30"/>
      <c r="P211" s="50"/>
      <c r="Q211" s="49"/>
    </row>
    <row r="212" spans="1:17" ht="15.75" customHeight="1" x14ac:dyDescent="0.3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84"/>
      <c r="M212" s="30"/>
      <c r="N212" s="39"/>
      <c r="O212" s="30"/>
      <c r="P212" s="50"/>
      <c r="Q212" s="49"/>
    </row>
    <row r="213" spans="1:17" ht="15.75" customHeight="1" x14ac:dyDescent="0.3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84"/>
      <c r="M213" s="30"/>
      <c r="N213" s="39"/>
      <c r="O213" s="30"/>
      <c r="P213" s="50"/>
      <c r="Q213" s="49"/>
    </row>
    <row r="214" spans="1:17" ht="15.75" customHeight="1" x14ac:dyDescent="0.3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84"/>
      <c r="M214" s="30"/>
      <c r="N214" s="39"/>
      <c r="O214" s="30"/>
      <c r="P214" s="50"/>
      <c r="Q214" s="49"/>
    </row>
    <row r="215" spans="1:17" ht="15.75" customHeight="1" x14ac:dyDescent="0.3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84"/>
      <c r="M215" s="30"/>
      <c r="N215" s="39"/>
      <c r="O215" s="30"/>
      <c r="P215" s="50"/>
      <c r="Q215" s="49"/>
    </row>
    <row r="216" spans="1:17" ht="15.75" customHeight="1" x14ac:dyDescent="0.3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84"/>
      <c r="M216" s="30"/>
      <c r="N216" s="39"/>
      <c r="O216" s="30"/>
      <c r="P216" s="50"/>
      <c r="Q216" s="49"/>
    </row>
    <row r="217" spans="1:17" ht="15.75" customHeight="1" x14ac:dyDescent="0.3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84"/>
      <c r="M217" s="30"/>
      <c r="N217" s="39"/>
      <c r="O217" s="30"/>
      <c r="P217" s="50"/>
      <c r="Q217" s="49"/>
    </row>
    <row r="218" spans="1:17" ht="15.75" customHeight="1" x14ac:dyDescent="0.3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84"/>
      <c r="M218" s="30"/>
      <c r="N218" s="39"/>
      <c r="O218" s="30"/>
      <c r="P218" s="50"/>
      <c r="Q218" s="49"/>
    </row>
    <row r="219" spans="1:17" ht="15.75" customHeight="1" x14ac:dyDescent="0.3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84"/>
      <c r="M219" s="30"/>
      <c r="N219" s="39"/>
      <c r="O219" s="30"/>
      <c r="P219" s="50"/>
      <c r="Q219" s="49"/>
    </row>
    <row r="220" spans="1:17" ht="15.75" customHeight="1" x14ac:dyDescent="0.3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84"/>
      <c r="M220" s="30"/>
      <c r="N220" s="39"/>
      <c r="O220" s="30"/>
      <c r="P220" s="50"/>
      <c r="Q220" s="49"/>
    </row>
    <row r="221" spans="1:17" ht="15.75" customHeight="1" x14ac:dyDescent="0.3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84"/>
      <c r="M221" s="30"/>
      <c r="N221" s="39"/>
      <c r="O221" s="30"/>
      <c r="P221" s="50"/>
      <c r="Q221" s="49"/>
    </row>
    <row r="222" spans="1:17" ht="15.75" customHeight="1" x14ac:dyDescent="0.3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84"/>
      <c r="M222" s="30"/>
      <c r="N222" s="39"/>
      <c r="O222" s="30"/>
      <c r="P222" s="50"/>
      <c r="Q222" s="49"/>
    </row>
    <row r="223" spans="1:17" ht="15.75" customHeight="1" x14ac:dyDescent="0.3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84"/>
      <c r="M223" s="30"/>
      <c r="N223" s="39"/>
      <c r="O223" s="30"/>
      <c r="P223" s="50"/>
      <c r="Q223" s="49"/>
    </row>
    <row r="224" spans="1:17" ht="15.75" customHeight="1" x14ac:dyDescent="0.3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84"/>
      <c r="M224" s="30"/>
      <c r="N224" s="39"/>
      <c r="O224" s="30"/>
      <c r="P224" s="50"/>
      <c r="Q224" s="49"/>
    </row>
    <row r="225" spans="1:17" ht="15.75" customHeight="1" x14ac:dyDescent="0.3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84"/>
      <c r="M225" s="30"/>
      <c r="N225" s="39"/>
      <c r="O225" s="30"/>
      <c r="P225" s="50"/>
      <c r="Q225" s="49"/>
    </row>
    <row r="226" spans="1:17" ht="15.75" customHeight="1" x14ac:dyDescent="0.3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84"/>
      <c r="M226" s="30"/>
      <c r="N226" s="39"/>
      <c r="O226" s="30"/>
      <c r="P226" s="50"/>
      <c r="Q226" s="49"/>
    </row>
    <row r="227" spans="1:17" ht="15.75" customHeight="1" x14ac:dyDescent="0.3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84"/>
      <c r="M227" s="30"/>
      <c r="N227" s="39"/>
      <c r="O227" s="30"/>
      <c r="P227" s="50"/>
      <c r="Q227" s="49"/>
    </row>
    <row r="228" spans="1:17" ht="15.75" customHeight="1" x14ac:dyDescent="0.3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84"/>
      <c r="M228" s="30"/>
      <c r="N228" s="39"/>
      <c r="O228" s="30"/>
      <c r="P228" s="50"/>
      <c r="Q228" s="49"/>
    </row>
    <row r="229" spans="1:17" ht="15.75" customHeight="1" x14ac:dyDescent="0.3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84"/>
      <c r="M229" s="30"/>
      <c r="N229" s="39"/>
      <c r="O229" s="30"/>
      <c r="P229" s="50"/>
      <c r="Q229" s="49"/>
    </row>
    <row r="230" spans="1:17" ht="15.75" customHeight="1" x14ac:dyDescent="0.3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84"/>
      <c r="M230" s="30"/>
      <c r="N230" s="39"/>
      <c r="O230" s="30"/>
      <c r="P230" s="50"/>
      <c r="Q230" s="49"/>
    </row>
    <row r="231" spans="1:17" ht="15.75" customHeight="1" x14ac:dyDescent="0.3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84"/>
      <c r="M231" s="30"/>
      <c r="N231" s="39"/>
      <c r="O231" s="30"/>
      <c r="P231" s="50"/>
      <c r="Q231" s="49"/>
    </row>
    <row r="232" spans="1:17" ht="15.75" customHeight="1" x14ac:dyDescent="0.3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84"/>
      <c r="M232" s="30"/>
      <c r="N232" s="39"/>
      <c r="O232" s="30"/>
      <c r="P232" s="50"/>
      <c r="Q232" s="49"/>
    </row>
    <row r="233" spans="1:17" ht="15.75" customHeight="1" x14ac:dyDescent="0.3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84"/>
      <c r="M233" s="30"/>
      <c r="N233" s="39"/>
      <c r="O233" s="30"/>
      <c r="P233" s="50"/>
      <c r="Q233" s="49"/>
    </row>
    <row r="234" spans="1:17" ht="15.75" customHeight="1" x14ac:dyDescent="0.3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84"/>
      <c r="M234" s="30"/>
      <c r="N234" s="39"/>
      <c r="O234" s="30"/>
      <c r="P234" s="50"/>
      <c r="Q234" s="49"/>
    </row>
    <row r="235" spans="1:17" ht="15.75" customHeight="1" x14ac:dyDescent="0.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84"/>
      <c r="M235" s="30"/>
      <c r="N235" s="39"/>
      <c r="O235" s="30"/>
      <c r="P235" s="50"/>
      <c r="Q235" s="49"/>
    </row>
    <row r="236" spans="1:17" ht="15.75" customHeight="1" x14ac:dyDescent="0.3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84"/>
      <c r="M236" s="30"/>
      <c r="N236" s="39"/>
      <c r="O236" s="30"/>
      <c r="P236" s="50"/>
      <c r="Q236" s="49"/>
    </row>
    <row r="237" spans="1:17" ht="15.75" customHeight="1" x14ac:dyDescent="0.3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84"/>
      <c r="M237" s="30"/>
      <c r="N237" s="39"/>
      <c r="O237" s="30"/>
      <c r="P237" s="50"/>
      <c r="Q237" s="49"/>
    </row>
    <row r="238" spans="1:17" ht="15.75" customHeight="1" x14ac:dyDescent="0.3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84"/>
      <c r="M238" s="30"/>
      <c r="N238" s="39"/>
      <c r="O238" s="30"/>
      <c r="P238" s="50"/>
      <c r="Q238" s="49"/>
    </row>
    <row r="239" spans="1:17" ht="15.75" customHeight="1" x14ac:dyDescent="0.3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84"/>
      <c r="M239" s="30"/>
      <c r="N239" s="39"/>
      <c r="O239" s="30"/>
      <c r="P239" s="50"/>
      <c r="Q239" s="49"/>
    </row>
    <row r="240" spans="1:17" ht="15.75" customHeight="1" x14ac:dyDescent="0.3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84"/>
      <c r="M240" s="30"/>
      <c r="N240" s="39"/>
      <c r="O240" s="30"/>
      <c r="P240" s="50"/>
      <c r="Q240" s="49"/>
    </row>
    <row r="241" spans="1:17" ht="15.75" customHeight="1" x14ac:dyDescent="0.3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84"/>
      <c r="M241" s="30"/>
      <c r="N241" s="39"/>
      <c r="O241" s="30"/>
      <c r="P241" s="50"/>
      <c r="Q241" s="49"/>
    </row>
    <row r="242" spans="1:17" ht="15.75" customHeight="1" x14ac:dyDescent="0.3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84"/>
      <c r="M242" s="30"/>
      <c r="N242" s="39"/>
      <c r="O242" s="30"/>
      <c r="P242" s="50"/>
      <c r="Q242" s="49"/>
    </row>
    <row r="243" spans="1:17" ht="15.75" customHeight="1" x14ac:dyDescent="0.3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84"/>
      <c r="M243" s="30"/>
      <c r="N243" s="39"/>
      <c r="O243" s="30"/>
      <c r="P243" s="50"/>
      <c r="Q243" s="49"/>
    </row>
    <row r="244" spans="1:17" ht="15.75" customHeight="1" x14ac:dyDescent="0.3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84"/>
      <c r="M244" s="30"/>
      <c r="N244" s="39"/>
      <c r="O244" s="30"/>
      <c r="P244" s="50"/>
      <c r="Q244" s="49"/>
    </row>
    <row r="245" spans="1:17" ht="15.75" customHeight="1" x14ac:dyDescent="0.3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84"/>
      <c r="M245" s="30"/>
      <c r="N245" s="39"/>
      <c r="O245" s="30"/>
      <c r="P245" s="50"/>
      <c r="Q245" s="49"/>
    </row>
    <row r="246" spans="1:17" ht="15.75" customHeight="1" x14ac:dyDescent="0.3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84"/>
      <c r="M246" s="30"/>
      <c r="N246" s="39"/>
      <c r="O246" s="30"/>
      <c r="P246" s="50"/>
      <c r="Q246" s="49"/>
    </row>
    <row r="247" spans="1:17" ht="15.75" customHeight="1" x14ac:dyDescent="0.3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84"/>
      <c r="M247" s="30"/>
      <c r="N247" s="39"/>
      <c r="O247" s="30"/>
      <c r="P247" s="50"/>
      <c r="Q247" s="49"/>
    </row>
    <row r="248" spans="1:17" ht="15.75" customHeight="1" x14ac:dyDescent="0.3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84"/>
      <c r="M248" s="30"/>
      <c r="N248" s="39"/>
      <c r="O248" s="30"/>
      <c r="P248" s="50"/>
      <c r="Q248" s="49"/>
    </row>
    <row r="249" spans="1:17" ht="15.75" customHeight="1" x14ac:dyDescent="0.3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84"/>
      <c r="M249" s="30"/>
      <c r="N249" s="39"/>
      <c r="O249" s="30"/>
      <c r="P249" s="50"/>
      <c r="Q249" s="49"/>
    </row>
    <row r="250" spans="1:17" ht="15.75" customHeight="1" x14ac:dyDescent="0.3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84"/>
      <c r="M250" s="30"/>
      <c r="N250" s="39"/>
      <c r="O250" s="30"/>
      <c r="P250" s="50"/>
      <c r="Q250" s="49"/>
    </row>
    <row r="251" spans="1:17" ht="15.75" customHeight="1" x14ac:dyDescent="0.3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84"/>
      <c r="M251" s="30"/>
      <c r="N251" s="39"/>
      <c r="O251" s="30"/>
      <c r="P251" s="50"/>
      <c r="Q251" s="49"/>
    </row>
    <row r="252" spans="1:17" ht="15.75" customHeight="1" x14ac:dyDescent="0.3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84"/>
      <c r="M252" s="30"/>
      <c r="N252" s="39"/>
      <c r="O252" s="30"/>
      <c r="P252" s="50"/>
      <c r="Q252" s="49"/>
    </row>
    <row r="253" spans="1:17" ht="15.75" customHeight="1" x14ac:dyDescent="0.3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84"/>
      <c r="M253" s="30"/>
      <c r="N253" s="39"/>
      <c r="O253" s="30"/>
      <c r="P253" s="50"/>
      <c r="Q253" s="49"/>
    </row>
    <row r="254" spans="1:17" ht="15.75" customHeight="1" x14ac:dyDescent="0.3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84"/>
      <c r="M254" s="30"/>
      <c r="N254" s="39"/>
      <c r="O254" s="30"/>
      <c r="P254" s="50"/>
      <c r="Q254" s="49"/>
    </row>
    <row r="255" spans="1:17" ht="15.75" customHeight="1" x14ac:dyDescent="0.3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84"/>
      <c r="M255" s="30"/>
      <c r="N255" s="39"/>
      <c r="O255" s="30"/>
      <c r="P255" s="50"/>
      <c r="Q255" s="49"/>
    </row>
    <row r="256" spans="1:17" ht="15.75" customHeight="1" x14ac:dyDescent="0.3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84"/>
      <c r="M256" s="30"/>
      <c r="N256" s="39"/>
      <c r="O256" s="30"/>
      <c r="P256" s="50"/>
      <c r="Q256" s="49"/>
    </row>
    <row r="257" spans="1:17" ht="15.75" customHeight="1" x14ac:dyDescent="0.3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84"/>
      <c r="M257" s="30"/>
      <c r="N257" s="39"/>
      <c r="O257" s="30"/>
      <c r="P257" s="50"/>
      <c r="Q257" s="49"/>
    </row>
    <row r="258" spans="1:17" ht="15.75" customHeight="1" x14ac:dyDescent="0.3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84"/>
      <c r="M258" s="30"/>
      <c r="N258" s="39"/>
      <c r="O258" s="30"/>
      <c r="P258" s="50"/>
      <c r="Q258" s="49"/>
    </row>
    <row r="259" spans="1:17" ht="15.75" customHeight="1" x14ac:dyDescent="0.3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84"/>
      <c r="M259" s="30"/>
      <c r="N259" s="39"/>
      <c r="O259" s="30"/>
      <c r="P259" s="50"/>
      <c r="Q259" s="49"/>
    </row>
    <row r="260" spans="1:17" ht="15.75" customHeight="1" x14ac:dyDescent="0.3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84"/>
      <c r="M260" s="30"/>
      <c r="N260" s="39"/>
      <c r="O260" s="30"/>
      <c r="P260" s="50"/>
      <c r="Q260" s="49"/>
    </row>
    <row r="261" spans="1:17" ht="15.75" customHeight="1" x14ac:dyDescent="0.3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84"/>
      <c r="M261" s="30"/>
      <c r="N261" s="39"/>
      <c r="O261" s="30"/>
      <c r="P261" s="50"/>
      <c r="Q261" s="49"/>
    </row>
    <row r="262" spans="1:17" ht="15.75" customHeight="1" x14ac:dyDescent="0.3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84"/>
      <c r="M262" s="30"/>
      <c r="N262" s="39"/>
      <c r="O262" s="30"/>
      <c r="P262" s="50"/>
      <c r="Q262" s="49"/>
    </row>
    <row r="263" spans="1:17" ht="15.75" customHeight="1" x14ac:dyDescent="0.3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84"/>
      <c r="M263" s="30"/>
      <c r="N263" s="39"/>
      <c r="O263" s="30"/>
      <c r="P263" s="50"/>
      <c r="Q263" s="49"/>
    </row>
    <row r="264" spans="1:17" ht="15.75" customHeight="1" x14ac:dyDescent="0.3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84"/>
      <c r="M264" s="30"/>
      <c r="N264" s="39"/>
      <c r="O264" s="30"/>
      <c r="P264" s="50"/>
      <c r="Q264" s="49"/>
    </row>
    <row r="265" spans="1:17" ht="15.75" customHeight="1" x14ac:dyDescent="0.3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84"/>
      <c r="M265" s="30"/>
      <c r="N265" s="39"/>
      <c r="O265" s="30"/>
      <c r="P265" s="50"/>
      <c r="Q265" s="49"/>
    </row>
    <row r="266" spans="1:17" ht="15.75" customHeight="1" x14ac:dyDescent="0.3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84"/>
      <c r="M266" s="30"/>
      <c r="N266" s="39"/>
      <c r="O266" s="30"/>
      <c r="P266" s="50"/>
      <c r="Q266" s="49"/>
    </row>
    <row r="267" spans="1:17" ht="15.75" customHeight="1" x14ac:dyDescent="0.3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84"/>
      <c r="M267" s="30"/>
      <c r="N267" s="39"/>
      <c r="O267" s="30"/>
      <c r="P267" s="50"/>
      <c r="Q267" s="49"/>
    </row>
    <row r="268" spans="1:17" ht="15.75" customHeight="1" x14ac:dyDescent="0.3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84"/>
      <c r="M268" s="30"/>
      <c r="N268" s="39"/>
      <c r="O268" s="30"/>
      <c r="P268" s="50"/>
      <c r="Q268" s="49"/>
    </row>
    <row r="269" spans="1:17" ht="15.75" customHeight="1" x14ac:dyDescent="0.3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84"/>
      <c r="M269" s="30"/>
      <c r="N269" s="39"/>
      <c r="O269" s="30"/>
      <c r="P269" s="50"/>
      <c r="Q269" s="49"/>
    </row>
    <row r="270" spans="1:17" ht="15.75" customHeight="1" x14ac:dyDescent="0.3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84"/>
      <c r="M270" s="30"/>
      <c r="N270" s="39"/>
      <c r="O270" s="30"/>
      <c r="P270" s="50"/>
      <c r="Q270" s="49"/>
    </row>
    <row r="271" spans="1:17" ht="15.75" customHeight="1" x14ac:dyDescent="0.3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84"/>
      <c r="M271" s="30"/>
      <c r="N271" s="39"/>
      <c r="O271" s="30"/>
      <c r="P271" s="50"/>
      <c r="Q271" s="49"/>
    </row>
    <row r="272" spans="1:17" ht="15.75" customHeight="1" x14ac:dyDescent="0.3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84"/>
      <c r="M272" s="30"/>
      <c r="N272" s="39"/>
      <c r="O272" s="30"/>
      <c r="P272" s="50"/>
      <c r="Q272" s="49"/>
    </row>
    <row r="273" spans="1:17" ht="15.75" customHeight="1" x14ac:dyDescent="0.3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84"/>
      <c r="M273" s="30"/>
      <c r="N273" s="39"/>
      <c r="O273" s="30"/>
      <c r="P273" s="50"/>
      <c r="Q273" s="49"/>
    </row>
    <row r="274" spans="1:17" ht="15.75" customHeight="1" x14ac:dyDescent="0.3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84"/>
      <c r="M274" s="30"/>
      <c r="N274" s="39"/>
      <c r="O274" s="30"/>
      <c r="P274" s="50"/>
      <c r="Q274" s="49"/>
    </row>
    <row r="275" spans="1:17" ht="15.75" customHeight="1" x14ac:dyDescent="0.3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84"/>
      <c r="M275" s="30"/>
      <c r="N275" s="39"/>
      <c r="O275" s="30"/>
      <c r="P275" s="50"/>
      <c r="Q275" s="49"/>
    </row>
    <row r="276" spans="1:17" ht="15.75" customHeight="1" x14ac:dyDescent="0.3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84"/>
      <c r="M276" s="30"/>
      <c r="N276" s="39"/>
      <c r="O276" s="30"/>
      <c r="P276" s="50"/>
      <c r="Q276" s="49"/>
    </row>
    <row r="277" spans="1:17" ht="15.75" customHeight="1" x14ac:dyDescent="0.3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84"/>
      <c r="M277" s="30"/>
      <c r="N277" s="39"/>
      <c r="O277" s="30"/>
      <c r="P277" s="50"/>
      <c r="Q277" s="49"/>
    </row>
    <row r="278" spans="1:17" ht="15.75" customHeight="1" x14ac:dyDescent="0.3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84"/>
      <c r="M278" s="30"/>
      <c r="N278" s="39"/>
      <c r="O278" s="30"/>
      <c r="P278" s="50"/>
      <c r="Q278" s="49"/>
    </row>
    <row r="279" spans="1:17" ht="15.75" customHeight="1" x14ac:dyDescent="0.3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84"/>
      <c r="M279" s="30"/>
      <c r="N279" s="39"/>
      <c r="O279" s="30"/>
      <c r="P279" s="50"/>
      <c r="Q279" s="49"/>
    </row>
    <row r="280" spans="1:17" ht="15.75" customHeight="1" x14ac:dyDescent="0.3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84"/>
      <c r="M280" s="30"/>
      <c r="N280" s="39"/>
      <c r="O280" s="30"/>
      <c r="P280" s="50"/>
      <c r="Q280" s="49"/>
    </row>
    <row r="281" spans="1:17" ht="15.75" customHeight="1" x14ac:dyDescent="0.3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84"/>
      <c r="M281" s="30"/>
      <c r="N281" s="39"/>
      <c r="O281" s="30"/>
      <c r="P281" s="50"/>
      <c r="Q281" s="49"/>
    </row>
    <row r="282" spans="1:17" ht="15.75" customHeight="1" x14ac:dyDescent="0.3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84"/>
      <c r="M282" s="30"/>
      <c r="N282" s="39"/>
      <c r="O282" s="30"/>
      <c r="P282" s="50"/>
      <c r="Q282" s="49"/>
    </row>
    <row r="283" spans="1:17" ht="15.75" customHeight="1" x14ac:dyDescent="0.3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84"/>
      <c r="M283" s="30"/>
      <c r="N283" s="39"/>
      <c r="O283" s="30"/>
      <c r="P283" s="50"/>
      <c r="Q283" s="49"/>
    </row>
    <row r="284" spans="1:17" ht="15.75" customHeight="1" x14ac:dyDescent="0.3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84"/>
      <c r="M284" s="30"/>
      <c r="N284" s="39"/>
      <c r="O284" s="30"/>
      <c r="P284" s="50"/>
      <c r="Q284" s="49"/>
    </row>
    <row r="285" spans="1:17" ht="15.75" customHeight="1" x14ac:dyDescent="0.3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84"/>
      <c r="M285" s="30"/>
      <c r="N285" s="39"/>
      <c r="O285" s="30"/>
      <c r="P285" s="50"/>
      <c r="Q285" s="49"/>
    </row>
    <row r="286" spans="1:17" ht="15.75" customHeight="1" x14ac:dyDescent="0.3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84"/>
      <c r="M286" s="30"/>
      <c r="N286" s="39"/>
      <c r="O286" s="30"/>
      <c r="P286" s="50"/>
      <c r="Q286" s="49"/>
    </row>
    <row r="287" spans="1:17" ht="15.75" customHeight="1" x14ac:dyDescent="0.3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84"/>
      <c r="M287" s="30"/>
      <c r="N287" s="39"/>
      <c r="O287" s="30"/>
      <c r="P287" s="50"/>
      <c r="Q287" s="49"/>
    </row>
    <row r="288" spans="1:17" ht="15.75" customHeight="1" x14ac:dyDescent="0.3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84"/>
      <c r="M288" s="30"/>
      <c r="N288" s="39"/>
      <c r="O288" s="30"/>
      <c r="P288" s="50"/>
      <c r="Q288" s="49"/>
    </row>
    <row r="289" spans="1:17" ht="15.75" customHeight="1" x14ac:dyDescent="0.3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84"/>
      <c r="M289" s="30"/>
      <c r="N289" s="39"/>
      <c r="O289" s="30"/>
      <c r="P289" s="50"/>
      <c r="Q289" s="49"/>
    </row>
    <row r="290" spans="1:17" ht="15.75" customHeight="1" x14ac:dyDescent="0.3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84"/>
      <c r="M290" s="30"/>
      <c r="N290" s="39"/>
      <c r="O290" s="30"/>
      <c r="P290" s="50"/>
      <c r="Q290" s="49"/>
    </row>
    <row r="291" spans="1:17" ht="15.75" customHeight="1" x14ac:dyDescent="0.3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84"/>
      <c r="M291" s="30"/>
      <c r="N291" s="39"/>
      <c r="O291" s="30"/>
      <c r="P291" s="50"/>
      <c r="Q291" s="49"/>
    </row>
    <row r="292" spans="1:17" ht="15.75" customHeight="1" x14ac:dyDescent="0.3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84"/>
      <c r="M292" s="30"/>
      <c r="N292" s="39"/>
      <c r="O292" s="30"/>
      <c r="P292" s="50"/>
      <c r="Q292" s="49"/>
    </row>
    <row r="293" spans="1:17" ht="15.75" customHeight="1" x14ac:dyDescent="0.3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84"/>
      <c r="M293" s="30"/>
      <c r="N293" s="39"/>
      <c r="O293" s="30"/>
      <c r="P293" s="50"/>
      <c r="Q293" s="49"/>
    </row>
    <row r="294" spans="1:17" ht="15.75" customHeight="1" x14ac:dyDescent="0.3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84"/>
      <c r="M294" s="30"/>
      <c r="N294" s="39"/>
      <c r="O294" s="30"/>
      <c r="P294" s="50"/>
      <c r="Q294" s="49"/>
    </row>
    <row r="295" spans="1:17" ht="15.75" customHeight="1" x14ac:dyDescent="0.3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84"/>
      <c r="M295" s="30"/>
      <c r="N295" s="39"/>
      <c r="O295" s="30"/>
      <c r="P295" s="50"/>
      <c r="Q295" s="49"/>
    </row>
    <row r="296" spans="1:17" ht="15.75" customHeight="1" x14ac:dyDescent="0.3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84"/>
      <c r="M296" s="30"/>
      <c r="N296" s="39"/>
      <c r="O296" s="30"/>
      <c r="P296" s="50"/>
      <c r="Q296" s="49"/>
    </row>
    <row r="297" spans="1:17" ht="15.75" customHeight="1" x14ac:dyDescent="0.3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84"/>
      <c r="M297" s="30"/>
      <c r="N297" s="39"/>
      <c r="O297" s="30"/>
      <c r="P297" s="50"/>
      <c r="Q297" s="49"/>
    </row>
    <row r="298" spans="1:17" ht="15.75" customHeight="1" x14ac:dyDescent="0.3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84"/>
      <c r="M298" s="30"/>
      <c r="N298" s="39"/>
      <c r="O298" s="30"/>
      <c r="P298" s="50"/>
      <c r="Q298" s="49"/>
    </row>
    <row r="299" spans="1:17" ht="15.75" customHeight="1" x14ac:dyDescent="0.3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84"/>
      <c r="M299" s="30"/>
      <c r="N299" s="39"/>
      <c r="O299" s="30"/>
      <c r="P299" s="50"/>
      <c r="Q299" s="49"/>
    </row>
    <row r="300" spans="1:17" ht="15.75" customHeight="1" x14ac:dyDescent="0.3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84"/>
      <c r="M300" s="30"/>
      <c r="N300" s="39"/>
      <c r="O300" s="30"/>
      <c r="P300" s="50"/>
      <c r="Q300" s="49"/>
    </row>
    <row r="301" spans="1:17" ht="15.75" customHeight="1" x14ac:dyDescent="0.3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84"/>
      <c r="M301" s="30"/>
      <c r="N301" s="39"/>
      <c r="O301" s="30"/>
      <c r="P301" s="50"/>
      <c r="Q301" s="49"/>
    </row>
    <row r="302" spans="1:17" ht="15.75" customHeight="1" x14ac:dyDescent="0.3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84"/>
      <c r="M302" s="30"/>
      <c r="N302" s="39"/>
      <c r="O302" s="30"/>
      <c r="P302" s="50"/>
      <c r="Q302" s="49"/>
    </row>
    <row r="303" spans="1:17" ht="15.75" customHeight="1" x14ac:dyDescent="0.3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84"/>
      <c r="M303" s="30"/>
      <c r="N303" s="39"/>
      <c r="O303" s="30"/>
      <c r="P303" s="50"/>
      <c r="Q303" s="49"/>
    </row>
    <row r="304" spans="1:17" ht="15.75" customHeight="1" x14ac:dyDescent="0.3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84"/>
      <c r="M304" s="30"/>
      <c r="N304" s="39"/>
      <c r="O304" s="30"/>
      <c r="P304" s="50"/>
      <c r="Q304" s="49"/>
    </row>
    <row r="305" spans="1:17" ht="15.75" customHeight="1" x14ac:dyDescent="0.3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84"/>
      <c r="M305" s="30"/>
      <c r="N305" s="39"/>
      <c r="O305" s="30"/>
      <c r="P305" s="50"/>
      <c r="Q305" s="49"/>
    </row>
    <row r="306" spans="1:17" ht="15.75" customHeight="1" x14ac:dyDescent="0.3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84"/>
      <c r="M306" s="30"/>
      <c r="N306" s="39"/>
      <c r="O306" s="30"/>
      <c r="P306" s="50"/>
      <c r="Q306" s="49"/>
    </row>
    <row r="307" spans="1:17" ht="15.75" customHeight="1" x14ac:dyDescent="0.3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84"/>
      <c r="M307" s="30"/>
      <c r="N307" s="39"/>
      <c r="O307" s="30"/>
      <c r="P307" s="50"/>
      <c r="Q307" s="49"/>
    </row>
    <row r="308" spans="1:17" ht="15.75" customHeight="1" x14ac:dyDescent="0.3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84"/>
      <c r="M308" s="30"/>
      <c r="N308" s="39"/>
      <c r="O308" s="30"/>
      <c r="P308" s="50"/>
      <c r="Q308" s="49"/>
    </row>
    <row r="309" spans="1:17" ht="15.75" customHeight="1" x14ac:dyDescent="0.3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84"/>
      <c r="M309" s="30"/>
      <c r="N309" s="39"/>
      <c r="O309" s="30"/>
      <c r="P309" s="50"/>
      <c r="Q309" s="49"/>
    </row>
    <row r="310" spans="1:17" ht="15.75" customHeight="1" x14ac:dyDescent="0.3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84"/>
      <c r="M310" s="30"/>
      <c r="N310" s="39"/>
      <c r="O310" s="30"/>
      <c r="P310" s="50"/>
      <c r="Q310" s="49"/>
    </row>
    <row r="311" spans="1:17" ht="15.75" customHeight="1" x14ac:dyDescent="0.3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84"/>
      <c r="M311" s="30"/>
      <c r="N311" s="39"/>
      <c r="O311" s="30"/>
      <c r="P311" s="50"/>
      <c r="Q311" s="49"/>
    </row>
    <row r="312" spans="1:17" ht="15.75" customHeight="1" x14ac:dyDescent="0.3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84"/>
      <c r="M312" s="30"/>
      <c r="N312" s="39"/>
      <c r="O312" s="30"/>
      <c r="P312" s="50"/>
      <c r="Q312" s="49"/>
    </row>
    <row r="313" spans="1:17" ht="15.75" customHeight="1" x14ac:dyDescent="0.3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84"/>
      <c r="M313" s="30"/>
      <c r="N313" s="39"/>
      <c r="O313" s="30"/>
      <c r="P313" s="50"/>
      <c r="Q313" s="49"/>
    </row>
    <row r="314" spans="1:17" ht="15.75" customHeight="1" x14ac:dyDescent="0.3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84"/>
      <c r="M314" s="30"/>
      <c r="N314" s="39"/>
      <c r="O314" s="30"/>
      <c r="P314" s="50"/>
      <c r="Q314" s="49"/>
    </row>
    <row r="315" spans="1:17" ht="15.75" customHeight="1" x14ac:dyDescent="0.3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84"/>
      <c r="M315" s="30"/>
      <c r="N315" s="39"/>
      <c r="O315" s="30"/>
      <c r="P315" s="50"/>
      <c r="Q315" s="49"/>
    </row>
    <row r="316" spans="1:17" ht="15.75" customHeight="1" x14ac:dyDescent="0.3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84"/>
      <c r="M316" s="30"/>
      <c r="N316" s="39"/>
      <c r="O316" s="30"/>
      <c r="P316" s="50"/>
      <c r="Q316" s="49"/>
    </row>
    <row r="317" spans="1:17" ht="15.75" customHeight="1" x14ac:dyDescent="0.3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84"/>
      <c r="M317" s="30"/>
      <c r="N317" s="39"/>
      <c r="O317" s="30"/>
      <c r="P317" s="50"/>
      <c r="Q317" s="49"/>
    </row>
    <row r="318" spans="1:17" ht="15.75" customHeight="1" x14ac:dyDescent="0.3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84"/>
      <c r="M318" s="30"/>
      <c r="N318" s="39"/>
      <c r="O318" s="30"/>
      <c r="P318" s="50"/>
      <c r="Q318" s="49"/>
    </row>
    <row r="319" spans="1:17" ht="15.75" customHeight="1" x14ac:dyDescent="0.3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84"/>
      <c r="M319" s="30"/>
      <c r="N319" s="39"/>
      <c r="O319" s="30"/>
      <c r="P319" s="50"/>
      <c r="Q319" s="49"/>
    </row>
    <row r="320" spans="1:17" ht="15.75" customHeight="1" x14ac:dyDescent="0.3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84"/>
      <c r="M320" s="30"/>
      <c r="N320" s="39"/>
      <c r="O320" s="30"/>
      <c r="P320" s="50"/>
      <c r="Q320" s="49"/>
    </row>
    <row r="321" spans="1:17" ht="15.75" customHeight="1" x14ac:dyDescent="0.3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84"/>
      <c r="M321" s="30"/>
      <c r="N321" s="39"/>
      <c r="O321" s="30"/>
      <c r="P321" s="50"/>
      <c r="Q321" s="49"/>
    </row>
    <row r="322" spans="1:17" ht="15.75" customHeight="1" x14ac:dyDescent="0.3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84"/>
      <c r="M322" s="30"/>
      <c r="N322" s="39"/>
      <c r="O322" s="30"/>
      <c r="P322" s="50"/>
      <c r="Q322" s="49"/>
    </row>
    <row r="323" spans="1:17" ht="15.75" customHeight="1" x14ac:dyDescent="0.3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84"/>
      <c r="M323" s="30"/>
      <c r="N323" s="39"/>
      <c r="O323" s="30"/>
      <c r="P323" s="50"/>
      <c r="Q323" s="49"/>
    </row>
    <row r="324" spans="1:17" ht="15.75" customHeight="1" x14ac:dyDescent="0.3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84"/>
      <c r="M324" s="30"/>
      <c r="N324" s="39"/>
      <c r="O324" s="30"/>
      <c r="P324" s="50"/>
      <c r="Q324" s="49"/>
    </row>
    <row r="325" spans="1:17" ht="15.75" customHeight="1" x14ac:dyDescent="0.3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84"/>
      <c r="M325" s="30"/>
      <c r="N325" s="39"/>
      <c r="O325" s="30"/>
      <c r="P325" s="50"/>
      <c r="Q325" s="49"/>
    </row>
    <row r="326" spans="1:17" ht="15.75" customHeight="1" x14ac:dyDescent="0.3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84"/>
      <c r="M326" s="30"/>
      <c r="N326" s="39"/>
      <c r="O326" s="30"/>
      <c r="P326" s="50"/>
      <c r="Q326" s="49"/>
    </row>
    <row r="327" spans="1:17" ht="15.75" customHeight="1" x14ac:dyDescent="0.3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84"/>
      <c r="M327" s="30"/>
      <c r="N327" s="39"/>
      <c r="O327" s="30"/>
      <c r="P327" s="50"/>
      <c r="Q327" s="49"/>
    </row>
    <row r="328" spans="1:17" ht="15.75" customHeight="1" x14ac:dyDescent="0.3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84"/>
      <c r="M328" s="30"/>
      <c r="N328" s="39"/>
      <c r="O328" s="30"/>
      <c r="P328" s="50"/>
      <c r="Q328" s="49"/>
    </row>
    <row r="329" spans="1:17" ht="15.75" customHeight="1" x14ac:dyDescent="0.3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84"/>
      <c r="M329" s="30"/>
      <c r="N329" s="39"/>
      <c r="O329" s="30"/>
      <c r="P329" s="50"/>
      <c r="Q329" s="49"/>
    </row>
    <row r="330" spans="1:17" ht="15.75" customHeight="1" x14ac:dyDescent="0.3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84"/>
      <c r="M330" s="30"/>
      <c r="N330" s="39"/>
      <c r="O330" s="30"/>
      <c r="P330" s="50"/>
      <c r="Q330" s="49"/>
    </row>
    <row r="331" spans="1:17" ht="15.75" customHeight="1" x14ac:dyDescent="0.3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84"/>
      <c r="M331" s="30"/>
      <c r="N331" s="39"/>
      <c r="O331" s="30"/>
      <c r="P331" s="50"/>
      <c r="Q331" s="49"/>
    </row>
    <row r="332" spans="1:17" ht="15.75" customHeight="1" x14ac:dyDescent="0.3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84"/>
      <c r="M332" s="30"/>
      <c r="N332" s="39"/>
      <c r="O332" s="30"/>
      <c r="P332" s="50"/>
      <c r="Q332" s="49"/>
    </row>
    <row r="333" spans="1:17" ht="15.75" customHeight="1" x14ac:dyDescent="0.3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84"/>
      <c r="M333" s="30"/>
      <c r="N333" s="39"/>
      <c r="O333" s="30"/>
      <c r="P333" s="50"/>
      <c r="Q333" s="49"/>
    </row>
    <row r="334" spans="1:17" ht="15.75" customHeight="1" x14ac:dyDescent="0.3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84"/>
      <c r="M334" s="30"/>
      <c r="N334" s="39"/>
      <c r="O334" s="30"/>
      <c r="P334" s="50"/>
      <c r="Q334" s="49"/>
    </row>
    <row r="335" spans="1:17" ht="15.75" customHeight="1" x14ac:dyDescent="0.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84"/>
      <c r="M335" s="30"/>
      <c r="N335" s="39"/>
      <c r="O335" s="30"/>
      <c r="P335" s="50"/>
      <c r="Q335" s="49"/>
    </row>
    <row r="336" spans="1:17" ht="15.75" customHeight="1" x14ac:dyDescent="0.3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84"/>
      <c r="M336" s="30"/>
      <c r="N336" s="39"/>
      <c r="O336" s="30"/>
      <c r="P336" s="50"/>
      <c r="Q336" s="49"/>
    </row>
    <row r="337" spans="1:17" ht="15.75" customHeight="1" x14ac:dyDescent="0.3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84"/>
      <c r="M337" s="30"/>
      <c r="N337" s="39"/>
      <c r="O337" s="30"/>
      <c r="P337" s="50"/>
      <c r="Q337" s="49"/>
    </row>
    <row r="338" spans="1:17" ht="15.75" customHeight="1" x14ac:dyDescent="0.3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84"/>
      <c r="M338" s="30"/>
      <c r="N338" s="39"/>
      <c r="O338" s="30"/>
      <c r="P338" s="50"/>
      <c r="Q338" s="49"/>
    </row>
    <row r="339" spans="1:17" ht="15.75" customHeight="1" x14ac:dyDescent="0.3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84"/>
      <c r="M339" s="30"/>
      <c r="N339" s="39"/>
      <c r="O339" s="30"/>
      <c r="P339" s="50"/>
      <c r="Q339" s="49"/>
    </row>
    <row r="340" spans="1:17" ht="15.75" customHeight="1" x14ac:dyDescent="0.3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84"/>
      <c r="M340" s="30"/>
      <c r="N340" s="39"/>
      <c r="O340" s="30"/>
      <c r="P340" s="50"/>
      <c r="Q340" s="49"/>
    </row>
    <row r="341" spans="1:17" ht="15.75" customHeight="1" x14ac:dyDescent="0.3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84"/>
      <c r="M341" s="30"/>
      <c r="N341" s="39"/>
      <c r="O341" s="30"/>
      <c r="P341" s="50"/>
      <c r="Q341" s="49"/>
    </row>
    <row r="342" spans="1:17" ht="15.75" customHeight="1" x14ac:dyDescent="0.3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84"/>
      <c r="M342" s="30"/>
      <c r="N342" s="39"/>
      <c r="O342" s="30"/>
      <c r="P342" s="50"/>
      <c r="Q342" s="49"/>
    </row>
    <row r="343" spans="1:17" ht="15.75" customHeight="1" x14ac:dyDescent="0.3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84"/>
      <c r="M343" s="30"/>
      <c r="N343" s="39"/>
      <c r="O343" s="30"/>
      <c r="P343" s="50"/>
      <c r="Q343" s="49"/>
    </row>
    <row r="344" spans="1:17" ht="15.75" customHeight="1" x14ac:dyDescent="0.3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84"/>
      <c r="M344" s="30"/>
      <c r="N344" s="39"/>
      <c r="O344" s="30"/>
      <c r="P344" s="50"/>
      <c r="Q344" s="49"/>
    </row>
    <row r="345" spans="1:17" ht="15.75" customHeight="1" x14ac:dyDescent="0.3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84"/>
      <c r="M345" s="30"/>
      <c r="N345" s="39"/>
      <c r="O345" s="30"/>
      <c r="P345" s="50"/>
      <c r="Q345" s="49"/>
    </row>
    <row r="346" spans="1:17" ht="15.75" customHeight="1" x14ac:dyDescent="0.3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84"/>
      <c r="M346" s="30"/>
      <c r="N346" s="39"/>
      <c r="O346" s="30"/>
      <c r="P346" s="50"/>
      <c r="Q346" s="49"/>
    </row>
    <row r="347" spans="1:17" ht="15.75" customHeight="1" x14ac:dyDescent="0.3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84"/>
      <c r="M347" s="30"/>
      <c r="N347" s="39"/>
      <c r="O347" s="30"/>
      <c r="P347" s="50"/>
      <c r="Q347" s="49"/>
    </row>
    <row r="348" spans="1:17" ht="15.75" customHeight="1" x14ac:dyDescent="0.3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84"/>
      <c r="M348" s="30"/>
      <c r="N348" s="39"/>
      <c r="O348" s="30"/>
      <c r="P348" s="50"/>
      <c r="Q348" s="49"/>
    </row>
    <row r="349" spans="1:17" ht="15.75" customHeight="1" x14ac:dyDescent="0.3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84"/>
      <c r="M349" s="30"/>
      <c r="N349" s="39"/>
      <c r="O349" s="30"/>
      <c r="P349" s="50"/>
      <c r="Q349" s="49"/>
    </row>
    <row r="350" spans="1:17" ht="15.75" customHeight="1" x14ac:dyDescent="0.3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84"/>
      <c r="M350" s="30"/>
      <c r="N350" s="39"/>
      <c r="O350" s="30"/>
      <c r="P350" s="50"/>
      <c r="Q350" s="49"/>
    </row>
    <row r="351" spans="1:17" ht="15.75" customHeight="1" x14ac:dyDescent="0.3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84"/>
      <c r="M351" s="30"/>
      <c r="N351" s="39"/>
      <c r="O351" s="30"/>
      <c r="P351" s="50"/>
      <c r="Q351" s="49"/>
    </row>
    <row r="352" spans="1:17" ht="15.75" customHeight="1" x14ac:dyDescent="0.3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84"/>
      <c r="M352" s="30"/>
      <c r="N352" s="39"/>
      <c r="O352" s="30"/>
      <c r="P352" s="50"/>
      <c r="Q352" s="49"/>
    </row>
    <row r="353" spans="1:17" ht="15.75" customHeight="1" x14ac:dyDescent="0.3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84"/>
      <c r="M353" s="30"/>
      <c r="N353" s="39"/>
      <c r="O353" s="30"/>
      <c r="P353" s="50"/>
      <c r="Q353" s="49"/>
    </row>
    <row r="354" spans="1:17" ht="15.75" customHeight="1" x14ac:dyDescent="0.3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84"/>
      <c r="M354" s="30"/>
      <c r="N354" s="39"/>
      <c r="O354" s="30"/>
      <c r="P354" s="50"/>
      <c r="Q354" s="49"/>
    </row>
    <row r="355" spans="1:17" ht="15.75" customHeight="1" x14ac:dyDescent="0.3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84"/>
      <c r="M355" s="30"/>
      <c r="N355" s="39"/>
      <c r="O355" s="30"/>
      <c r="P355" s="50"/>
      <c r="Q355" s="49"/>
    </row>
    <row r="356" spans="1:17" ht="15.75" customHeight="1" x14ac:dyDescent="0.3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84"/>
      <c r="M356" s="30"/>
      <c r="N356" s="39"/>
      <c r="O356" s="30"/>
      <c r="P356" s="50"/>
      <c r="Q356" s="49"/>
    </row>
    <row r="357" spans="1:17" ht="15.75" customHeight="1" x14ac:dyDescent="0.3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84"/>
      <c r="M357" s="30"/>
      <c r="N357" s="39"/>
      <c r="O357" s="30"/>
      <c r="P357" s="50"/>
      <c r="Q357" s="49"/>
    </row>
    <row r="358" spans="1:17" ht="15.75" customHeight="1" x14ac:dyDescent="0.3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84"/>
      <c r="M358" s="30"/>
      <c r="N358" s="39"/>
      <c r="O358" s="30"/>
      <c r="P358" s="50"/>
      <c r="Q358" s="49"/>
    </row>
    <row r="359" spans="1:17" ht="15.75" customHeight="1" x14ac:dyDescent="0.3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84"/>
      <c r="M359" s="30"/>
      <c r="N359" s="39"/>
      <c r="O359" s="30"/>
      <c r="P359" s="50"/>
      <c r="Q359" s="49"/>
    </row>
    <row r="360" spans="1:17" ht="15.75" customHeight="1" x14ac:dyDescent="0.3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84"/>
      <c r="M360" s="30"/>
      <c r="N360" s="39"/>
      <c r="O360" s="30"/>
      <c r="P360" s="50"/>
      <c r="Q360" s="49"/>
    </row>
    <row r="361" spans="1:17" ht="15.75" customHeight="1" x14ac:dyDescent="0.3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84"/>
      <c r="M361" s="30"/>
      <c r="N361" s="39"/>
      <c r="O361" s="30"/>
      <c r="P361" s="50"/>
      <c r="Q361" s="49"/>
    </row>
    <row r="362" spans="1:17" ht="15.75" customHeight="1" x14ac:dyDescent="0.3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84"/>
      <c r="M362" s="30"/>
      <c r="N362" s="39"/>
      <c r="O362" s="30"/>
      <c r="P362" s="50"/>
      <c r="Q362" s="49"/>
    </row>
    <row r="363" spans="1:17" ht="15.75" customHeight="1" x14ac:dyDescent="0.3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84"/>
      <c r="M363" s="30"/>
      <c r="N363" s="39"/>
      <c r="O363" s="30"/>
      <c r="P363" s="50"/>
      <c r="Q363" s="49"/>
    </row>
    <row r="364" spans="1:17" ht="15.75" customHeight="1" x14ac:dyDescent="0.3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84"/>
      <c r="M364" s="30"/>
      <c r="N364" s="39"/>
      <c r="O364" s="30"/>
      <c r="P364" s="50"/>
      <c r="Q364" s="49"/>
    </row>
    <row r="365" spans="1:17" ht="15.75" customHeight="1" x14ac:dyDescent="0.3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84"/>
      <c r="M365" s="30"/>
      <c r="N365" s="39"/>
      <c r="O365" s="30"/>
      <c r="P365" s="50"/>
      <c r="Q365" s="49"/>
    </row>
    <row r="366" spans="1:17" ht="15.75" customHeight="1" x14ac:dyDescent="0.3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84"/>
      <c r="M366" s="30"/>
      <c r="N366" s="39"/>
      <c r="O366" s="30"/>
      <c r="P366" s="50"/>
      <c r="Q366" s="49"/>
    </row>
    <row r="367" spans="1:17" ht="15.75" customHeight="1" x14ac:dyDescent="0.3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84"/>
      <c r="M367" s="30"/>
      <c r="N367" s="39"/>
      <c r="O367" s="30"/>
      <c r="P367" s="50"/>
      <c r="Q367" s="49"/>
    </row>
    <row r="368" spans="1:17" ht="15.75" customHeight="1" x14ac:dyDescent="0.3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84"/>
      <c r="M368" s="30"/>
      <c r="N368" s="39"/>
      <c r="O368" s="30"/>
      <c r="P368" s="50"/>
      <c r="Q368" s="49"/>
    </row>
    <row r="369" spans="1:17" ht="15.75" customHeight="1" x14ac:dyDescent="0.3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84"/>
      <c r="M369" s="30"/>
      <c r="N369" s="39"/>
      <c r="O369" s="30"/>
      <c r="P369" s="50"/>
      <c r="Q369" s="49"/>
    </row>
    <row r="370" spans="1:17" ht="15.75" customHeight="1" x14ac:dyDescent="0.3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84"/>
      <c r="M370" s="30"/>
      <c r="N370" s="39"/>
      <c r="O370" s="30"/>
      <c r="P370" s="50"/>
      <c r="Q370" s="49"/>
    </row>
    <row r="371" spans="1:17" ht="15.75" customHeight="1" x14ac:dyDescent="0.3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84"/>
      <c r="M371" s="30"/>
      <c r="N371" s="39"/>
      <c r="O371" s="30"/>
      <c r="P371" s="50"/>
      <c r="Q371" s="49"/>
    </row>
    <row r="372" spans="1:17" ht="15.75" customHeight="1" x14ac:dyDescent="0.3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84"/>
      <c r="M372" s="30"/>
      <c r="N372" s="39"/>
      <c r="O372" s="30"/>
      <c r="P372" s="50"/>
      <c r="Q372" s="49"/>
    </row>
    <row r="373" spans="1:17" ht="15.75" customHeight="1" x14ac:dyDescent="0.3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84"/>
      <c r="M373" s="30"/>
      <c r="N373" s="39"/>
      <c r="O373" s="30"/>
      <c r="P373" s="50"/>
      <c r="Q373" s="49"/>
    </row>
    <row r="374" spans="1:17" ht="15.75" customHeight="1" x14ac:dyDescent="0.3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84"/>
      <c r="M374" s="30"/>
      <c r="N374" s="39"/>
      <c r="O374" s="30"/>
      <c r="P374" s="50"/>
      <c r="Q374" s="49"/>
    </row>
    <row r="375" spans="1:17" ht="15.75" customHeight="1" x14ac:dyDescent="0.3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84"/>
      <c r="M375" s="30"/>
      <c r="N375" s="39"/>
      <c r="O375" s="30"/>
      <c r="P375" s="50"/>
      <c r="Q375" s="49"/>
    </row>
    <row r="376" spans="1:17" ht="15.75" customHeight="1" x14ac:dyDescent="0.3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84"/>
      <c r="M376" s="30"/>
      <c r="N376" s="39"/>
      <c r="O376" s="30"/>
      <c r="P376" s="50"/>
      <c r="Q376" s="49"/>
    </row>
    <row r="377" spans="1:17" ht="15.75" customHeight="1" x14ac:dyDescent="0.3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84"/>
      <c r="M377" s="30"/>
      <c r="N377" s="39"/>
      <c r="O377" s="30"/>
      <c r="P377" s="50"/>
      <c r="Q377" s="49"/>
    </row>
    <row r="378" spans="1:17" ht="15.75" customHeight="1" x14ac:dyDescent="0.3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84"/>
      <c r="M378" s="30"/>
      <c r="N378" s="39"/>
      <c r="O378" s="30"/>
      <c r="P378" s="50"/>
      <c r="Q378" s="49"/>
    </row>
    <row r="379" spans="1:17" ht="15.75" customHeight="1" x14ac:dyDescent="0.3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84"/>
      <c r="M379" s="30"/>
      <c r="N379" s="39"/>
      <c r="O379" s="30"/>
      <c r="P379" s="50"/>
      <c r="Q379" s="49"/>
    </row>
    <row r="380" spans="1:17" ht="15.75" customHeight="1" x14ac:dyDescent="0.3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84"/>
      <c r="M380" s="30"/>
      <c r="N380" s="39"/>
      <c r="O380" s="30"/>
      <c r="P380" s="50"/>
      <c r="Q380" s="49"/>
    </row>
    <row r="381" spans="1:17" ht="15.75" customHeight="1" x14ac:dyDescent="0.3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84"/>
      <c r="M381" s="30"/>
      <c r="N381" s="39"/>
      <c r="O381" s="30"/>
      <c r="P381" s="50"/>
      <c r="Q381" s="49"/>
    </row>
    <row r="382" spans="1:17" ht="15.75" customHeight="1" x14ac:dyDescent="0.3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84"/>
      <c r="M382" s="30"/>
      <c r="N382" s="39"/>
      <c r="O382" s="30"/>
      <c r="P382" s="50"/>
      <c r="Q382" s="49"/>
    </row>
    <row r="383" spans="1:17" ht="15.75" customHeight="1" x14ac:dyDescent="0.3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84"/>
      <c r="M383" s="30"/>
      <c r="N383" s="39"/>
      <c r="O383" s="30"/>
      <c r="P383" s="50"/>
      <c r="Q383" s="49"/>
    </row>
    <row r="384" spans="1:17" ht="15.75" customHeight="1" x14ac:dyDescent="0.3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84"/>
      <c r="M384" s="30"/>
      <c r="N384" s="39"/>
      <c r="O384" s="30"/>
      <c r="P384" s="50"/>
      <c r="Q384" s="49"/>
    </row>
    <row r="385" spans="1:17" ht="15.75" customHeight="1" x14ac:dyDescent="0.3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84"/>
      <c r="M385" s="30"/>
      <c r="N385" s="39"/>
      <c r="O385" s="30"/>
      <c r="P385" s="50"/>
      <c r="Q385" s="49"/>
    </row>
    <row r="386" spans="1:17" ht="15.75" customHeight="1" x14ac:dyDescent="0.3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84"/>
      <c r="M386" s="30"/>
      <c r="N386" s="39"/>
      <c r="O386" s="30"/>
      <c r="P386" s="50"/>
      <c r="Q386" s="49"/>
    </row>
    <row r="387" spans="1:17" ht="15.75" customHeight="1" x14ac:dyDescent="0.3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84"/>
      <c r="M387" s="30"/>
      <c r="N387" s="39"/>
      <c r="O387" s="30"/>
      <c r="P387" s="50"/>
      <c r="Q387" s="49"/>
    </row>
    <row r="388" spans="1:17" ht="15.75" customHeight="1" x14ac:dyDescent="0.3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84"/>
      <c r="M388" s="30"/>
      <c r="N388" s="39"/>
      <c r="O388" s="30"/>
      <c r="P388" s="50"/>
      <c r="Q388" s="49"/>
    </row>
    <row r="389" spans="1:17" ht="15.75" customHeight="1" x14ac:dyDescent="0.3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84"/>
      <c r="M389" s="30"/>
      <c r="N389" s="39"/>
      <c r="O389" s="30"/>
      <c r="P389" s="50"/>
      <c r="Q389" s="49"/>
    </row>
    <row r="390" spans="1:17" ht="15.75" customHeight="1" x14ac:dyDescent="0.3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84"/>
      <c r="M390" s="30"/>
      <c r="N390" s="39"/>
      <c r="O390" s="30"/>
      <c r="P390" s="50"/>
      <c r="Q390" s="49"/>
    </row>
    <row r="391" spans="1:17" ht="15.75" customHeight="1" x14ac:dyDescent="0.3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84"/>
      <c r="M391" s="30"/>
      <c r="N391" s="39"/>
      <c r="O391" s="30"/>
      <c r="P391" s="50"/>
      <c r="Q391" s="49"/>
    </row>
    <row r="392" spans="1:17" ht="15.75" customHeight="1" x14ac:dyDescent="0.3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84"/>
      <c r="M392" s="30"/>
      <c r="N392" s="39"/>
      <c r="O392" s="30"/>
      <c r="P392" s="50"/>
      <c r="Q392" s="49"/>
    </row>
    <row r="393" spans="1:17" ht="15.75" customHeight="1" x14ac:dyDescent="0.3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84"/>
      <c r="M393" s="30"/>
      <c r="N393" s="39"/>
      <c r="O393" s="30"/>
      <c r="P393" s="50"/>
      <c r="Q393" s="49"/>
    </row>
    <row r="394" spans="1:17" ht="15.75" customHeight="1" x14ac:dyDescent="0.3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84"/>
      <c r="M394" s="30"/>
      <c r="N394" s="39"/>
      <c r="O394" s="30"/>
      <c r="P394" s="50"/>
      <c r="Q394" s="49"/>
    </row>
    <row r="395" spans="1:17" ht="15.75" customHeight="1" x14ac:dyDescent="0.3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84"/>
      <c r="M395" s="30"/>
      <c r="N395" s="39"/>
      <c r="O395" s="30"/>
      <c r="P395" s="50"/>
      <c r="Q395" s="49"/>
    </row>
    <row r="396" spans="1:17" ht="15.75" customHeight="1" x14ac:dyDescent="0.3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84"/>
      <c r="M396" s="30"/>
      <c r="N396" s="39"/>
      <c r="O396" s="30"/>
      <c r="P396" s="50"/>
      <c r="Q396" s="49"/>
    </row>
    <row r="397" spans="1:17" ht="15.75" customHeight="1" x14ac:dyDescent="0.3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84"/>
      <c r="M397" s="30"/>
      <c r="N397" s="39"/>
      <c r="O397" s="30"/>
      <c r="P397" s="50"/>
      <c r="Q397" s="49"/>
    </row>
    <row r="398" spans="1:17" ht="15.75" customHeight="1" x14ac:dyDescent="0.3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84"/>
      <c r="M398" s="30"/>
      <c r="N398" s="39"/>
      <c r="O398" s="30"/>
      <c r="P398" s="50"/>
      <c r="Q398" s="49"/>
    </row>
    <row r="399" spans="1:17" ht="15.75" customHeight="1" x14ac:dyDescent="0.3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84"/>
      <c r="M399" s="30"/>
      <c r="N399" s="39"/>
      <c r="O399" s="30"/>
      <c r="P399" s="50"/>
      <c r="Q399" s="49"/>
    </row>
    <row r="400" spans="1:17" ht="15.75" customHeight="1" x14ac:dyDescent="0.3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84"/>
      <c r="M400" s="30"/>
      <c r="N400" s="39"/>
      <c r="O400" s="30"/>
      <c r="P400" s="50"/>
      <c r="Q400" s="49"/>
    </row>
    <row r="401" spans="1:17" ht="15.75" customHeight="1" x14ac:dyDescent="0.3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84"/>
      <c r="M401" s="30"/>
      <c r="N401" s="39"/>
      <c r="O401" s="30"/>
      <c r="P401" s="50"/>
      <c r="Q401" s="49"/>
    </row>
    <row r="402" spans="1:17" ht="15.75" customHeight="1" x14ac:dyDescent="0.3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84"/>
      <c r="M402" s="30"/>
      <c r="N402" s="39"/>
      <c r="O402" s="30"/>
      <c r="P402" s="50"/>
      <c r="Q402" s="49"/>
    </row>
    <row r="403" spans="1:17" ht="15.75" customHeight="1" x14ac:dyDescent="0.3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84"/>
      <c r="M403" s="30"/>
      <c r="N403" s="39"/>
      <c r="O403" s="30"/>
      <c r="P403" s="50"/>
      <c r="Q403" s="49"/>
    </row>
    <row r="404" spans="1:17" ht="15.75" customHeight="1" x14ac:dyDescent="0.3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84"/>
      <c r="M404" s="30"/>
      <c r="N404" s="39"/>
      <c r="O404" s="30"/>
      <c r="P404" s="50"/>
      <c r="Q404" s="49"/>
    </row>
    <row r="405" spans="1:17" ht="15.75" customHeight="1" x14ac:dyDescent="0.3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84"/>
      <c r="M405" s="30"/>
      <c r="N405" s="39"/>
      <c r="O405" s="30"/>
      <c r="P405" s="50"/>
      <c r="Q405" s="49"/>
    </row>
    <row r="406" spans="1:17" ht="15.75" customHeight="1" x14ac:dyDescent="0.3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84"/>
      <c r="M406" s="30"/>
      <c r="N406" s="39"/>
      <c r="O406" s="30"/>
      <c r="P406" s="50"/>
      <c r="Q406" s="49"/>
    </row>
    <row r="407" spans="1:17" ht="15.75" customHeight="1" x14ac:dyDescent="0.3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84"/>
      <c r="M407" s="30"/>
      <c r="N407" s="39"/>
      <c r="O407" s="30"/>
      <c r="P407" s="50"/>
      <c r="Q407" s="49"/>
    </row>
    <row r="408" spans="1:17" ht="15.75" customHeight="1" x14ac:dyDescent="0.3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84"/>
      <c r="M408" s="30"/>
      <c r="N408" s="39"/>
      <c r="O408" s="30"/>
      <c r="P408" s="50"/>
      <c r="Q408" s="49"/>
    </row>
    <row r="409" spans="1:17" ht="15.75" customHeight="1" x14ac:dyDescent="0.3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84"/>
      <c r="M409" s="30"/>
      <c r="N409" s="39"/>
      <c r="O409" s="30"/>
      <c r="P409" s="50"/>
      <c r="Q409" s="49"/>
    </row>
    <row r="410" spans="1:17" ht="15.75" customHeight="1" x14ac:dyDescent="0.3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84"/>
      <c r="M410" s="30"/>
      <c r="N410" s="39"/>
      <c r="O410" s="30"/>
      <c r="P410" s="50"/>
      <c r="Q410" s="49"/>
    </row>
    <row r="411" spans="1:17" ht="15.75" customHeight="1" x14ac:dyDescent="0.3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84"/>
      <c r="M411" s="30"/>
      <c r="N411" s="39"/>
      <c r="O411" s="30"/>
      <c r="P411" s="50"/>
      <c r="Q411" s="49"/>
    </row>
    <row r="412" spans="1:17" ht="15.75" customHeight="1" x14ac:dyDescent="0.3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84"/>
      <c r="M412" s="30"/>
      <c r="N412" s="39"/>
      <c r="O412" s="30"/>
      <c r="P412" s="50"/>
      <c r="Q412" s="49"/>
    </row>
    <row r="413" spans="1:17" ht="15.75" customHeight="1" x14ac:dyDescent="0.3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84"/>
      <c r="M413" s="30"/>
      <c r="N413" s="39"/>
      <c r="O413" s="30"/>
      <c r="P413" s="50"/>
      <c r="Q413" s="49"/>
    </row>
    <row r="414" spans="1:17" ht="15.75" customHeight="1" x14ac:dyDescent="0.3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84"/>
      <c r="M414" s="30"/>
      <c r="N414" s="39"/>
      <c r="O414" s="30"/>
      <c r="P414" s="50"/>
      <c r="Q414" s="49"/>
    </row>
    <row r="415" spans="1:17" ht="15.75" customHeight="1" x14ac:dyDescent="0.3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84"/>
      <c r="M415" s="30"/>
      <c r="N415" s="39"/>
      <c r="O415" s="30"/>
      <c r="P415" s="50"/>
      <c r="Q415" s="49"/>
    </row>
    <row r="416" spans="1:17" ht="15.75" customHeight="1" x14ac:dyDescent="0.3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84"/>
      <c r="M416" s="30"/>
      <c r="N416" s="39"/>
      <c r="O416" s="30"/>
      <c r="P416" s="50"/>
      <c r="Q416" s="49"/>
    </row>
    <row r="417" spans="1:17" ht="15.75" customHeight="1" x14ac:dyDescent="0.3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84"/>
      <c r="M417" s="30"/>
      <c r="N417" s="39"/>
      <c r="O417" s="30"/>
      <c r="P417" s="50"/>
      <c r="Q417" s="49"/>
    </row>
    <row r="418" spans="1:17" ht="15.75" customHeight="1" x14ac:dyDescent="0.3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84"/>
      <c r="M418" s="30"/>
      <c r="N418" s="39"/>
      <c r="O418" s="30"/>
      <c r="P418" s="50"/>
      <c r="Q418" s="49"/>
    </row>
    <row r="419" spans="1:17" ht="15.75" customHeight="1" x14ac:dyDescent="0.3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84"/>
      <c r="M419" s="30"/>
      <c r="N419" s="39"/>
      <c r="O419" s="30"/>
      <c r="P419" s="50"/>
      <c r="Q419" s="49"/>
    </row>
    <row r="420" spans="1:17" ht="15.75" customHeight="1" x14ac:dyDescent="0.3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84"/>
      <c r="M420" s="30"/>
      <c r="N420" s="39"/>
      <c r="O420" s="30"/>
      <c r="P420" s="50"/>
      <c r="Q420" s="49"/>
    </row>
    <row r="421" spans="1:17" ht="15.75" customHeight="1" x14ac:dyDescent="0.3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84"/>
      <c r="M421" s="30"/>
      <c r="N421" s="39"/>
      <c r="O421" s="30"/>
      <c r="P421" s="50"/>
      <c r="Q421" s="49"/>
    </row>
    <row r="422" spans="1:17" ht="15.75" customHeight="1" x14ac:dyDescent="0.3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84"/>
      <c r="M422" s="30"/>
      <c r="N422" s="39"/>
      <c r="O422" s="30"/>
      <c r="P422" s="50"/>
      <c r="Q422" s="49"/>
    </row>
    <row r="423" spans="1:17" ht="15.75" customHeight="1" x14ac:dyDescent="0.3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84"/>
      <c r="M423" s="30"/>
      <c r="N423" s="39"/>
      <c r="O423" s="30"/>
      <c r="P423" s="50"/>
      <c r="Q423" s="49"/>
    </row>
    <row r="424" spans="1:17" ht="15.75" customHeight="1" x14ac:dyDescent="0.3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84"/>
      <c r="M424" s="30"/>
      <c r="N424" s="39"/>
      <c r="O424" s="30"/>
      <c r="P424" s="50"/>
      <c r="Q424" s="49"/>
    </row>
    <row r="425" spans="1:17" ht="15.75" customHeight="1" x14ac:dyDescent="0.3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84"/>
      <c r="M425" s="30"/>
      <c r="N425" s="39"/>
      <c r="O425" s="30"/>
      <c r="P425" s="50"/>
      <c r="Q425" s="49"/>
    </row>
    <row r="426" spans="1:17" ht="15.75" customHeight="1" x14ac:dyDescent="0.3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84"/>
      <c r="M426" s="30"/>
      <c r="N426" s="39"/>
      <c r="O426" s="30"/>
      <c r="P426" s="50"/>
      <c r="Q426" s="49"/>
    </row>
    <row r="427" spans="1:17" ht="15.75" customHeight="1" x14ac:dyDescent="0.3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84"/>
      <c r="M427" s="30"/>
      <c r="N427" s="39"/>
      <c r="O427" s="30"/>
      <c r="P427" s="50"/>
      <c r="Q427" s="49"/>
    </row>
    <row r="428" spans="1:17" ht="15.75" customHeight="1" x14ac:dyDescent="0.3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84"/>
      <c r="M428" s="30"/>
      <c r="N428" s="39"/>
      <c r="O428" s="30"/>
      <c r="P428" s="50"/>
      <c r="Q428" s="49"/>
    </row>
    <row r="429" spans="1:17" ht="15.75" customHeight="1" x14ac:dyDescent="0.3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84"/>
      <c r="M429" s="30"/>
      <c r="N429" s="39"/>
      <c r="O429" s="30"/>
      <c r="P429" s="50"/>
      <c r="Q429" s="49"/>
    </row>
    <row r="430" spans="1:17" ht="15.75" customHeight="1" x14ac:dyDescent="0.3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84"/>
      <c r="M430" s="30"/>
      <c r="N430" s="39"/>
      <c r="O430" s="30"/>
      <c r="P430" s="50"/>
      <c r="Q430" s="49"/>
    </row>
    <row r="431" spans="1:17" ht="15.75" customHeight="1" x14ac:dyDescent="0.3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84"/>
      <c r="M431" s="30"/>
      <c r="N431" s="39"/>
      <c r="O431" s="30"/>
      <c r="P431" s="50"/>
      <c r="Q431" s="49"/>
    </row>
    <row r="432" spans="1:17" ht="15.75" customHeight="1" x14ac:dyDescent="0.3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84"/>
      <c r="M432" s="30"/>
      <c r="N432" s="39"/>
      <c r="O432" s="30"/>
      <c r="P432" s="50"/>
      <c r="Q432" s="49"/>
    </row>
    <row r="433" spans="1:17" ht="15.75" customHeight="1" x14ac:dyDescent="0.3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84"/>
      <c r="M433" s="30"/>
      <c r="N433" s="39"/>
      <c r="O433" s="30"/>
      <c r="P433" s="50"/>
      <c r="Q433" s="49"/>
    </row>
    <row r="434" spans="1:17" ht="15.75" customHeight="1" x14ac:dyDescent="0.3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84"/>
      <c r="M434" s="30"/>
      <c r="N434" s="39"/>
      <c r="O434" s="30"/>
      <c r="P434" s="50"/>
      <c r="Q434" s="49"/>
    </row>
    <row r="435" spans="1:17" ht="15.75" customHeight="1" x14ac:dyDescent="0.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84"/>
      <c r="M435" s="30"/>
      <c r="N435" s="39"/>
      <c r="O435" s="30"/>
      <c r="P435" s="50"/>
      <c r="Q435" s="49"/>
    </row>
    <row r="436" spans="1:17" ht="15.75" customHeight="1" x14ac:dyDescent="0.3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84"/>
      <c r="M436" s="30"/>
      <c r="N436" s="39"/>
      <c r="O436" s="30"/>
      <c r="P436" s="50"/>
      <c r="Q436" s="49"/>
    </row>
    <row r="437" spans="1:17" ht="15.75" customHeight="1" x14ac:dyDescent="0.3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84"/>
      <c r="M437" s="30"/>
      <c r="N437" s="39"/>
      <c r="O437" s="30"/>
      <c r="P437" s="50"/>
      <c r="Q437" s="49"/>
    </row>
    <row r="438" spans="1:17" ht="15.75" customHeight="1" x14ac:dyDescent="0.3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84"/>
      <c r="M438" s="30"/>
      <c r="N438" s="39"/>
      <c r="O438" s="30"/>
      <c r="P438" s="50"/>
      <c r="Q438" s="49"/>
    </row>
    <row r="439" spans="1:17" ht="15.75" customHeight="1" x14ac:dyDescent="0.3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84"/>
      <c r="M439" s="30"/>
      <c r="N439" s="39"/>
      <c r="O439" s="30"/>
      <c r="P439" s="50"/>
      <c r="Q439" s="49"/>
    </row>
    <row r="440" spans="1:17" ht="15.75" customHeight="1" x14ac:dyDescent="0.3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84"/>
      <c r="M440" s="30"/>
      <c r="N440" s="39"/>
      <c r="O440" s="30"/>
      <c r="P440" s="50"/>
      <c r="Q440" s="49"/>
    </row>
    <row r="441" spans="1:17" ht="15.75" customHeight="1" x14ac:dyDescent="0.3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84"/>
      <c r="M441" s="30"/>
      <c r="N441" s="39"/>
      <c r="O441" s="30"/>
      <c r="P441" s="50"/>
      <c r="Q441" s="49"/>
    </row>
    <row r="442" spans="1:17" ht="15.75" customHeight="1" x14ac:dyDescent="0.3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84"/>
      <c r="M442" s="30"/>
      <c r="N442" s="39"/>
      <c r="O442" s="30"/>
      <c r="P442" s="50"/>
      <c r="Q442" s="49"/>
    </row>
    <row r="443" spans="1:17" ht="15.75" customHeight="1" x14ac:dyDescent="0.3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84"/>
      <c r="M443" s="30"/>
      <c r="N443" s="39"/>
      <c r="O443" s="30"/>
      <c r="P443" s="50"/>
      <c r="Q443" s="49"/>
    </row>
    <row r="444" spans="1:17" ht="15.75" customHeight="1" x14ac:dyDescent="0.3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84"/>
      <c r="M444" s="30"/>
      <c r="N444" s="39"/>
      <c r="O444" s="30"/>
      <c r="P444" s="50"/>
      <c r="Q444" s="49"/>
    </row>
    <row r="445" spans="1:17" ht="15.75" customHeight="1" x14ac:dyDescent="0.3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84"/>
      <c r="M445" s="30"/>
      <c r="N445" s="39"/>
      <c r="O445" s="30"/>
      <c r="P445" s="50"/>
      <c r="Q445" s="49"/>
    </row>
    <row r="446" spans="1:17" ht="15.75" customHeight="1" x14ac:dyDescent="0.3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84"/>
      <c r="M446" s="30"/>
      <c r="N446" s="39"/>
      <c r="O446" s="30"/>
      <c r="P446" s="50"/>
      <c r="Q446" s="49"/>
    </row>
    <row r="447" spans="1:17" ht="15.75" customHeight="1" x14ac:dyDescent="0.3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84"/>
      <c r="M447" s="30"/>
      <c r="N447" s="39"/>
      <c r="O447" s="30"/>
      <c r="P447" s="50"/>
      <c r="Q447" s="49"/>
    </row>
    <row r="448" spans="1:17" ht="15.75" customHeight="1" x14ac:dyDescent="0.3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84"/>
      <c r="M448" s="30"/>
      <c r="N448" s="39"/>
      <c r="O448" s="30"/>
      <c r="P448" s="50"/>
      <c r="Q448" s="49"/>
    </row>
    <row r="449" spans="1:17" ht="15.75" customHeight="1" x14ac:dyDescent="0.3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84"/>
      <c r="M449" s="30"/>
      <c r="N449" s="39"/>
      <c r="O449" s="30"/>
      <c r="P449" s="50"/>
      <c r="Q449" s="49"/>
    </row>
    <row r="450" spans="1:17" ht="15.75" customHeight="1" x14ac:dyDescent="0.3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84"/>
      <c r="M450" s="30"/>
      <c r="N450" s="39"/>
      <c r="O450" s="30"/>
      <c r="P450" s="50"/>
      <c r="Q450" s="49"/>
    </row>
    <row r="451" spans="1:17" ht="15.75" customHeight="1" x14ac:dyDescent="0.3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84"/>
      <c r="M451" s="30"/>
      <c r="N451" s="39"/>
      <c r="O451" s="30"/>
      <c r="P451" s="50"/>
      <c r="Q451" s="49"/>
    </row>
    <row r="452" spans="1:17" ht="15.75" customHeight="1" x14ac:dyDescent="0.3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84"/>
      <c r="M452" s="30"/>
      <c r="N452" s="39"/>
      <c r="O452" s="30"/>
      <c r="P452" s="50"/>
      <c r="Q452" s="49"/>
    </row>
    <row r="453" spans="1:17" ht="15.75" customHeight="1" x14ac:dyDescent="0.3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84"/>
      <c r="M453" s="30"/>
      <c r="N453" s="39"/>
      <c r="O453" s="30"/>
      <c r="P453" s="50"/>
      <c r="Q453" s="49"/>
    </row>
    <row r="454" spans="1:17" ht="15.75" customHeight="1" x14ac:dyDescent="0.3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84"/>
      <c r="M454" s="30"/>
      <c r="N454" s="39"/>
      <c r="O454" s="30"/>
      <c r="P454" s="50"/>
      <c r="Q454" s="49"/>
    </row>
    <row r="455" spans="1:17" ht="15.75" customHeight="1" x14ac:dyDescent="0.3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84"/>
      <c r="M455" s="30"/>
      <c r="N455" s="39"/>
      <c r="O455" s="30"/>
      <c r="P455" s="50"/>
      <c r="Q455" s="49"/>
    </row>
    <row r="456" spans="1:17" ht="15.75" customHeight="1" x14ac:dyDescent="0.3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84"/>
      <c r="M456" s="30"/>
      <c r="N456" s="39"/>
      <c r="O456" s="30"/>
      <c r="P456" s="50"/>
      <c r="Q456" s="49"/>
    </row>
    <row r="457" spans="1:17" ht="15.75" customHeight="1" x14ac:dyDescent="0.3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84"/>
      <c r="M457" s="30"/>
      <c r="N457" s="39"/>
      <c r="O457" s="30"/>
      <c r="P457" s="50"/>
      <c r="Q457" s="49"/>
    </row>
    <row r="458" spans="1:17" ht="15.75" customHeight="1" x14ac:dyDescent="0.3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84"/>
      <c r="M458" s="30"/>
      <c r="N458" s="39"/>
      <c r="O458" s="30"/>
      <c r="P458" s="50"/>
      <c r="Q458" s="49"/>
    </row>
    <row r="459" spans="1:17" ht="15.75" customHeight="1" x14ac:dyDescent="0.3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84"/>
      <c r="M459" s="30"/>
      <c r="N459" s="39"/>
      <c r="O459" s="30"/>
      <c r="P459" s="50"/>
      <c r="Q459" s="49"/>
    </row>
    <row r="460" spans="1:17" ht="15.75" customHeight="1" x14ac:dyDescent="0.3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84"/>
      <c r="M460" s="30"/>
      <c r="N460" s="39"/>
      <c r="O460" s="30"/>
      <c r="P460" s="50"/>
      <c r="Q460" s="49"/>
    </row>
    <row r="461" spans="1:17" ht="15.75" customHeight="1" x14ac:dyDescent="0.3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84"/>
      <c r="M461" s="30"/>
      <c r="N461" s="39"/>
      <c r="O461" s="30"/>
      <c r="P461" s="50"/>
      <c r="Q461" s="49"/>
    </row>
    <row r="462" spans="1:17" ht="15.75" customHeight="1" x14ac:dyDescent="0.3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84"/>
      <c r="M462" s="30"/>
      <c r="N462" s="39"/>
      <c r="O462" s="30"/>
      <c r="P462" s="50"/>
      <c r="Q462" s="49"/>
    </row>
    <row r="463" spans="1:17" ht="15.75" customHeight="1" x14ac:dyDescent="0.3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84"/>
      <c r="M463" s="30"/>
      <c r="N463" s="39"/>
      <c r="O463" s="30"/>
      <c r="P463" s="50"/>
      <c r="Q463" s="49"/>
    </row>
    <row r="464" spans="1:17" ht="15.75" customHeight="1" x14ac:dyDescent="0.3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84"/>
      <c r="M464" s="30"/>
      <c r="N464" s="39"/>
      <c r="O464" s="30"/>
      <c r="P464" s="50"/>
      <c r="Q464" s="49"/>
    </row>
    <row r="465" spans="1:17" ht="15.75" customHeight="1" x14ac:dyDescent="0.3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84"/>
      <c r="M465" s="30"/>
      <c r="N465" s="39"/>
      <c r="O465" s="30"/>
      <c r="P465" s="50"/>
      <c r="Q465" s="49"/>
    </row>
    <row r="466" spans="1:17" ht="15.75" customHeight="1" x14ac:dyDescent="0.3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84"/>
      <c r="M466" s="30"/>
      <c r="N466" s="39"/>
      <c r="O466" s="30"/>
      <c r="P466" s="50"/>
      <c r="Q466" s="49"/>
    </row>
    <row r="467" spans="1:17" ht="15.75" customHeight="1" x14ac:dyDescent="0.3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84"/>
      <c r="M467" s="30"/>
      <c r="N467" s="39"/>
      <c r="O467" s="30"/>
      <c r="P467" s="50"/>
      <c r="Q467" s="49"/>
    </row>
    <row r="468" spans="1:17" ht="15.75" customHeight="1" x14ac:dyDescent="0.3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84"/>
      <c r="M468" s="30"/>
      <c r="N468" s="39"/>
      <c r="O468" s="30"/>
      <c r="P468" s="50"/>
      <c r="Q468" s="49"/>
    </row>
    <row r="469" spans="1:17" ht="15.75" customHeight="1" x14ac:dyDescent="0.3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84"/>
      <c r="M469" s="30"/>
      <c r="N469" s="39"/>
      <c r="O469" s="30"/>
      <c r="P469" s="50"/>
      <c r="Q469" s="49"/>
    </row>
    <row r="470" spans="1:17" ht="15.75" customHeight="1" x14ac:dyDescent="0.3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84"/>
      <c r="M470" s="30"/>
      <c r="N470" s="39"/>
      <c r="O470" s="30"/>
      <c r="P470" s="50"/>
      <c r="Q470" s="49"/>
    </row>
    <row r="471" spans="1:17" ht="15.75" customHeight="1" x14ac:dyDescent="0.3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84"/>
      <c r="M471" s="30"/>
      <c r="N471" s="39"/>
      <c r="O471" s="30"/>
      <c r="P471" s="50"/>
      <c r="Q471" s="49"/>
    </row>
    <row r="472" spans="1:17" ht="15.75" customHeight="1" x14ac:dyDescent="0.3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84"/>
      <c r="M472" s="30"/>
      <c r="N472" s="39"/>
      <c r="O472" s="30"/>
      <c r="P472" s="50"/>
      <c r="Q472" s="49"/>
    </row>
    <row r="473" spans="1:17" ht="15.75" customHeight="1" x14ac:dyDescent="0.3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84"/>
      <c r="M473" s="30"/>
      <c r="N473" s="39"/>
      <c r="O473" s="30"/>
      <c r="P473" s="50"/>
      <c r="Q473" s="49"/>
    </row>
    <row r="474" spans="1:17" ht="15.75" customHeight="1" x14ac:dyDescent="0.3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84"/>
      <c r="M474" s="30"/>
      <c r="N474" s="39"/>
      <c r="O474" s="30"/>
      <c r="P474" s="50"/>
      <c r="Q474" s="49"/>
    </row>
    <row r="475" spans="1:17" ht="15.75" customHeight="1" x14ac:dyDescent="0.3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84"/>
      <c r="M475" s="30"/>
      <c r="N475" s="39"/>
      <c r="O475" s="30"/>
      <c r="P475" s="50"/>
      <c r="Q475" s="49"/>
    </row>
    <row r="476" spans="1:17" ht="15.75" customHeight="1" x14ac:dyDescent="0.3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84"/>
      <c r="M476" s="30"/>
      <c r="N476" s="39"/>
      <c r="O476" s="30"/>
      <c r="P476" s="50"/>
      <c r="Q476" s="49"/>
    </row>
    <row r="477" spans="1:17" ht="15.75" customHeight="1" x14ac:dyDescent="0.3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84"/>
      <c r="M477" s="30"/>
      <c r="N477" s="39"/>
      <c r="O477" s="30"/>
      <c r="P477" s="50"/>
      <c r="Q477" s="49"/>
    </row>
    <row r="478" spans="1:17" ht="15.75" customHeight="1" x14ac:dyDescent="0.3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84"/>
      <c r="M478" s="30"/>
      <c r="N478" s="39"/>
      <c r="O478" s="30"/>
      <c r="P478" s="50"/>
      <c r="Q478" s="49"/>
    </row>
    <row r="479" spans="1:17" ht="15.75" customHeight="1" x14ac:dyDescent="0.3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84"/>
      <c r="M479" s="30"/>
      <c r="N479" s="39"/>
      <c r="O479" s="30"/>
      <c r="P479" s="50"/>
      <c r="Q479" s="49"/>
    </row>
    <row r="480" spans="1:17" ht="15.75" customHeight="1" x14ac:dyDescent="0.3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84"/>
      <c r="M480" s="30"/>
      <c r="N480" s="39"/>
      <c r="O480" s="30"/>
      <c r="P480" s="50"/>
      <c r="Q480" s="49"/>
    </row>
    <row r="481" spans="1:17" ht="15.75" customHeight="1" x14ac:dyDescent="0.3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84"/>
      <c r="M481" s="30"/>
      <c r="N481" s="39"/>
      <c r="O481" s="30"/>
      <c r="P481" s="50"/>
      <c r="Q481" s="49"/>
    </row>
    <row r="482" spans="1:17" ht="15.75" customHeight="1" x14ac:dyDescent="0.3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84"/>
      <c r="M482" s="30"/>
      <c r="N482" s="39"/>
      <c r="O482" s="30"/>
      <c r="P482" s="50"/>
      <c r="Q482" s="49"/>
    </row>
    <row r="483" spans="1:17" ht="15.75" customHeight="1" x14ac:dyDescent="0.3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84"/>
      <c r="M483" s="30"/>
      <c r="N483" s="39"/>
      <c r="O483" s="30"/>
      <c r="P483" s="50"/>
      <c r="Q483" s="49"/>
    </row>
    <row r="484" spans="1:17" ht="15.75" customHeight="1" x14ac:dyDescent="0.3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84"/>
      <c r="M484" s="30"/>
      <c r="N484" s="39"/>
      <c r="O484" s="30"/>
      <c r="P484" s="50"/>
      <c r="Q484" s="49"/>
    </row>
    <row r="485" spans="1:17" ht="15.75" customHeight="1" x14ac:dyDescent="0.3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84"/>
      <c r="M485" s="30"/>
      <c r="N485" s="39"/>
      <c r="O485" s="30"/>
      <c r="P485" s="50"/>
      <c r="Q485" s="49"/>
    </row>
    <row r="486" spans="1:17" ht="15.75" customHeight="1" x14ac:dyDescent="0.3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84"/>
      <c r="M486" s="30"/>
      <c r="N486" s="39"/>
      <c r="O486" s="30"/>
      <c r="P486" s="50"/>
      <c r="Q486" s="49"/>
    </row>
    <row r="487" spans="1:17" ht="15.75" customHeight="1" x14ac:dyDescent="0.3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84"/>
      <c r="M487" s="30"/>
      <c r="N487" s="39"/>
      <c r="O487" s="30"/>
      <c r="P487" s="50"/>
      <c r="Q487" s="49"/>
    </row>
    <row r="488" spans="1:17" ht="15.75" customHeight="1" x14ac:dyDescent="0.3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84"/>
      <c r="M488" s="30"/>
      <c r="N488" s="39"/>
      <c r="O488" s="30"/>
      <c r="P488" s="50"/>
      <c r="Q488" s="49"/>
    </row>
    <row r="489" spans="1:17" ht="15.75" customHeight="1" x14ac:dyDescent="0.3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84"/>
      <c r="M489" s="30"/>
      <c r="N489" s="39"/>
      <c r="O489" s="30"/>
      <c r="P489" s="50"/>
      <c r="Q489" s="49"/>
    </row>
    <row r="490" spans="1:17" ht="15.75" customHeight="1" x14ac:dyDescent="0.3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84"/>
      <c r="M490" s="30"/>
      <c r="N490" s="39"/>
      <c r="O490" s="30"/>
      <c r="P490" s="50"/>
      <c r="Q490" s="49"/>
    </row>
    <row r="491" spans="1:17" ht="15.75" customHeight="1" x14ac:dyDescent="0.3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84"/>
      <c r="M491" s="30"/>
      <c r="N491" s="39"/>
      <c r="O491" s="30"/>
      <c r="P491" s="50"/>
      <c r="Q491" s="49"/>
    </row>
    <row r="492" spans="1:17" ht="15.75" customHeight="1" x14ac:dyDescent="0.3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84"/>
      <c r="M492" s="30"/>
      <c r="N492" s="39"/>
      <c r="O492" s="30"/>
      <c r="P492" s="50"/>
      <c r="Q492" s="49"/>
    </row>
    <row r="493" spans="1:17" ht="15.75" customHeight="1" x14ac:dyDescent="0.3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84"/>
      <c r="M493" s="30"/>
      <c r="N493" s="39"/>
      <c r="O493" s="30"/>
      <c r="P493" s="50"/>
      <c r="Q493" s="49"/>
    </row>
    <row r="494" spans="1:17" ht="15.75" customHeight="1" x14ac:dyDescent="0.3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84"/>
      <c r="M494" s="30"/>
      <c r="N494" s="39"/>
      <c r="O494" s="30"/>
      <c r="P494" s="50"/>
      <c r="Q494" s="49"/>
    </row>
    <row r="495" spans="1:17" ht="15.75" customHeight="1" x14ac:dyDescent="0.3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84"/>
      <c r="M495" s="30"/>
      <c r="N495" s="39"/>
      <c r="O495" s="30"/>
      <c r="P495" s="50"/>
      <c r="Q495" s="49"/>
    </row>
    <row r="496" spans="1:17" ht="15.75" customHeight="1" x14ac:dyDescent="0.3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84"/>
      <c r="M496" s="30"/>
      <c r="N496" s="39"/>
      <c r="O496" s="30"/>
      <c r="P496" s="50"/>
      <c r="Q496" s="49"/>
    </row>
    <row r="497" spans="1:17" ht="15.75" customHeight="1" x14ac:dyDescent="0.3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84"/>
      <c r="M497" s="30"/>
      <c r="N497" s="39"/>
      <c r="O497" s="30"/>
      <c r="P497" s="50"/>
      <c r="Q497" s="49"/>
    </row>
    <row r="498" spans="1:17" ht="15.75" customHeight="1" x14ac:dyDescent="0.3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84"/>
      <c r="M498" s="30"/>
      <c r="N498" s="39"/>
      <c r="O498" s="30"/>
      <c r="P498" s="50"/>
      <c r="Q498" s="49"/>
    </row>
    <row r="499" spans="1:17" ht="15.75" customHeight="1" x14ac:dyDescent="0.3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84"/>
      <c r="M499" s="30"/>
      <c r="N499" s="39"/>
      <c r="O499" s="30"/>
      <c r="P499" s="50"/>
      <c r="Q499" s="49"/>
    </row>
    <row r="500" spans="1:17" ht="15.75" customHeight="1" x14ac:dyDescent="0.3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84"/>
      <c r="M500" s="30"/>
      <c r="N500" s="39"/>
      <c r="O500" s="30"/>
      <c r="P500" s="50"/>
      <c r="Q500" s="49"/>
    </row>
    <row r="501" spans="1:17" ht="15.75" customHeight="1" x14ac:dyDescent="0.3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84"/>
      <c r="M501" s="30"/>
      <c r="N501" s="39"/>
      <c r="O501" s="30"/>
      <c r="P501" s="50"/>
      <c r="Q501" s="49"/>
    </row>
    <row r="502" spans="1:17" ht="15.75" customHeight="1" x14ac:dyDescent="0.3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84"/>
      <c r="M502" s="30"/>
      <c r="N502" s="39"/>
      <c r="O502" s="30"/>
      <c r="P502" s="50"/>
      <c r="Q502" s="49"/>
    </row>
    <row r="503" spans="1:17" ht="15.75" customHeight="1" x14ac:dyDescent="0.3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84"/>
      <c r="M503" s="30"/>
      <c r="N503" s="39"/>
      <c r="O503" s="30"/>
      <c r="P503" s="50"/>
      <c r="Q503" s="49"/>
    </row>
    <row r="504" spans="1:17" ht="15.75" customHeight="1" x14ac:dyDescent="0.3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84"/>
      <c r="M504" s="30"/>
      <c r="N504" s="39"/>
      <c r="O504" s="30"/>
      <c r="P504" s="50"/>
      <c r="Q504" s="49"/>
    </row>
    <row r="505" spans="1:17" ht="15.75" customHeight="1" x14ac:dyDescent="0.3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84"/>
      <c r="M505" s="30"/>
      <c r="N505" s="39"/>
      <c r="O505" s="30"/>
      <c r="P505" s="50"/>
      <c r="Q505" s="49"/>
    </row>
    <row r="506" spans="1:17" ht="15.75" customHeight="1" x14ac:dyDescent="0.3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84"/>
      <c r="M506" s="30"/>
      <c r="N506" s="39"/>
      <c r="O506" s="30"/>
      <c r="P506" s="50"/>
      <c r="Q506" s="49"/>
    </row>
    <row r="507" spans="1:17" ht="15.75" customHeight="1" x14ac:dyDescent="0.3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84"/>
      <c r="M507" s="30"/>
      <c r="N507" s="39"/>
      <c r="O507" s="30"/>
      <c r="P507" s="50"/>
      <c r="Q507" s="49"/>
    </row>
    <row r="508" spans="1:17" ht="15.75" customHeight="1" x14ac:dyDescent="0.3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84"/>
      <c r="M508" s="30"/>
      <c r="N508" s="39"/>
      <c r="O508" s="30"/>
      <c r="P508" s="50"/>
      <c r="Q508" s="49"/>
    </row>
    <row r="509" spans="1:17" ht="15.75" customHeight="1" x14ac:dyDescent="0.3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84"/>
      <c r="M509" s="30"/>
      <c r="N509" s="39"/>
      <c r="O509" s="30"/>
      <c r="P509" s="50"/>
      <c r="Q509" s="49"/>
    </row>
    <row r="510" spans="1:17" ht="15.75" customHeight="1" x14ac:dyDescent="0.3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84"/>
      <c r="M510" s="30"/>
      <c r="N510" s="39"/>
      <c r="O510" s="30"/>
      <c r="P510" s="50"/>
      <c r="Q510" s="49"/>
    </row>
    <row r="511" spans="1:17" ht="15.75" customHeight="1" x14ac:dyDescent="0.3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84"/>
      <c r="M511" s="30"/>
      <c r="N511" s="39"/>
      <c r="O511" s="30"/>
      <c r="P511" s="50"/>
      <c r="Q511" s="49"/>
    </row>
    <row r="512" spans="1:17" ht="15.75" customHeight="1" x14ac:dyDescent="0.3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84"/>
      <c r="M512" s="30"/>
      <c r="N512" s="39"/>
      <c r="O512" s="30"/>
      <c r="P512" s="50"/>
      <c r="Q512" s="49"/>
    </row>
    <row r="513" spans="1:17" ht="15.75" customHeight="1" x14ac:dyDescent="0.3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84"/>
      <c r="M513" s="30"/>
      <c r="N513" s="39"/>
      <c r="O513" s="30"/>
      <c r="P513" s="50"/>
      <c r="Q513" s="49"/>
    </row>
    <row r="514" spans="1:17" ht="15.75" customHeight="1" x14ac:dyDescent="0.3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84"/>
      <c r="M514" s="30"/>
      <c r="N514" s="39"/>
      <c r="O514" s="30"/>
      <c r="P514" s="50"/>
      <c r="Q514" s="49"/>
    </row>
    <row r="515" spans="1:17" ht="15.75" customHeight="1" x14ac:dyDescent="0.3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84"/>
      <c r="M515" s="30"/>
      <c r="N515" s="39"/>
      <c r="O515" s="30"/>
      <c r="P515" s="50"/>
      <c r="Q515" s="49"/>
    </row>
    <row r="516" spans="1:17" ht="15.75" customHeight="1" x14ac:dyDescent="0.3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84"/>
      <c r="M516" s="30"/>
      <c r="N516" s="39"/>
      <c r="O516" s="30"/>
      <c r="P516" s="50"/>
      <c r="Q516" s="49"/>
    </row>
    <row r="517" spans="1:17" ht="15.75" customHeight="1" x14ac:dyDescent="0.3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84"/>
      <c r="M517" s="30"/>
      <c r="N517" s="39"/>
      <c r="O517" s="30"/>
      <c r="P517" s="50"/>
      <c r="Q517" s="49"/>
    </row>
    <row r="518" spans="1:17" ht="15.75" customHeight="1" x14ac:dyDescent="0.3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84"/>
      <c r="M518" s="30"/>
      <c r="N518" s="39"/>
      <c r="O518" s="30"/>
      <c r="P518" s="50"/>
      <c r="Q518" s="49"/>
    </row>
    <row r="519" spans="1:17" ht="15.75" customHeight="1" x14ac:dyDescent="0.3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84"/>
      <c r="M519" s="30"/>
      <c r="N519" s="39"/>
      <c r="O519" s="30"/>
      <c r="P519" s="50"/>
      <c r="Q519" s="49"/>
    </row>
    <row r="520" spans="1:17" ht="15.75" customHeight="1" x14ac:dyDescent="0.3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84"/>
      <c r="M520" s="30"/>
      <c r="N520" s="39"/>
      <c r="O520" s="30"/>
      <c r="P520" s="50"/>
      <c r="Q520" s="49"/>
    </row>
    <row r="521" spans="1:17" ht="15.75" customHeight="1" x14ac:dyDescent="0.3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84"/>
      <c r="M521" s="30"/>
      <c r="N521" s="39"/>
      <c r="O521" s="30"/>
      <c r="P521" s="50"/>
      <c r="Q521" s="49"/>
    </row>
    <row r="522" spans="1:17" ht="15.75" customHeight="1" x14ac:dyDescent="0.3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84"/>
      <c r="M522" s="30"/>
      <c r="N522" s="39"/>
      <c r="O522" s="30"/>
      <c r="P522" s="50"/>
      <c r="Q522" s="49"/>
    </row>
    <row r="523" spans="1:17" ht="15.75" customHeight="1" x14ac:dyDescent="0.3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84"/>
      <c r="M523" s="30"/>
      <c r="N523" s="39"/>
      <c r="O523" s="30"/>
      <c r="P523" s="50"/>
      <c r="Q523" s="49"/>
    </row>
    <row r="524" spans="1:17" ht="15.75" customHeight="1" x14ac:dyDescent="0.3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84"/>
      <c r="M524" s="30"/>
      <c r="N524" s="39"/>
      <c r="O524" s="30"/>
      <c r="P524" s="50"/>
      <c r="Q524" s="49"/>
    </row>
    <row r="525" spans="1:17" ht="15.75" customHeight="1" x14ac:dyDescent="0.3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84"/>
      <c r="M525" s="30"/>
      <c r="N525" s="39"/>
      <c r="O525" s="30"/>
      <c r="P525" s="50"/>
      <c r="Q525" s="49"/>
    </row>
    <row r="526" spans="1:17" ht="15.75" customHeight="1" x14ac:dyDescent="0.3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84"/>
      <c r="M526" s="30"/>
      <c r="N526" s="39"/>
      <c r="O526" s="30"/>
      <c r="P526" s="50"/>
      <c r="Q526" s="49"/>
    </row>
    <row r="527" spans="1:17" ht="15.75" customHeight="1" x14ac:dyDescent="0.3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84"/>
      <c r="M527" s="30"/>
      <c r="N527" s="39"/>
      <c r="O527" s="30"/>
      <c r="P527" s="50"/>
      <c r="Q527" s="49"/>
    </row>
    <row r="528" spans="1:17" ht="15.75" customHeight="1" x14ac:dyDescent="0.3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84"/>
      <c r="M528" s="30"/>
      <c r="N528" s="39"/>
      <c r="O528" s="30"/>
      <c r="P528" s="50"/>
      <c r="Q528" s="49"/>
    </row>
    <row r="529" spans="1:17" ht="15.75" customHeight="1" x14ac:dyDescent="0.3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84"/>
      <c r="M529" s="30"/>
      <c r="N529" s="39"/>
      <c r="O529" s="30"/>
      <c r="P529" s="50"/>
      <c r="Q529" s="49"/>
    </row>
    <row r="530" spans="1:17" ht="15.75" customHeight="1" x14ac:dyDescent="0.3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84"/>
      <c r="M530" s="30"/>
      <c r="N530" s="39"/>
      <c r="O530" s="30"/>
      <c r="P530" s="50"/>
      <c r="Q530" s="49"/>
    </row>
    <row r="531" spans="1:17" ht="15.75" customHeight="1" x14ac:dyDescent="0.3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84"/>
      <c r="M531" s="30"/>
      <c r="N531" s="39"/>
      <c r="O531" s="30"/>
      <c r="P531" s="50"/>
      <c r="Q531" s="49"/>
    </row>
    <row r="532" spans="1:17" ht="15.75" customHeight="1" x14ac:dyDescent="0.3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84"/>
      <c r="M532" s="30"/>
      <c r="N532" s="39"/>
      <c r="O532" s="30"/>
      <c r="P532" s="50"/>
      <c r="Q532" s="49"/>
    </row>
    <row r="533" spans="1:17" ht="15.75" customHeight="1" x14ac:dyDescent="0.3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84"/>
      <c r="M533" s="30"/>
      <c r="N533" s="39"/>
      <c r="O533" s="30"/>
      <c r="P533" s="50"/>
      <c r="Q533" s="49"/>
    </row>
    <row r="534" spans="1:17" ht="15.75" customHeight="1" x14ac:dyDescent="0.3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84"/>
      <c r="M534" s="30"/>
      <c r="N534" s="39"/>
      <c r="O534" s="30"/>
      <c r="P534" s="50"/>
      <c r="Q534" s="49"/>
    </row>
    <row r="535" spans="1:17" ht="15.75" customHeight="1" x14ac:dyDescent="0.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84"/>
      <c r="M535" s="30"/>
      <c r="N535" s="39"/>
      <c r="O535" s="30"/>
      <c r="P535" s="50"/>
      <c r="Q535" s="49"/>
    </row>
    <row r="536" spans="1:17" ht="15.75" customHeight="1" x14ac:dyDescent="0.3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84"/>
      <c r="M536" s="30"/>
      <c r="N536" s="39"/>
      <c r="O536" s="30"/>
      <c r="P536" s="50"/>
      <c r="Q536" s="49"/>
    </row>
    <row r="537" spans="1:17" ht="15.75" customHeight="1" x14ac:dyDescent="0.3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84"/>
      <c r="M537" s="30"/>
      <c r="N537" s="39"/>
      <c r="O537" s="30"/>
      <c r="P537" s="50"/>
      <c r="Q537" s="49"/>
    </row>
    <row r="538" spans="1:17" ht="15.75" customHeight="1" x14ac:dyDescent="0.3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84"/>
      <c r="M538" s="30"/>
      <c r="N538" s="39"/>
      <c r="O538" s="30"/>
      <c r="P538" s="50"/>
      <c r="Q538" s="49"/>
    </row>
    <row r="539" spans="1:17" ht="15.75" customHeight="1" x14ac:dyDescent="0.3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84"/>
      <c r="M539" s="30"/>
      <c r="N539" s="39"/>
      <c r="O539" s="30"/>
      <c r="P539" s="50"/>
      <c r="Q539" s="49"/>
    </row>
    <row r="540" spans="1:17" ht="15.75" customHeight="1" x14ac:dyDescent="0.3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84"/>
      <c r="M540" s="30"/>
      <c r="N540" s="39"/>
      <c r="O540" s="30"/>
      <c r="P540" s="50"/>
      <c r="Q540" s="49"/>
    </row>
    <row r="541" spans="1:17" ht="15.75" customHeight="1" x14ac:dyDescent="0.3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84"/>
      <c r="M541" s="30"/>
      <c r="N541" s="39"/>
      <c r="O541" s="30"/>
      <c r="P541" s="50"/>
      <c r="Q541" s="49"/>
    </row>
    <row r="542" spans="1:17" ht="15.75" customHeight="1" x14ac:dyDescent="0.3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84"/>
      <c r="M542" s="30"/>
      <c r="N542" s="39"/>
      <c r="O542" s="30"/>
      <c r="P542" s="50"/>
      <c r="Q542" s="49"/>
    </row>
    <row r="543" spans="1:17" ht="15.75" customHeight="1" x14ac:dyDescent="0.3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84"/>
      <c r="M543" s="30"/>
      <c r="N543" s="39"/>
      <c r="O543" s="30"/>
      <c r="P543" s="50"/>
      <c r="Q543" s="49"/>
    </row>
    <row r="544" spans="1:17" ht="15.75" customHeight="1" x14ac:dyDescent="0.3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84"/>
      <c r="M544" s="30"/>
      <c r="N544" s="39"/>
      <c r="O544" s="30"/>
      <c r="P544" s="50"/>
      <c r="Q544" s="49"/>
    </row>
    <row r="545" spans="1:17" ht="15.75" customHeight="1" x14ac:dyDescent="0.3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84"/>
      <c r="M545" s="30"/>
      <c r="N545" s="39"/>
      <c r="O545" s="30"/>
      <c r="P545" s="50"/>
      <c r="Q545" s="49"/>
    </row>
    <row r="546" spans="1:17" ht="15.75" customHeight="1" x14ac:dyDescent="0.3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84"/>
      <c r="M546" s="30"/>
      <c r="N546" s="39"/>
      <c r="O546" s="30"/>
      <c r="P546" s="50"/>
      <c r="Q546" s="49"/>
    </row>
    <row r="547" spans="1:17" ht="15.75" customHeight="1" x14ac:dyDescent="0.3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84"/>
      <c r="M547" s="30"/>
      <c r="N547" s="39"/>
      <c r="O547" s="30"/>
      <c r="P547" s="50"/>
      <c r="Q547" s="49"/>
    </row>
    <row r="548" spans="1:17" ht="15.75" customHeight="1" x14ac:dyDescent="0.3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84"/>
      <c r="M548" s="30"/>
      <c r="N548" s="39"/>
      <c r="O548" s="30"/>
      <c r="P548" s="50"/>
      <c r="Q548" s="49"/>
    </row>
    <row r="549" spans="1:17" ht="15.75" customHeight="1" x14ac:dyDescent="0.3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84"/>
      <c r="M549" s="30"/>
      <c r="N549" s="39"/>
      <c r="O549" s="30"/>
      <c r="P549" s="50"/>
      <c r="Q549" s="49"/>
    </row>
    <row r="550" spans="1:17" ht="15.75" customHeight="1" x14ac:dyDescent="0.3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84"/>
      <c r="M550" s="30"/>
      <c r="N550" s="39"/>
      <c r="O550" s="30"/>
      <c r="P550" s="50"/>
      <c r="Q550" s="49"/>
    </row>
    <row r="551" spans="1:17" ht="15.75" customHeight="1" x14ac:dyDescent="0.3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84"/>
      <c r="M551" s="30"/>
      <c r="N551" s="39"/>
      <c r="O551" s="30"/>
      <c r="P551" s="50"/>
      <c r="Q551" s="49"/>
    </row>
    <row r="552" spans="1:17" ht="15.75" customHeight="1" x14ac:dyDescent="0.3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84"/>
      <c r="M552" s="30"/>
      <c r="N552" s="39"/>
      <c r="O552" s="30"/>
      <c r="P552" s="50"/>
      <c r="Q552" s="49"/>
    </row>
    <row r="553" spans="1:17" ht="15.75" customHeight="1" x14ac:dyDescent="0.3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84"/>
      <c r="M553" s="30"/>
      <c r="N553" s="39"/>
      <c r="O553" s="30"/>
      <c r="P553" s="50"/>
      <c r="Q553" s="49"/>
    </row>
    <row r="554" spans="1:17" ht="15.75" customHeight="1" x14ac:dyDescent="0.3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84"/>
      <c r="M554" s="30"/>
      <c r="N554" s="39"/>
      <c r="O554" s="30"/>
      <c r="P554" s="50"/>
      <c r="Q554" s="49"/>
    </row>
    <row r="555" spans="1:17" ht="15.75" customHeight="1" x14ac:dyDescent="0.3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84"/>
      <c r="M555" s="30"/>
      <c r="N555" s="39"/>
      <c r="O555" s="30"/>
      <c r="P555" s="50"/>
      <c r="Q555" s="49"/>
    </row>
    <row r="556" spans="1:17" ht="15.75" customHeight="1" x14ac:dyDescent="0.3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84"/>
      <c r="M556" s="30"/>
      <c r="N556" s="39"/>
      <c r="O556" s="30"/>
      <c r="P556" s="50"/>
      <c r="Q556" s="49"/>
    </row>
    <row r="557" spans="1:17" ht="15.75" customHeight="1" x14ac:dyDescent="0.3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84"/>
      <c r="M557" s="30"/>
      <c r="N557" s="39"/>
      <c r="O557" s="30"/>
      <c r="P557" s="50"/>
      <c r="Q557" s="49"/>
    </row>
    <row r="558" spans="1:17" ht="15.75" customHeight="1" x14ac:dyDescent="0.3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84"/>
      <c r="M558" s="30"/>
      <c r="N558" s="39"/>
      <c r="O558" s="30"/>
      <c r="P558" s="50"/>
      <c r="Q558" s="49"/>
    </row>
    <row r="559" spans="1:17" ht="15.75" customHeight="1" x14ac:dyDescent="0.3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84"/>
      <c r="M559" s="30"/>
      <c r="N559" s="39"/>
      <c r="O559" s="30"/>
      <c r="P559" s="50"/>
      <c r="Q559" s="49"/>
    </row>
    <row r="560" spans="1:17" ht="15.75" customHeight="1" x14ac:dyDescent="0.3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84"/>
      <c r="M560" s="30"/>
      <c r="N560" s="39"/>
      <c r="O560" s="30"/>
      <c r="P560" s="50"/>
      <c r="Q560" s="49"/>
    </row>
    <row r="561" spans="1:17" ht="15.75" customHeight="1" x14ac:dyDescent="0.3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84"/>
      <c r="M561" s="30"/>
      <c r="N561" s="39"/>
      <c r="O561" s="30"/>
      <c r="P561" s="50"/>
      <c r="Q561" s="49"/>
    </row>
    <row r="562" spans="1:17" ht="15.75" customHeight="1" x14ac:dyDescent="0.3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84"/>
      <c r="M562" s="30"/>
      <c r="N562" s="39"/>
      <c r="O562" s="30"/>
      <c r="P562" s="50"/>
      <c r="Q562" s="49"/>
    </row>
    <row r="563" spans="1:17" ht="15.75" customHeight="1" x14ac:dyDescent="0.3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84"/>
      <c r="M563" s="30"/>
      <c r="N563" s="39"/>
      <c r="O563" s="30"/>
      <c r="P563" s="50"/>
      <c r="Q563" s="49"/>
    </row>
    <row r="564" spans="1:17" ht="15.75" customHeight="1" x14ac:dyDescent="0.3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84"/>
      <c r="M564" s="30"/>
      <c r="N564" s="39"/>
      <c r="O564" s="30"/>
      <c r="P564" s="50"/>
      <c r="Q564" s="49"/>
    </row>
    <row r="565" spans="1:17" ht="15.75" customHeight="1" x14ac:dyDescent="0.3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84"/>
      <c r="M565" s="30"/>
      <c r="N565" s="39"/>
      <c r="O565" s="30"/>
      <c r="P565" s="50"/>
      <c r="Q565" s="49"/>
    </row>
    <row r="566" spans="1:17" ht="15.75" customHeight="1" x14ac:dyDescent="0.3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84"/>
      <c r="M566" s="30"/>
      <c r="N566" s="39"/>
      <c r="O566" s="30"/>
      <c r="P566" s="50"/>
      <c r="Q566" s="49"/>
    </row>
    <row r="567" spans="1:17" ht="15.75" customHeight="1" x14ac:dyDescent="0.3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84"/>
      <c r="M567" s="30"/>
      <c r="N567" s="39"/>
      <c r="O567" s="30"/>
      <c r="P567" s="50"/>
      <c r="Q567" s="49"/>
    </row>
    <row r="568" spans="1:17" ht="15.75" customHeight="1" x14ac:dyDescent="0.3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84"/>
      <c r="M568" s="30"/>
      <c r="N568" s="39"/>
      <c r="O568" s="30"/>
      <c r="P568" s="50"/>
      <c r="Q568" s="49"/>
    </row>
    <row r="569" spans="1:17" ht="15.75" customHeight="1" x14ac:dyDescent="0.3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84"/>
      <c r="M569" s="30"/>
      <c r="N569" s="39"/>
      <c r="O569" s="30"/>
      <c r="P569" s="50"/>
      <c r="Q569" s="49"/>
    </row>
    <row r="570" spans="1:17" ht="15.75" customHeight="1" x14ac:dyDescent="0.3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84"/>
      <c r="M570" s="30"/>
      <c r="N570" s="39"/>
      <c r="O570" s="30"/>
      <c r="P570" s="50"/>
      <c r="Q570" s="49"/>
    </row>
    <row r="571" spans="1:17" ht="15.75" customHeight="1" x14ac:dyDescent="0.3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84"/>
      <c r="M571" s="30"/>
      <c r="N571" s="39"/>
      <c r="O571" s="30"/>
      <c r="P571" s="50"/>
      <c r="Q571" s="49"/>
    </row>
    <row r="572" spans="1:17" ht="15.75" customHeight="1" x14ac:dyDescent="0.3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84"/>
      <c r="M572" s="30"/>
      <c r="N572" s="39"/>
      <c r="O572" s="30"/>
      <c r="P572" s="50"/>
      <c r="Q572" s="49"/>
    </row>
    <row r="573" spans="1:17" ht="15.75" customHeight="1" x14ac:dyDescent="0.3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84"/>
      <c r="M573" s="30"/>
      <c r="N573" s="39"/>
      <c r="O573" s="30"/>
      <c r="P573" s="50"/>
      <c r="Q573" s="49"/>
    </row>
    <row r="574" spans="1:17" ht="15.75" customHeight="1" x14ac:dyDescent="0.3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84"/>
      <c r="M574" s="30"/>
      <c r="N574" s="39"/>
      <c r="O574" s="30"/>
      <c r="P574" s="50"/>
      <c r="Q574" s="49"/>
    </row>
    <row r="575" spans="1:17" ht="15.75" customHeight="1" x14ac:dyDescent="0.3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84"/>
      <c r="M575" s="30"/>
      <c r="N575" s="39"/>
      <c r="O575" s="30"/>
      <c r="P575" s="50"/>
      <c r="Q575" s="49"/>
    </row>
    <row r="576" spans="1:17" ht="15.75" customHeight="1" x14ac:dyDescent="0.3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84"/>
      <c r="M576" s="30"/>
      <c r="N576" s="39"/>
      <c r="O576" s="30"/>
      <c r="P576" s="50"/>
      <c r="Q576" s="49"/>
    </row>
    <row r="577" spans="1:17" ht="15.75" customHeight="1" x14ac:dyDescent="0.3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84"/>
      <c r="M577" s="30"/>
      <c r="N577" s="39"/>
      <c r="O577" s="30"/>
      <c r="P577" s="50"/>
      <c r="Q577" s="49"/>
    </row>
    <row r="578" spans="1:17" ht="15.75" customHeight="1" x14ac:dyDescent="0.3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84"/>
      <c r="M578" s="30"/>
      <c r="N578" s="39"/>
      <c r="O578" s="30"/>
      <c r="P578" s="50"/>
      <c r="Q578" s="49"/>
    </row>
    <row r="579" spans="1:17" ht="15.75" customHeight="1" x14ac:dyDescent="0.3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84"/>
      <c r="M579" s="30"/>
      <c r="N579" s="39"/>
      <c r="O579" s="30"/>
      <c r="P579" s="50"/>
      <c r="Q579" s="49"/>
    </row>
    <row r="580" spans="1:17" ht="15.75" customHeight="1" x14ac:dyDescent="0.3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84"/>
      <c r="M580" s="30"/>
      <c r="N580" s="39"/>
      <c r="O580" s="30"/>
      <c r="P580" s="50"/>
      <c r="Q580" s="49"/>
    </row>
    <row r="581" spans="1:17" ht="15.75" customHeight="1" x14ac:dyDescent="0.3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84"/>
      <c r="M581" s="30"/>
      <c r="N581" s="39"/>
      <c r="O581" s="30"/>
      <c r="P581" s="50"/>
      <c r="Q581" s="49"/>
    </row>
    <row r="582" spans="1:17" ht="15.75" customHeight="1" x14ac:dyDescent="0.3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84"/>
      <c r="M582" s="30"/>
      <c r="N582" s="39"/>
      <c r="O582" s="30"/>
      <c r="P582" s="50"/>
      <c r="Q582" s="49"/>
    </row>
    <row r="583" spans="1:17" ht="15.75" customHeight="1" x14ac:dyDescent="0.3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84"/>
      <c r="M583" s="30"/>
      <c r="N583" s="39"/>
      <c r="O583" s="30"/>
      <c r="P583" s="50"/>
      <c r="Q583" s="49"/>
    </row>
    <row r="584" spans="1:17" ht="15.75" customHeight="1" x14ac:dyDescent="0.3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84"/>
      <c r="M584" s="30"/>
      <c r="N584" s="39"/>
      <c r="O584" s="30"/>
      <c r="P584" s="50"/>
      <c r="Q584" s="49"/>
    </row>
    <row r="585" spans="1:17" ht="15.75" customHeight="1" x14ac:dyDescent="0.3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84"/>
      <c r="M585" s="30"/>
      <c r="N585" s="39"/>
      <c r="O585" s="30"/>
      <c r="P585" s="50"/>
      <c r="Q585" s="49"/>
    </row>
    <row r="586" spans="1:17" ht="15.75" customHeight="1" x14ac:dyDescent="0.3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84"/>
      <c r="M586" s="30"/>
      <c r="N586" s="39"/>
      <c r="O586" s="30"/>
      <c r="P586" s="50"/>
      <c r="Q586" s="49"/>
    </row>
    <row r="587" spans="1:17" ht="15.75" customHeight="1" x14ac:dyDescent="0.3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84"/>
      <c r="M587" s="30"/>
      <c r="N587" s="39"/>
      <c r="O587" s="30"/>
      <c r="P587" s="50"/>
      <c r="Q587" s="49"/>
    </row>
    <row r="588" spans="1:17" ht="15.75" customHeight="1" x14ac:dyDescent="0.3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84"/>
      <c r="M588" s="30"/>
      <c r="N588" s="39"/>
      <c r="O588" s="30"/>
      <c r="P588" s="50"/>
      <c r="Q588" s="49"/>
    </row>
    <row r="589" spans="1:17" ht="15.75" customHeight="1" x14ac:dyDescent="0.3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84"/>
      <c r="M589" s="30"/>
      <c r="N589" s="39"/>
      <c r="O589" s="30"/>
      <c r="P589" s="50"/>
      <c r="Q589" s="49"/>
    </row>
    <row r="590" spans="1:17" ht="15.75" customHeight="1" x14ac:dyDescent="0.3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84"/>
      <c r="M590" s="30"/>
      <c r="N590" s="39"/>
      <c r="O590" s="30"/>
      <c r="P590" s="50"/>
      <c r="Q590" s="49"/>
    </row>
    <row r="591" spans="1:17" ht="15.75" customHeight="1" x14ac:dyDescent="0.3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84"/>
      <c r="M591" s="30"/>
      <c r="N591" s="39"/>
      <c r="O591" s="30"/>
      <c r="P591" s="50"/>
      <c r="Q591" s="49"/>
    </row>
    <row r="592" spans="1:17" ht="15.75" customHeight="1" x14ac:dyDescent="0.3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84"/>
      <c r="M592" s="30"/>
      <c r="N592" s="39"/>
      <c r="O592" s="30"/>
      <c r="P592" s="50"/>
      <c r="Q592" s="49"/>
    </row>
    <row r="593" spans="1:17" ht="15.75" customHeight="1" x14ac:dyDescent="0.3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84"/>
      <c r="M593" s="30"/>
      <c r="N593" s="39"/>
      <c r="O593" s="30"/>
      <c r="P593" s="50"/>
      <c r="Q593" s="49"/>
    </row>
    <row r="594" spans="1:17" ht="15.75" customHeight="1" x14ac:dyDescent="0.3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84"/>
      <c r="M594" s="30"/>
      <c r="N594" s="39"/>
      <c r="O594" s="30"/>
      <c r="P594" s="50"/>
      <c r="Q594" s="49"/>
    </row>
    <row r="595" spans="1:17" ht="15.75" customHeight="1" x14ac:dyDescent="0.3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84"/>
      <c r="M595" s="30"/>
      <c r="N595" s="39"/>
      <c r="O595" s="30"/>
      <c r="P595" s="50"/>
      <c r="Q595" s="49"/>
    </row>
    <row r="596" spans="1:17" ht="15.75" customHeight="1" x14ac:dyDescent="0.3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84"/>
      <c r="M596" s="30"/>
      <c r="N596" s="39"/>
      <c r="O596" s="30"/>
      <c r="P596" s="50"/>
      <c r="Q596" s="49"/>
    </row>
    <row r="597" spans="1:17" ht="15.75" customHeight="1" x14ac:dyDescent="0.3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84"/>
      <c r="M597" s="30"/>
      <c r="N597" s="39"/>
      <c r="O597" s="30"/>
      <c r="P597" s="50"/>
      <c r="Q597" s="49"/>
    </row>
    <row r="598" spans="1:17" ht="15.75" customHeight="1" x14ac:dyDescent="0.3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84"/>
      <c r="M598" s="30"/>
      <c r="N598" s="39"/>
      <c r="O598" s="30"/>
      <c r="P598" s="50"/>
      <c r="Q598" s="49"/>
    </row>
    <row r="599" spans="1:17" ht="15.75" customHeight="1" x14ac:dyDescent="0.3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84"/>
      <c r="M599" s="30"/>
      <c r="N599" s="39"/>
      <c r="O599" s="30"/>
      <c r="P599" s="50"/>
      <c r="Q599" s="49"/>
    </row>
    <row r="600" spans="1:17" ht="15.75" customHeight="1" x14ac:dyDescent="0.3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84"/>
      <c r="M600" s="30"/>
      <c r="N600" s="39"/>
      <c r="O600" s="30"/>
      <c r="P600" s="50"/>
      <c r="Q600" s="49"/>
    </row>
    <row r="601" spans="1:17" ht="15.75" customHeight="1" x14ac:dyDescent="0.3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84"/>
      <c r="M601" s="30"/>
      <c r="N601" s="39"/>
      <c r="O601" s="30"/>
      <c r="P601" s="50"/>
      <c r="Q601" s="49"/>
    </row>
    <row r="602" spans="1:17" ht="15.75" customHeight="1" x14ac:dyDescent="0.3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84"/>
      <c r="M602" s="30"/>
      <c r="N602" s="39"/>
      <c r="O602" s="30"/>
      <c r="P602" s="50"/>
      <c r="Q602" s="49"/>
    </row>
    <row r="603" spans="1:17" ht="15.75" customHeight="1" x14ac:dyDescent="0.3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84"/>
      <c r="M603" s="30"/>
      <c r="N603" s="39"/>
      <c r="O603" s="30"/>
      <c r="P603" s="50"/>
      <c r="Q603" s="49"/>
    </row>
    <row r="604" spans="1:17" ht="15.75" customHeight="1" x14ac:dyDescent="0.3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84"/>
      <c r="M604" s="30"/>
      <c r="N604" s="39"/>
      <c r="O604" s="30"/>
      <c r="P604" s="50"/>
      <c r="Q604" s="49"/>
    </row>
    <row r="605" spans="1:17" ht="15.75" customHeight="1" x14ac:dyDescent="0.3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84"/>
      <c r="M605" s="30"/>
      <c r="N605" s="39"/>
      <c r="O605" s="30"/>
      <c r="P605" s="50"/>
      <c r="Q605" s="49"/>
    </row>
    <row r="606" spans="1:17" ht="15.75" customHeight="1" x14ac:dyDescent="0.3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84"/>
      <c r="M606" s="30"/>
      <c r="N606" s="39"/>
      <c r="O606" s="30"/>
      <c r="P606" s="50"/>
      <c r="Q606" s="49"/>
    </row>
    <row r="607" spans="1:17" ht="15.75" customHeight="1" x14ac:dyDescent="0.3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84"/>
      <c r="M607" s="30"/>
      <c r="N607" s="39"/>
      <c r="O607" s="30"/>
      <c r="P607" s="50"/>
      <c r="Q607" s="49"/>
    </row>
    <row r="608" spans="1:17" ht="15.75" customHeight="1" x14ac:dyDescent="0.3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84"/>
      <c r="M608" s="30"/>
      <c r="N608" s="39"/>
      <c r="O608" s="30"/>
      <c r="P608" s="50"/>
      <c r="Q608" s="49"/>
    </row>
    <row r="609" spans="1:17" ht="15.75" customHeight="1" x14ac:dyDescent="0.3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84"/>
      <c r="M609" s="30"/>
      <c r="N609" s="39"/>
      <c r="O609" s="30"/>
      <c r="P609" s="50"/>
      <c r="Q609" s="49"/>
    </row>
    <row r="610" spans="1:17" ht="15.75" customHeight="1" x14ac:dyDescent="0.3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84"/>
      <c r="M610" s="30"/>
      <c r="N610" s="39"/>
      <c r="O610" s="30"/>
      <c r="P610" s="50"/>
      <c r="Q610" s="49"/>
    </row>
    <row r="611" spans="1:17" ht="15.75" customHeight="1" x14ac:dyDescent="0.3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84"/>
      <c r="M611" s="30"/>
      <c r="N611" s="39"/>
      <c r="O611" s="30"/>
      <c r="P611" s="50"/>
      <c r="Q611" s="49"/>
    </row>
    <row r="612" spans="1:17" ht="15.75" customHeight="1" x14ac:dyDescent="0.3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84"/>
      <c r="M612" s="30"/>
      <c r="N612" s="39"/>
      <c r="O612" s="30"/>
      <c r="P612" s="50"/>
      <c r="Q612" s="49"/>
    </row>
    <row r="613" spans="1:17" ht="15.75" customHeight="1" x14ac:dyDescent="0.3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84"/>
      <c r="M613" s="30"/>
      <c r="N613" s="39"/>
      <c r="O613" s="30"/>
      <c r="P613" s="50"/>
      <c r="Q613" s="49"/>
    </row>
    <row r="614" spans="1:17" ht="15.75" customHeight="1" x14ac:dyDescent="0.3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84"/>
      <c r="M614" s="30"/>
      <c r="N614" s="39"/>
      <c r="O614" s="30"/>
      <c r="P614" s="50"/>
      <c r="Q614" s="49"/>
    </row>
    <row r="615" spans="1:17" ht="15.75" customHeight="1" x14ac:dyDescent="0.3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84"/>
      <c r="M615" s="30"/>
      <c r="N615" s="39"/>
      <c r="O615" s="30"/>
      <c r="P615" s="50"/>
      <c r="Q615" s="49"/>
    </row>
    <row r="616" spans="1:17" ht="15.75" customHeight="1" x14ac:dyDescent="0.3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84"/>
      <c r="M616" s="30"/>
      <c r="N616" s="39"/>
      <c r="O616" s="30"/>
      <c r="P616" s="50"/>
      <c r="Q616" s="49"/>
    </row>
    <row r="617" spans="1:17" ht="15.75" customHeight="1" x14ac:dyDescent="0.3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84"/>
      <c r="M617" s="30"/>
      <c r="N617" s="39"/>
      <c r="O617" s="30"/>
      <c r="P617" s="50"/>
      <c r="Q617" s="49"/>
    </row>
    <row r="618" spans="1:17" ht="15.75" customHeight="1" x14ac:dyDescent="0.3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84"/>
      <c r="M618" s="30"/>
      <c r="N618" s="39"/>
      <c r="O618" s="30"/>
      <c r="P618" s="50"/>
      <c r="Q618" s="49"/>
    </row>
    <row r="619" spans="1:17" ht="15.75" customHeight="1" x14ac:dyDescent="0.3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84"/>
      <c r="M619" s="30"/>
      <c r="N619" s="39"/>
      <c r="O619" s="30"/>
      <c r="P619" s="50"/>
      <c r="Q619" s="49"/>
    </row>
    <row r="620" spans="1:17" ht="15.75" customHeight="1" x14ac:dyDescent="0.3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84"/>
      <c r="M620" s="30"/>
      <c r="N620" s="39"/>
      <c r="O620" s="30"/>
      <c r="P620" s="50"/>
      <c r="Q620" s="49"/>
    </row>
    <row r="621" spans="1:17" ht="15.75" customHeight="1" x14ac:dyDescent="0.3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84"/>
      <c r="M621" s="30"/>
      <c r="N621" s="39"/>
      <c r="O621" s="30"/>
      <c r="P621" s="50"/>
      <c r="Q621" s="49"/>
    </row>
    <row r="622" spans="1:17" ht="15.75" customHeight="1" x14ac:dyDescent="0.3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84"/>
      <c r="M622" s="30"/>
      <c r="N622" s="39"/>
      <c r="O622" s="30"/>
      <c r="P622" s="50"/>
      <c r="Q622" s="49"/>
    </row>
    <row r="623" spans="1:17" ht="15.75" customHeight="1" x14ac:dyDescent="0.3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84"/>
      <c r="M623" s="30"/>
      <c r="N623" s="39"/>
      <c r="O623" s="30"/>
      <c r="P623" s="50"/>
      <c r="Q623" s="49"/>
    </row>
    <row r="624" spans="1:17" ht="15.75" customHeight="1" x14ac:dyDescent="0.3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84"/>
      <c r="M624" s="30"/>
      <c r="N624" s="39"/>
      <c r="O624" s="30"/>
      <c r="P624" s="50"/>
      <c r="Q624" s="49"/>
    </row>
    <row r="625" spans="1:17" ht="15.75" customHeight="1" x14ac:dyDescent="0.3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84"/>
      <c r="M625" s="30"/>
      <c r="N625" s="39"/>
      <c r="O625" s="30"/>
      <c r="P625" s="50"/>
      <c r="Q625" s="49"/>
    </row>
    <row r="626" spans="1:17" ht="15.75" customHeight="1" x14ac:dyDescent="0.3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84"/>
      <c r="M626" s="30"/>
      <c r="N626" s="39"/>
      <c r="O626" s="30"/>
      <c r="P626" s="50"/>
      <c r="Q626" s="49"/>
    </row>
    <row r="627" spans="1:17" ht="15.75" customHeight="1" x14ac:dyDescent="0.3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84"/>
      <c r="M627" s="30"/>
      <c r="N627" s="39"/>
      <c r="O627" s="30"/>
      <c r="P627" s="50"/>
      <c r="Q627" s="49"/>
    </row>
    <row r="628" spans="1:17" ht="15.75" customHeight="1" x14ac:dyDescent="0.3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84"/>
      <c r="M628" s="30"/>
      <c r="N628" s="39"/>
      <c r="O628" s="30"/>
      <c r="P628" s="50"/>
      <c r="Q628" s="49"/>
    </row>
    <row r="629" spans="1:17" ht="15.75" customHeight="1" x14ac:dyDescent="0.3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84"/>
      <c r="M629" s="30"/>
      <c r="N629" s="39"/>
      <c r="O629" s="30"/>
      <c r="P629" s="50"/>
      <c r="Q629" s="49"/>
    </row>
    <row r="630" spans="1:17" ht="15.75" customHeight="1" x14ac:dyDescent="0.3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84"/>
      <c r="M630" s="30"/>
      <c r="N630" s="39"/>
      <c r="O630" s="30"/>
      <c r="P630" s="50"/>
      <c r="Q630" s="49"/>
    </row>
    <row r="631" spans="1:17" ht="15.75" customHeight="1" x14ac:dyDescent="0.3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84"/>
      <c r="M631" s="30"/>
      <c r="N631" s="39"/>
      <c r="O631" s="30"/>
      <c r="P631" s="50"/>
      <c r="Q631" s="49"/>
    </row>
    <row r="632" spans="1:17" ht="15.75" customHeight="1" x14ac:dyDescent="0.3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84"/>
      <c r="M632" s="30"/>
      <c r="N632" s="39"/>
      <c r="O632" s="30"/>
      <c r="P632" s="50"/>
      <c r="Q632" s="49"/>
    </row>
    <row r="633" spans="1:17" ht="15.75" customHeight="1" x14ac:dyDescent="0.3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84"/>
      <c r="M633" s="30"/>
      <c r="N633" s="39"/>
      <c r="O633" s="30"/>
      <c r="P633" s="50"/>
      <c r="Q633" s="49"/>
    </row>
    <row r="634" spans="1:17" ht="15.75" customHeight="1" x14ac:dyDescent="0.3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84"/>
      <c r="M634" s="30"/>
      <c r="N634" s="39"/>
      <c r="O634" s="30"/>
      <c r="P634" s="50"/>
      <c r="Q634" s="49"/>
    </row>
    <row r="635" spans="1:17" ht="15.75" customHeight="1" x14ac:dyDescent="0.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84"/>
      <c r="M635" s="30"/>
      <c r="N635" s="39"/>
      <c r="O635" s="30"/>
      <c r="P635" s="50"/>
      <c r="Q635" s="49"/>
    </row>
    <row r="636" spans="1:17" ht="15.75" customHeight="1" x14ac:dyDescent="0.3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84"/>
      <c r="M636" s="30"/>
      <c r="N636" s="39"/>
      <c r="O636" s="30"/>
      <c r="P636" s="50"/>
      <c r="Q636" s="49"/>
    </row>
    <row r="637" spans="1:17" ht="15.75" customHeight="1" x14ac:dyDescent="0.3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84"/>
      <c r="M637" s="30"/>
      <c r="N637" s="39"/>
      <c r="O637" s="30"/>
      <c r="P637" s="50"/>
      <c r="Q637" s="49"/>
    </row>
    <row r="638" spans="1:17" ht="15.75" customHeight="1" x14ac:dyDescent="0.3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84"/>
      <c r="M638" s="30"/>
      <c r="N638" s="39"/>
      <c r="O638" s="30"/>
      <c r="P638" s="50"/>
      <c r="Q638" s="49"/>
    </row>
    <row r="639" spans="1:17" ht="15.75" customHeight="1" x14ac:dyDescent="0.3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84"/>
      <c r="M639" s="30"/>
      <c r="N639" s="39"/>
      <c r="O639" s="30"/>
      <c r="P639" s="50"/>
      <c r="Q639" s="49"/>
    </row>
    <row r="640" spans="1:17" ht="15.75" customHeight="1" x14ac:dyDescent="0.3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84"/>
      <c r="M640" s="30"/>
      <c r="N640" s="39"/>
      <c r="O640" s="30"/>
      <c r="P640" s="50"/>
      <c r="Q640" s="49"/>
    </row>
    <row r="641" spans="1:17" ht="15.75" customHeight="1" x14ac:dyDescent="0.3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84"/>
      <c r="M641" s="30"/>
      <c r="N641" s="39"/>
      <c r="O641" s="30"/>
      <c r="P641" s="50"/>
      <c r="Q641" s="49"/>
    </row>
    <row r="642" spans="1:17" ht="15.75" customHeight="1" x14ac:dyDescent="0.3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84"/>
      <c r="M642" s="30"/>
      <c r="N642" s="39"/>
      <c r="O642" s="30"/>
      <c r="P642" s="50"/>
      <c r="Q642" s="49"/>
    </row>
    <row r="643" spans="1:17" ht="15.75" customHeight="1" x14ac:dyDescent="0.3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84"/>
      <c r="M643" s="30"/>
      <c r="N643" s="39"/>
      <c r="O643" s="30"/>
      <c r="P643" s="50"/>
      <c r="Q643" s="49"/>
    </row>
    <row r="644" spans="1:17" ht="15.75" customHeight="1" x14ac:dyDescent="0.3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84"/>
      <c r="M644" s="30"/>
      <c r="N644" s="39"/>
      <c r="O644" s="30"/>
      <c r="P644" s="50"/>
      <c r="Q644" s="49"/>
    </row>
    <row r="645" spans="1:17" ht="15.75" customHeight="1" x14ac:dyDescent="0.3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84"/>
      <c r="M645" s="30"/>
      <c r="N645" s="39"/>
      <c r="O645" s="30"/>
      <c r="P645" s="50"/>
      <c r="Q645" s="49"/>
    </row>
    <row r="646" spans="1:17" ht="15.75" customHeight="1" x14ac:dyDescent="0.3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84"/>
      <c r="M646" s="30"/>
      <c r="N646" s="39"/>
      <c r="O646" s="30"/>
      <c r="P646" s="50"/>
      <c r="Q646" s="49"/>
    </row>
    <row r="647" spans="1:17" ht="15.75" customHeight="1" x14ac:dyDescent="0.3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84"/>
      <c r="M647" s="30"/>
      <c r="N647" s="39"/>
      <c r="O647" s="30"/>
      <c r="P647" s="50"/>
      <c r="Q647" s="49"/>
    </row>
    <row r="648" spans="1:17" ht="15.75" customHeight="1" x14ac:dyDescent="0.3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84"/>
      <c r="M648" s="30"/>
      <c r="N648" s="39"/>
      <c r="O648" s="30"/>
      <c r="P648" s="50"/>
      <c r="Q648" s="49"/>
    </row>
    <row r="649" spans="1:17" ht="15.75" customHeight="1" x14ac:dyDescent="0.3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84"/>
      <c r="M649" s="30"/>
      <c r="N649" s="39"/>
      <c r="O649" s="30"/>
      <c r="P649" s="50"/>
      <c r="Q649" s="49"/>
    </row>
    <row r="650" spans="1:17" ht="15.75" customHeight="1" x14ac:dyDescent="0.3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84"/>
      <c r="M650" s="30"/>
      <c r="N650" s="39"/>
      <c r="O650" s="30"/>
      <c r="P650" s="50"/>
      <c r="Q650" s="49"/>
    </row>
    <row r="651" spans="1:17" ht="15.75" customHeight="1" x14ac:dyDescent="0.3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84"/>
      <c r="M651" s="30"/>
      <c r="N651" s="39"/>
      <c r="O651" s="30"/>
      <c r="P651" s="50"/>
      <c r="Q651" s="49"/>
    </row>
    <row r="652" spans="1:17" ht="15.75" customHeight="1" x14ac:dyDescent="0.3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84"/>
      <c r="M652" s="30"/>
      <c r="N652" s="39"/>
      <c r="O652" s="30"/>
      <c r="P652" s="50"/>
      <c r="Q652" s="49"/>
    </row>
    <row r="653" spans="1:17" ht="15.75" customHeight="1" x14ac:dyDescent="0.3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84"/>
      <c r="M653" s="30"/>
      <c r="N653" s="39"/>
      <c r="O653" s="30"/>
      <c r="P653" s="50"/>
      <c r="Q653" s="49"/>
    </row>
    <row r="654" spans="1:17" ht="15.75" customHeight="1" x14ac:dyDescent="0.3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84"/>
      <c r="M654" s="30"/>
      <c r="N654" s="39"/>
      <c r="O654" s="30"/>
      <c r="P654" s="50"/>
      <c r="Q654" s="49"/>
    </row>
    <row r="655" spans="1:17" ht="15.75" customHeight="1" x14ac:dyDescent="0.3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84"/>
      <c r="M655" s="30"/>
      <c r="N655" s="39"/>
      <c r="O655" s="30"/>
      <c r="P655" s="50"/>
      <c r="Q655" s="49"/>
    </row>
    <row r="656" spans="1:17" ht="15.75" customHeight="1" x14ac:dyDescent="0.3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84"/>
      <c r="M656" s="30"/>
      <c r="N656" s="39"/>
      <c r="O656" s="30"/>
      <c r="P656" s="50"/>
      <c r="Q656" s="49"/>
    </row>
    <row r="657" spans="1:17" ht="15.75" customHeight="1" x14ac:dyDescent="0.3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84"/>
      <c r="M657" s="30"/>
      <c r="N657" s="39"/>
      <c r="O657" s="30"/>
      <c r="P657" s="50"/>
      <c r="Q657" s="49"/>
    </row>
    <row r="658" spans="1:17" ht="15.75" customHeight="1" x14ac:dyDescent="0.3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84"/>
      <c r="M658" s="30"/>
      <c r="N658" s="39"/>
      <c r="O658" s="30"/>
      <c r="P658" s="50"/>
      <c r="Q658" s="49"/>
    </row>
    <row r="659" spans="1:17" ht="15.75" customHeight="1" x14ac:dyDescent="0.3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84"/>
      <c r="M659" s="30"/>
      <c r="N659" s="39"/>
      <c r="O659" s="30"/>
      <c r="P659" s="50"/>
      <c r="Q659" s="49"/>
    </row>
    <row r="660" spans="1:17" ht="15.75" customHeight="1" x14ac:dyDescent="0.3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84"/>
      <c r="M660" s="30"/>
      <c r="N660" s="39"/>
      <c r="O660" s="30"/>
      <c r="P660" s="50"/>
      <c r="Q660" s="49"/>
    </row>
    <row r="661" spans="1:17" ht="15.75" customHeight="1" x14ac:dyDescent="0.3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84"/>
      <c r="M661" s="30"/>
      <c r="N661" s="39"/>
      <c r="O661" s="30"/>
      <c r="P661" s="50"/>
      <c r="Q661" s="49"/>
    </row>
    <row r="662" spans="1:17" ht="15.75" customHeight="1" x14ac:dyDescent="0.3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84"/>
      <c r="M662" s="30"/>
      <c r="N662" s="39"/>
      <c r="O662" s="30"/>
      <c r="P662" s="50"/>
      <c r="Q662" s="49"/>
    </row>
    <row r="663" spans="1:17" ht="15.75" customHeight="1" x14ac:dyDescent="0.3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84"/>
      <c r="M663" s="30"/>
      <c r="N663" s="39"/>
      <c r="O663" s="30"/>
      <c r="P663" s="50"/>
      <c r="Q663" s="49"/>
    </row>
    <row r="664" spans="1:17" ht="15.75" customHeight="1" x14ac:dyDescent="0.3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84"/>
      <c r="M664" s="30"/>
      <c r="N664" s="39"/>
      <c r="O664" s="30"/>
      <c r="P664" s="50"/>
      <c r="Q664" s="49"/>
    </row>
    <row r="665" spans="1:17" ht="15.75" customHeight="1" x14ac:dyDescent="0.3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84"/>
      <c r="M665" s="30"/>
      <c r="N665" s="39"/>
      <c r="O665" s="30"/>
      <c r="P665" s="50"/>
      <c r="Q665" s="49"/>
    </row>
    <row r="666" spans="1:17" ht="15.75" customHeight="1" x14ac:dyDescent="0.3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84"/>
      <c r="M666" s="30"/>
      <c r="N666" s="39"/>
      <c r="O666" s="30"/>
      <c r="P666" s="50"/>
      <c r="Q666" s="49"/>
    </row>
    <row r="667" spans="1:17" ht="15.75" customHeight="1" x14ac:dyDescent="0.3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84"/>
      <c r="M667" s="30"/>
      <c r="N667" s="39"/>
      <c r="O667" s="30"/>
      <c r="P667" s="50"/>
      <c r="Q667" s="49"/>
    </row>
    <row r="668" spans="1:17" ht="15.75" customHeight="1" x14ac:dyDescent="0.3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84"/>
      <c r="M668" s="30"/>
      <c r="N668" s="39"/>
      <c r="O668" s="30"/>
      <c r="P668" s="50"/>
      <c r="Q668" s="49"/>
    </row>
    <row r="669" spans="1:17" ht="15.75" customHeight="1" x14ac:dyDescent="0.3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84"/>
      <c r="M669" s="30"/>
      <c r="N669" s="39"/>
      <c r="O669" s="30"/>
      <c r="P669" s="50"/>
      <c r="Q669" s="49"/>
    </row>
    <row r="670" spans="1:17" ht="15.75" customHeight="1" x14ac:dyDescent="0.3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84"/>
      <c r="M670" s="30"/>
      <c r="N670" s="39"/>
      <c r="O670" s="30"/>
      <c r="P670" s="50"/>
      <c r="Q670" s="49"/>
    </row>
    <row r="671" spans="1:17" ht="15.75" customHeight="1" x14ac:dyDescent="0.3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84"/>
      <c r="M671" s="30"/>
      <c r="N671" s="39"/>
      <c r="O671" s="30"/>
      <c r="P671" s="50"/>
      <c r="Q671" s="49"/>
    </row>
    <row r="672" spans="1:17" ht="15.75" customHeight="1" x14ac:dyDescent="0.3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84"/>
      <c r="M672" s="30"/>
      <c r="N672" s="39"/>
      <c r="O672" s="30"/>
      <c r="P672" s="50"/>
      <c r="Q672" s="49"/>
    </row>
    <row r="673" spans="1:17" ht="15.75" customHeight="1" x14ac:dyDescent="0.3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84"/>
      <c r="M673" s="30"/>
      <c r="N673" s="39"/>
      <c r="O673" s="30"/>
      <c r="P673" s="50"/>
      <c r="Q673" s="49"/>
    </row>
    <row r="674" spans="1:17" ht="15.75" customHeight="1" x14ac:dyDescent="0.3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84"/>
      <c r="M674" s="30"/>
      <c r="N674" s="39"/>
      <c r="O674" s="30"/>
      <c r="P674" s="50"/>
      <c r="Q674" s="49"/>
    </row>
    <row r="675" spans="1:17" ht="15.75" customHeight="1" x14ac:dyDescent="0.3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84"/>
      <c r="M675" s="30"/>
      <c r="N675" s="39"/>
      <c r="O675" s="30"/>
      <c r="P675" s="50"/>
      <c r="Q675" s="49"/>
    </row>
    <row r="676" spans="1:17" ht="15.75" customHeight="1" x14ac:dyDescent="0.3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84"/>
      <c r="M676" s="30"/>
      <c r="N676" s="39"/>
      <c r="O676" s="30"/>
      <c r="P676" s="50"/>
      <c r="Q676" s="49"/>
    </row>
    <row r="677" spans="1:17" ht="15.75" customHeight="1" x14ac:dyDescent="0.3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84"/>
      <c r="M677" s="30"/>
      <c r="N677" s="39"/>
      <c r="O677" s="30"/>
      <c r="P677" s="50"/>
      <c r="Q677" s="49"/>
    </row>
    <row r="678" spans="1:17" ht="15.75" customHeight="1" x14ac:dyDescent="0.3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84"/>
      <c r="M678" s="30"/>
      <c r="N678" s="39"/>
      <c r="O678" s="30"/>
      <c r="P678" s="50"/>
      <c r="Q678" s="49"/>
    </row>
    <row r="679" spans="1:17" ht="15.75" customHeight="1" x14ac:dyDescent="0.3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84"/>
      <c r="M679" s="30"/>
      <c r="N679" s="39"/>
      <c r="O679" s="30"/>
      <c r="P679" s="50"/>
      <c r="Q679" s="49"/>
    </row>
    <row r="680" spans="1:17" ht="15.75" customHeight="1" x14ac:dyDescent="0.3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84"/>
      <c r="M680" s="30"/>
      <c r="N680" s="39"/>
      <c r="O680" s="30"/>
      <c r="P680" s="50"/>
      <c r="Q680" s="49"/>
    </row>
    <row r="681" spans="1:17" ht="15.75" customHeight="1" x14ac:dyDescent="0.3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84"/>
      <c r="M681" s="30"/>
      <c r="N681" s="39"/>
      <c r="O681" s="30"/>
      <c r="P681" s="50"/>
      <c r="Q681" s="49"/>
    </row>
    <row r="682" spans="1:17" ht="15.75" customHeight="1" x14ac:dyDescent="0.3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84"/>
      <c r="M682" s="30"/>
      <c r="N682" s="39"/>
      <c r="O682" s="30"/>
      <c r="P682" s="50"/>
      <c r="Q682" s="49"/>
    </row>
    <row r="683" spans="1:17" ht="15.75" customHeight="1" x14ac:dyDescent="0.3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84"/>
      <c r="M683" s="30"/>
      <c r="N683" s="39"/>
      <c r="O683" s="30"/>
      <c r="P683" s="50"/>
      <c r="Q683" s="49"/>
    </row>
    <row r="684" spans="1:17" ht="15.75" customHeight="1" x14ac:dyDescent="0.3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84"/>
      <c r="M684" s="30"/>
      <c r="N684" s="39"/>
      <c r="O684" s="30"/>
      <c r="P684" s="50"/>
      <c r="Q684" s="49"/>
    </row>
    <row r="685" spans="1:17" ht="15.75" customHeight="1" x14ac:dyDescent="0.3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84"/>
      <c r="M685" s="30"/>
      <c r="N685" s="39"/>
      <c r="O685" s="30"/>
      <c r="P685" s="50"/>
      <c r="Q685" s="49"/>
    </row>
    <row r="686" spans="1:17" ht="15.75" customHeight="1" x14ac:dyDescent="0.3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84"/>
      <c r="M686" s="30"/>
      <c r="N686" s="39"/>
      <c r="O686" s="30"/>
      <c r="P686" s="50"/>
      <c r="Q686" s="49"/>
    </row>
    <row r="687" spans="1:17" ht="15.75" customHeight="1" x14ac:dyDescent="0.3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84"/>
      <c r="M687" s="30"/>
      <c r="N687" s="39"/>
      <c r="O687" s="30"/>
      <c r="P687" s="50"/>
      <c r="Q687" s="49"/>
    </row>
    <row r="688" spans="1:17" ht="15.75" customHeight="1" x14ac:dyDescent="0.3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84"/>
      <c r="M688" s="30"/>
      <c r="N688" s="39"/>
      <c r="O688" s="30"/>
      <c r="P688" s="50"/>
      <c r="Q688" s="49"/>
    </row>
    <row r="689" spans="1:17" ht="15.75" customHeight="1" x14ac:dyDescent="0.3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84"/>
      <c r="M689" s="30"/>
      <c r="N689" s="39"/>
      <c r="O689" s="30"/>
      <c r="P689" s="50"/>
      <c r="Q689" s="49"/>
    </row>
    <row r="690" spans="1:17" ht="15.75" customHeight="1" x14ac:dyDescent="0.3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84"/>
      <c r="M690" s="30"/>
      <c r="N690" s="39"/>
      <c r="O690" s="30"/>
      <c r="P690" s="50"/>
      <c r="Q690" s="49"/>
    </row>
    <row r="691" spans="1:17" ht="15.75" customHeight="1" x14ac:dyDescent="0.3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84"/>
      <c r="M691" s="30"/>
      <c r="N691" s="39"/>
      <c r="O691" s="30"/>
      <c r="P691" s="50"/>
      <c r="Q691" s="49"/>
    </row>
    <row r="692" spans="1:17" ht="15.75" customHeight="1" x14ac:dyDescent="0.3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84"/>
      <c r="M692" s="30"/>
      <c r="N692" s="39"/>
      <c r="O692" s="30"/>
      <c r="P692" s="50"/>
      <c r="Q692" s="49"/>
    </row>
    <row r="693" spans="1:17" ht="15.75" customHeight="1" x14ac:dyDescent="0.3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84"/>
      <c r="M693" s="30"/>
      <c r="N693" s="39"/>
      <c r="O693" s="30"/>
      <c r="P693" s="50"/>
      <c r="Q693" s="49"/>
    </row>
    <row r="694" spans="1:17" ht="15.75" customHeight="1" x14ac:dyDescent="0.3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84"/>
      <c r="M694" s="30"/>
      <c r="N694" s="39"/>
      <c r="O694" s="30"/>
      <c r="P694" s="50"/>
      <c r="Q694" s="49"/>
    </row>
    <row r="695" spans="1:17" ht="15.75" customHeight="1" x14ac:dyDescent="0.3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84"/>
      <c r="M695" s="30"/>
      <c r="N695" s="39"/>
      <c r="O695" s="30"/>
      <c r="P695" s="50"/>
      <c r="Q695" s="49"/>
    </row>
    <row r="696" spans="1:17" ht="15.75" customHeight="1" x14ac:dyDescent="0.3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84"/>
      <c r="M696" s="30"/>
      <c r="N696" s="39"/>
      <c r="O696" s="30"/>
      <c r="P696" s="50"/>
      <c r="Q696" s="49"/>
    </row>
    <row r="697" spans="1:17" ht="15.75" customHeight="1" x14ac:dyDescent="0.3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84"/>
      <c r="M697" s="30"/>
      <c r="N697" s="39"/>
      <c r="O697" s="30"/>
      <c r="P697" s="50"/>
      <c r="Q697" s="49"/>
    </row>
    <row r="698" spans="1:17" ht="15.75" customHeight="1" x14ac:dyDescent="0.3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84"/>
      <c r="M698" s="30"/>
      <c r="N698" s="39"/>
      <c r="O698" s="30"/>
      <c r="P698" s="50"/>
      <c r="Q698" s="49"/>
    </row>
    <row r="699" spans="1:17" ht="15.75" customHeight="1" x14ac:dyDescent="0.3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84"/>
      <c r="M699" s="30"/>
      <c r="N699" s="39"/>
      <c r="O699" s="30"/>
      <c r="P699" s="50"/>
      <c r="Q699" s="49"/>
    </row>
    <row r="700" spans="1:17" ht="15.75" customHeight="1" x14ac:dyDescent="0.3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84"/>
      <c r="M700" s="30"/>
      <c r="N700" s="39"/>
      <c r="O700" s="30"/>
      <c r="P700" s="50"/>
      <c r="Q700" s="49"/>
    </row>
    <row r="701" spans="1:17" ht="15.75" customHeight="1" x14ac:dyDescent="0.3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84"/>
      <c r="M701" s="30"/>
      <c r="N701" s="39"/>
      <c r="O701" s="30"/>
      <c r="P701" s="50"/>
      <c r="Q701" s="49"/>
    </row>
    <row r="702" spans="1:17" ht="15.75" customHeight="1" x14ac:dyDescent="0.3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84"/>
      <c r="M702" s="30"/>
      <c r="N702" s="39"/>
      <c r="O702" s="30"/>
      <c r="P702" s="50"/>
      <c r="Q702" s="49"/>
    </row>
    <row r="703" spans="1:17" ht="15.75" customHeight="1" x14ac:dyDescent="0.3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84"/>
      <c r="M703" s="30"/>
      <c r="N703" s="39"/>
      <c r="O703" s="30"/>
      <c r="P703" s="50"/>
      <c r="Q703" s="49"/>
    </row>
    <row r="704" spans="1:17" ht="15.75" customHeight="1" x14ac:dyDescent="0.3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84"/>
      <c r="M704" s="30"/>
      <c r="N704" s="39"/>
      <c r="O704" s="30"/>
      <c r="P704" s="50"/>
      <c r="Q704" s="49"/>
    </row>
    <row r="705" spans="1:17" ht="15.75" customHeight="1" x14ac:dyDescent="0.3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84"/>
      <c r="M705" s="30"/>
      <c r="N705" s="39"/>
      <c r="O705" s="30"/>
      <c r="P705" s="50"/>
      <c r="Q705" s="49"/>
    </row>
    <row r="706" spans="1:17" ht="15.75" customHeight="1" x14ac:dyDescent="0.3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84"/>
      <c r="M706" s="30"/>
      <c r="N706" s="39"/>
      <c r="O706" s="30"/>
      <c r="P706" s="50"/>
      <c r="Q706" s="49"/>
    </row>
    <row r="707" spans="1:17" ht="15.75" customHeight="1" x14ac:dyDescent="0.3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84"/>
      <c r="M707" s="30"/>
      <c r="N707" s="39"/>
      <c r="O707" s="30"/>
      <c r="P707" s="50"/>
      <c r="Q707" s="49"/>
    </row>
    <row r="708" spans="1:17" ht="15.75" customHeight="1" x14ac:dyDescent="0.3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84"/>
      <c r="M708" s="30"/>
      <c r="N708" s="39"/>
      <c r="O708" s="30"/>
      <c r="P708" s="50"/>
      <c r="Q708" s="49"/>
    </row>
    <row r="709" spans="1:17" ht="15.75" customHeight="1" x14ac:dyDescent="0.3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84"/>
      <c r="M709" s="30"/>
      <c r="N709" s="39"/>
      <c r="O709" s="30"/>
      <c r="P709" s="50"/>
      <c r="Q709" s="49"/>
    </row>
    <row r="710" spans="1:17" ht="15.75" customHeight="1" x14ac:dyDescent="0.3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84"/>
      <c r="M710" s="30"/>
      <c r="N710" s="39"/>
      <c r="O710" s="30"/>
      <c r="P710" s="50"/>
      <c r="Q710" s="49"/>
    </row>
    <row r="711" spans="1:17" ht="15.75" customHeight="1" x14ac:dyDescent="0.3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84"/>
      <c r="M711" s="30"/>
      <c r="N711" s="39"/>
      <c r="O711" s="30"/>
      <c r="P711" s="50"/>
      <c r="Q711" s="49"/>
    </row>
    <row r="712" spans="1:17" ht="15.75" customHeight="1" x14ac:dyDescent="0.3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84"/>
      <c r="M712" s="30"/>
      <c r="N712" s="39"/>
      <c r="O712" s="30"/>
      <c r="P712" s="50"/>
      <c r="Q712" s="49"/>
    </row>
    <row r="713" spans="1:17" ht="15.75" customHeight="1" x14ac:dyDescent="0.3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84"/>
      <c r="M713" s="30"/>
      <c r="N713" s="39"/>
      <c r="O713" s="30"/>
      <c r="P713" s="50"/>
      <c r="Q713" s="49"/>
    </row>
    <row r="714" spans="1:17" ht="15.75" customHeight="1" x14ac:dyDescent="0.3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84"/>
      <c r="M714" s="30"/>
      <c r="N714" s="39"/>
      <c r="O714" s="30"/>
      <c r="P714" s="50"/>
      <c r="Q714" s="49"/>
    </row>
    <row r="715" spans="1:17" ht="15.75" customHeight="1" x14ac:dyDescent="0.3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84"/>
      <c r="M715" s="30"/>
      <c r="N715" s="39"/>
      <c r="O715" s="30"/>
      <c r="P715" s="50"/>
      <c r="Q715" s="49"/>
    </row>
    <row r="716" spans="1:17" ht="15.75" customHeight="1" x14ac:dyDescent="0.3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84"/>
      <c r="M716" s="30"/>
      <c r="N716" s="39"/>
      <c r="O716" s="30"/>
      <c r="P716" s="50"/>
      <c r="Q716" s="49"/>
    </row>
    <row r="717" spans="1:17" ht="15.75" customHeight="1" x14ac:dyDescent="0.3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84"/>
      <c r="M717" s="30"/>
      <c r="N717" s="39"/>
      <c r="O717" s="30"/>
      <c r="P717" s="50"/>
      <c r="Q717" s="49"/>
    </row>
    <row r="718" spans="1:17" ht="15.75" customHeight="1" x14ac:dyDescent="0.3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84"/>
      <c r="M718" s="30"/>
      <c r="N718" s="39"/>
      <c r="O718" s="30"/>
      <c r="P718" s="50"/>
      <c r="Q718" s="49"/>
    </row>
    <row r="719" spans="1:17" ht="15.75" customHeight="1" x14ac:dyDescent="0.3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84"/>
      <c r="M719" s="30"/>
      <c r="N719" s="39"/>
      <c r="O719" s="30"/>
      <c r="P719" s="50"/>
      <c r="Q719" s="49"/>
    </row>
    <row r="720" spans="1:17" ht="15.75" customHeight="1" x14ac:dyDescent="0.3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84"/>
      <c r="M720" s="30"/>
      <c r="N720" s="39"/>
      <c r="O720" s="30"/>
      <c r="P720" s="50"/>
      <c r="Q720" s="49"/>
    </row>
    <row r="721" spans="1:17" ht="15.75" customHeight="1" x14ac:dyDescent="0.3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84"/>
      <c r="M721" s="30"/>
      <c r="N721" s="39"/>
      <c r="O721" s="30"/>
      <c r="P721" s="50"/>
      <c r="Q721" s="49"/>
    </row>
    <row r="722" spans="1:17" ht="15.75" customHeight="1" x14ac:dyDescent="0.3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84"/>
      <c r="M722" s="30"/>
      <c r="N722" s="39"/>
      <c r="O722" s="30"/>
      <c r="P722" s="50"/>
      <c r="Q722" s="49"/>
    </row>
    <row r="723" spans="1:17" ht="15.75" customHeight="1" x14ac:dyDescent="0.3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84"/>
      <c r="M723" s="30"/>
      <c r="N723" s="39"/>
      <c r="O723" s="30"/>
      <c r="P723" s="50"/>
      <c r="Q723" s="49"/>
    </row>
    <row r="724" spans="1:17" ht="15.75" customHeight="1" x14ac:dyDescent="0.3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84"/>
      <c r="M724" s="30"/>
      <c r="N724" s="39"/>
      <c r="O724" s="30"/>
      <c r="P724" s="50"/>
      <c r="Q724" s="49"/>
    </row>
    <row r="725" spans="1:17" ht="15.75" customHeight="1" x14ac:dyDescent="0.3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84"/>
      <c r="M725" s="30"/>
      <c r="N725" s="39"/>
      <c r="O725" s="30"/>
      <c r="P725" s="50"/>
      <c r="Q725" s="49"/>
    </row>
    <row r="726" spans="1:17" ht="15.75" customHeight="1" x14ac:dyDescent="0.3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84"/>
      <c r="M726" s="30"/>
      <c r="N726" s="39"/>
      <c r="O726" s="30"/>
      <c r="P726" s="50"/>
      <c r="Q726" s="49"/>
    </row>
    <row r="727" spans="1:17" ht="15.75" customHeight="1" x14ac:dyDescent="0.3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84"/>
      <c r="M727" s="30"/>
      <c r="N727" s="39"/>
      <c r="O727" s="30"/>
      <c r="P727" s="50"/>
      <c r="Q727" s="49"/>
    </row>
    <row r="728" spans="1:17" ht="15.75" customHeight="1" x14ac:dyDescent="0.3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84"/>
      <c r="M728" s="30"/>
      <c r="N728" s="39"/>
      <c r="O728" s="30"/>
      <c r="P728" s="50"/>
      <c r="Q728" s="49"/>
    </row>
    <row r="729" spans="1:17" ht="15.75" customHeight="1" x14ac:dyDescent="0.3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84"/>
      <c r="M729" s="30"/>
      <c r="N729" s="39"/>
      <c r="O729" s="30"/>
      <c r="P729" s="50"/>
      <c r="Q729" s="49"/>
    </row>
    <row r="730" spans="1:17" ht="15.75" customHeight="1" x14ac:dyDescent="0.3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84"/>
      <c r="M730" s="30"/>
      <c r="N730" s="39"/>
      <c r="O730" s="30"/>
      <c r="P730" s="50"/>
      <c r="Q730" s="49"/>
    </row>
    <row r="731" spans="1:17" ht="15.75" customHeight="1" x14ac:dyDescent="0.3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84"/>
      <c r="M731" s="30"/>
      <c r="N731" s="39"/>
      <c r="O731" s="30"/>
      <c r="P731" s="50"/>
      <c r="Q731" s="49"/>
    </row>
    <row r="732" spans="1:17" ht="15.75" customHeight="1" x14ac:dyDescent="0.3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84"/>
      <c r="M732" s="30"/>
      <c r="N732" s="39"/>
      <c r="O732" s="30"/>
      <c r="P732" s="50"/>
      <c r="Q732" s="49"/>
    </row>
    <row r="733" spans="1:17" ht="15.75" customHeight="1" x14ac:dyDescent="0.3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84"/>
      <c r="M733" s="30"/>
      <c r="N733" s="39"/>
      <c r="O733" s="30"/>
      <c r="P733" s="50"/>
      <c r="Q733" s="49"/>
    </row>
    <row r="734" spans="1:17" ht="15.75" customHeight="1" x14ac:dyDescent="0.3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84"/>
      <c r="M734" s="30"/>
      <c r="N734" s="39"/>
      <c r="O734" s="30"/>
      <c r="P734" s="50"/>
      <c r="Q734" s="49"/>
    </row>
    <row r="735" spans="1:17" ht="15.75" customHeight="1" x14ac:dyDescent="0.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84"/>
      <c r="M735" s="30"/>
      <c r="N735" s="39"/>
      <c r="O735" s="30"/>
      <c r="P735" s="50"/>
      <c r="Q735" s="49"/>
    </row>
    <row r="736" spans="1:17" ht="15.75" customHeight="1" x14ac:dyDescent="0.3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84"/>
      <c r="M736" s="30"/>
      <c r="N736" s="39"/>
      <c r="O736" s="30"/>
      <c r="P736" s="50"/>
      <c r="Q736" s="49"/>
    </row>
    <row r="737" spans="1:17" ht="15.75" customHeight="1" x14ac:dyDescent="0.3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84"/>
      <c r="M737" s="30"/>
      <c r="N737" s="39"/>
      <c r="O737" s="30"/>
      <c r="P737" s="50"/>
      <c r="Q737" s="49"/>
    </row>
    <row r="738" spans="1:17" ht="15.75" customHeight="1" x14ac:dyDescent="0.3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84"/>
      <c r="M738" s="30"/>
      <c r="N738" s="39"/>
      <c r="O738" s="30"/>
      <c r="P738" s="50"/>
      <c r="Q738" s="49"/>
    </row>
    <row r="739" spans="1:17" ht="15.75" customHeight="1" x14ac:dyDescent="0.3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84"/>
      <c r="M739" s="30"/>
      <c r="N739" s="39"/>
      <c r="O739" s="30"/>
      <c r="P739" s="50"/>
      <c r="Q739" s="49"/>
    </row>
    <row r="740" spans="1:17" ht="15.75" customHeight="1" x14ac:dyDescent="0.3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84"/>
      <c r="M740" s="30"/>
      <c r="N740" s="39"/>
      <c r="O740" s="30"/>
      <c r="P740" s="50"/>
      <c r="Q740" s="49"/>
    </row>
    <row r="741" spans="1:17" ht="15.75" customHeight="1" x14ac:dyDescent="0.3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84"/>
      <c r="M741" s="30"/>
      <c r="N741" s="39"/>
      <c r="O741" s="30"/>
      <c r="P741" s="50"/>
      <c r="Q741" s="49"/>
    </row>
    <row r="742" spans="1:17" ht="15.75" customHeight="1" x14ac:dyDescent="0.3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84"/>
      <c r="M742" s="30"/>
      <c r="N742" s="39"/>
      <c r="O742" s="30"/>
      <c r="P742" s="50"/>
      <c r="Q742" s="49"/>
    </row>
    <row r="743" spans="1:17" ht="15.75" customHeight="1" x14ac:dyDescent="0.3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84"/>
      <c r="M743" s="30"/>
      <c r="N743" s="39"/>
      <c r="O743" s="30"/>
      <c r="P743" s="50"/>
      <c r="Q743" s="49"/>
    </row>
    <row r="744" spans="1:17" ht="15.75" customHeight="1" x14ac:dyDescent="0.3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84"/>
      <c r="M744" s="30"/>
      <c r="N744" s="39"/>
      <c r="O744" s="30"/>
      <c r="P744" s="50"/>
      <c r="Q744" s="49"/>
    </row>
    <row r="745" spans="1:17" ht="15.75" customHeight="1" x14ac:dyDescent="0.3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84"/>
      <c r="M745" s="30"/>
      <c r="N745" s="39"/>
      <c r="O745" s="30"/>
      <c r="P745" s="50"/>
      <c r="Q745" s="49"/>
    </row>
    <row r="746" spans="1:17" ht="15.75" customHeight="1" x14ac:dyDescent="0.3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84"/>
      <c r="M746" s="30"/>
      <c r="N746" s="39"/>
      <c r="O746" s="30"/>
      <c r="P746" s="50"/>
      <c r="Q746" s="49"/>
    </row>
    <row r="747" spans="1:17" ht="15.75" customHeight="1" x14ac:dyDescent="0.3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84"/>
      <c r="M747" s="30"/>
      <c r="N747" s="39"/>
      <c r="O747" s="30"/>
      <c r="P747" s="50"/>
      <c r="Q747" s="49"/>
    </row>
    <row r="748" spans="1:17" ht="15.75" customHeight="1" x14ac:dyDescent="0.3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84"/>
      <c r="M748" s="30"/>
      <c r="N748" s="39"/>
      <c r="O748" s="30"/>
      <c r="P748" s="50"/>
      <c r="Q748" s="49"/>
    </row>
    <row r="749" spans="1:17" ht="15.75" customHeight="1" x14ac:dyDescent="0.3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84"/>
      <c r="M749" s="30"/>
      <c r="N749" s="39"/>
      <c r="O749" s="30"/>
      <c r="P749" s="50"/>
      <c r="Q749" s="49"/>
    </row>
    <row r="750" spans="1:17" ht="15.75" customHeight="1" x14ac:dyDescent="0.3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84"/>
      <c r="M750" s="30"/>
      <c r="N750" s="39"/>
      <c r="O750" s="30"/>
      <c r="P750" s="50"/>
      <c r="Q750" s="49"/>
    </row>
    <row r="751" spans="1:17" ht="15.75" customHeight="1" x14ac:dyDescent="0.3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84"/>
      <c r="M751" s="30"/>
      <c r="N751" s="39"/>
      <c r="O751" s="30"/>
      <c r="P751" s="50"/>
      <c r="Q751" s="49"/>
    </row>
    <row r="752" spans="1:17" ht="15.75" customHeight="1" x14ac:dyDescent="0.3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84"/>
      <c r="M752" s="30"/>
      <c r="N752" s="39"/>
      <c r="O752" s="30"/>
      <c r="P752" s="50"/>
      <c r="Q752" s="49"/>
    </row>
    <row r="753" spans="1:17" ht="15.75" customHeight="1" x14ac:dyDescent="0.3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84"/>
      <c r="M753" s="30"/>
      <c r="N753" s="39"/>
      <c r="O753" s="30"/>
      <c r="P753" s="50"/>
      <c r="Q753" s="49"/>
    </row>
    <row r="754" spans="1:17" ht="15.75" customHeight="1" x14ac:dyDescent="0.3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84"/>
      <c r="M754" s="30"/>
      <c r="N754" s="39"/>
      <c r="O754" s="30"/>
      <c r="P754" s="50"/>
      <c r="Q754" s="49"/>
    </row>
    <row r="755" spans="1:17" ht="15.75" customHeight="1" x14ac:dyDescent="0.3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84"/>
      <c r="M755" s="30"/>
      <c r="N755" s="39"/>
      <c r="O755" s="30"/>
      <c r="P755" s="50"/>
      <c r="Q755" s="49"/>
    </row>
    <row r="756" spans="1:17" ht="15.75" customHeight="1" x14ac:dyDescent="0.3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84"/>
      <c r="M756" s="30"/>
      <c r="N756" s="39"/>
      <c r="O756" s="30"/>
      <c r="P756" s="50"/>
      <c r="Q756" s="49"/>
    </row>
    <row r="757" spans="1:17" ht="15.75" customHeight="1" x14ac:dyDescent="0.3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84"/>
      <c r="M757" s="30"/>
      <c r="N757" s="39"/>
      <c r="O757" s="30"/>
      <c r="P757" s="50"/>
      <c r="Q757" s="49"/>
    </row>
    <row r="758" spans="1:17" ht="15.75" customHeight="1" x14ac:dyDescent="0.3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84"/>
      <c r="M758" s="30"/>
      <c r="N758" s="39"/>
      <c r="O758" s="30"/>
      <c r="P758" s="50"/>
      <c r="Q758" s="49"/>
    </row>
    <row r="759" spans="1:17" ht="15.75" customHeight="1" x14ac:dyDescent="0.3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84"/>
      <c r="M759" s="30"/>
      <c r="N759" s="39"/>
      <c r="O759" s="30"/>
      <c r="P759" s="50"/>
      <c r="Q759" s="49"/>
    </row>
    <row r="760" spans="1:17" ht="15.75" customHeight="1" x14ac:dyDescent="0.3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84"/>
      <c r="M760" s="30"/>
      <c r="N760" s="39"/>
      <c r="O760" s="30"/>
      <c r="P760" s="50"/>
      <c r="Q760" s="49"/>
    </row>
    <row r="761" spans="1:17" ht="15.75" customHeight="1" x14ac:dyDescent="0.3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84"/>
      <c r="M761" s="30"/>
      <c r="N761" s="39"/>
      <c r="O761" s="30"/>
      <c r="P761" s="50"/>
      <c r="Q761" s="49"/>
    </row>
    <row r="762" spans="1:17" ht="15.75" customHeight="1" x14ac:dyDescent="0.3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84"/>
      <c r="M762" s="30"/>
      <c r="N762" s="39"/>
      <c r="O762" s="30"/>
      <c r="P762" s="50"/>
      <c r="Q762" s="49"/>
    </row>
    <row r="763" spans="1:17" ht="15.75" customHeight="1" x14ac:dyDescent="0.3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84"/>
      <c r="M763" s="30"/>
      <c r="N763" s="39"/>
      <c r="O763" s="30"/>
      <c r="P763" s="50"/>
      <c r="Q763" s="49"/>
    </row>
    <row r="764" spans="1:17" ht="15.75" customHeight="1" x14ac:dyDescent="0.3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84"/>
      <c r="M764" s="30"/>
      <c r="N764" s="39"/>
      <c r="O764" s="30"/>
      <c r="P764" s="50"/>
      <c r="Q764" s="49"/>
    </row>
    <row r="765" spans="1:17" ht="15.75" customHeight="1" x14ac:dyDescent="0.3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84"/>
      <c r="M765" s="30"/>
      <c r="N765" s="39"/>
      <c r="O765" s="30"/>
      <c r="P765" s="50"/>
      <c r="Q765" s="49"/>
    </row>
    <row r="766" spans="1:17" ht="15.75" customHeight="1" x14ac:dyDescent="0.3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84"/>
      <c r="M766" s="30"/>
      <c r="N766" s="39"/>
      <c r="O766" s="30"/>
      <c r="P766" s="50"/>
      <c r="Q766" s="49"/>
    </row>
    <row r="767" spans="1:17" ht="15.75" customHeight="1" x14ac:dyDescent="0.3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84"/>
      <c r="M767" s="30"/>
      <c r="N767" s="39"/>
      <c r="O767" s="30"/>
      <c r="P767" s="50"/>
      <c r="Q767" s="49"/>
    </row>
    <row r="768" spans="1:17" ht="15.75" customHeight="1" x14ac:dyDescent="0.3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84"/>
      <c r="M768" s="30"/>
      <c r="N768" s="39"/>
      <c r="O768" s="30"/>
      <c r="P768" s="50"/>
      <c r="Q768" s="49"/>
    </row>
    <row r="769" spans="1:17" ht="15.75" customHeight="1" x14ac:dyDescent="0.3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84"/>
      <c r="M769" s="30"/>
      <c r="N769" s="39"/>
      <c r="O769" s="30"/>
      <c r="P769" s="50"/>
      <c r="Q769" s="49"/>
    </row>
    <row r="770" spans="1:17" ht="15.75" customHeight="1" x14ac:dyDescent="0.3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84"/>
      <c r="M770" s="30"/>
      <c r="N770" s="39"/>
      <c r="O770" s="30"/>
      <c r="P770" s="50"/>
      <c r="Q770" s="49"/>
    </row>
    <row r="771" spans="1:17" ht="15.75" customHeight="1" x14ac:dyDescent="0.3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84"/>
      <c r="M771" s="30"/>
      <c r="N771" s="39"/>
      <c r="O771" s="30"/>
      <c r="P771" s="50"/>
      <c r="Q771" s="49"/>
    </row>
    <row r="772" spans="1:17" ht="15.75" customHeight="1" x14ac:dyDescent="0.3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84"/>
      <c r="M772" s="30"/>
      <c r="N772" s="39"/>
      <c r="O772" s="30"/>
      <c r="P772" s="50"/>
      <c r="Q772" s="49"/>
    </row>
    <row r="773" spans="1:17" ht="15.75" customHeight="1" x14ac:dyDescent="0.3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84"/>
      <c r="M773" s="30"/>
      <c r="N773" s="39"/>
      <c r="O773" s="30"/>
      <c r="P773" s="50"/>
      <c r="Q773" s="49"/>
    </row>
    <row r="774" spans="1:17" ht="15.75" customHeight="1" x14ac:dyDescent="0.3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84"/>
      <c r="M774" s="30"/>
      <c r="N774" s="39"/>
      <c r="O774" s="30"/>
      <c r="P774" s="50"/>
      <c r="Q774" s="49"/>
    </row>
    <row r="775" spans="1:17" ht="15.75" customHeight="1" x14ac:dyDescent="0.3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84"/>
      <c r="M775" s="30"/>
      <c r="N775" s="39"/>
      <c r="O775" s="30"/>
      <c r="P775" s="50"/>
      <c r="Q775" s="49"/>
    </row>
    <row r="776" spans="1:17" ht="15.75" customHeight="1" x14ac:dyDescent="0.3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84"/>
      <c r="M776" s="30"/>
      <c r="N776" s="39"/>
      <c r="O776" s="30"/>
      <c r="P776" s="50"/>
      <c r="Q776" s="49"/>
    </row>
    <row r="777" spans="1:17" ht="15.75" customHeight="1" x14ac:dyDescent="0.3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84"/>
      <c r="M777" s="30"/>
      <c r="N777" s="39"/>
      <c r="O777" s="30"/>
      <c r="P777" s="50"/>
      <c r="Q777" s="49"/>
    </row>
    <row r="778" spans="1:17" ht="15.75" customHeight="1" x14ac:dyDescent="0.3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84"/>
      <c r="M778" s="30"/>
      <c r="N778" s="39"/>
      <c r="O778" s="30"/>
      <c r="P778" s="50"/>
      <c r="Q778" s="49"/>
    </row>
    <row r="779" spans="1:17" ht="15.75" customHeight="1" x14ac:dyDescent="0.3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84"/>
      <c r="M779" s="30"/>
      <c r="N779" s="39"/>
      <c r="O779" s="30"/>
      <c r="P779" s="50"/>
      <c r="Q779" s="49"/>
    </row>
    <row r="780" spans="1:17" ht="15.75" customHeight="1" x14ac:dyDescent="0.3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84"/>
      <c r="M780" s="30"/>
      <c r="N780" s="39"/>
      <c r="O780" s="30"/>
      <c r="P780" s="50"/>
      <c r="Q780" s="49"/>
    </row>
    <row r="781" spans="1:17" ht="15.75" customHeight="1" x14ac:dyDescent="0.3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84"/>
      <c r="M781" s="30"/>
      <c r="N781" s="39"/>
      <c r="O781" s="30"/>
      <c r="P781" s="50"/>
      <c r="Q781" s="49"/>
    </row>
    <row r="782" spans="1:17" ht="15.75" customHeight="1" x14ac:dyDescent="0.3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84"/>
      <c r="M782" s="30"/>
      <c r="N782" s="39"/>
      <c r="O782" s="30"/>
      <c r="P782" s="50"/>
      <c r="Q782" s="49"/>
    </row>
    <row r="783" spans="1:17" ht="15.75" customHeight="1" x14ac:dyDescent="0.3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84"/>
      <c r="M783" s="30"/>
      <c r="N783" s="39"/>
      <c r="O783" s="30"/>
      <c r="P783" s="50"/>
      <c r="Q783" s="49"/>
    </row>
    <row r="784" spans="1:17" ht="15.75" customHeight="1" x14ac:dyDescent="0.3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84"/>
      <c r="M784" s="30"/>
      <c r="N784" s="39"/>
      <c r="O784" s="30"/>
      <c r="P784" s="50"/>
      <c r="Q784" s="49"/>
    </row>
    <row r="785" spans="1:17" ht="15.75" customHeight="1" x14ac:dyDescent="0.3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84"/>
      <c r="M785" s="30"/>
      <c r="N785" s="39"/>
      <c r="O785" s="30"/>
      <c r="P785" s="50"/>
      <c r="Q785" s="49"/>
    </row>
    <row r="786" spans="1:17" ht="15.75" customHeight="1" x14ac:dyDescent="0.3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84"/>
      <c r="M786" s="30"/>
      <c r="N786" s="39"/>
      <c r="O786" s="30"/>
      <c r="P786" s="50"/>
      <c r="Q786" s="49"/>
    </row>
    <row r="787" spans="1:17" ht="15.75" customHeight="1" x14ac:dyDescent="0.3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84"/>
      <c r="M787" s="30"/>
      <c r="N787" s="39"/>
      <c r="O787" s="30"/>
      <c r="P787" s="50"/>
      <c r="Q787" s="49"/>
    </row>
    <row r="788" spans="1:17" ht="15.75" customHeight="1" x14ac:dyDescent="0.3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84"/>
      <c r="M788" s="30"/>
      <c r="N788" s="39"/>
      <c r="O788" s="30"/>
      <c r="P788" s="50"/>
      <c r="Q788" s="49"/>
    </row>
    <row r="789" spans="1:17" ht="15.75" customHeight="1" x14ac:dyDescent="0.3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84"/>
      <c r="M789" s="30"/>
      <c r="N789" s="39"/>
      <c r="O789" s="30"/>
      <c r="P789" s="50"/>
      <c r="Q789" s="49"/>
    </row>
    <row r="790" spans="1:17" ht="15.75" customHeight="1" x14ac:dyDescent="0.3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84"/>
      <c r="M790" s="30"/>
      <c r="N790" s="39"/>
      <c r="O790" s="30"/>
      <c r="P790" s="50"/>
      <c r="Q790" s="49"/>
    </row>
    <row r="791" spans="1:17" ht="15.75" customHeight="1" x14ac:dyDescent="0.3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84"/>
      <c r="M791" s="30"/>
      <c r="N791" s="39"/>
      <c r="O791" s="30"/>
      <c r="P791" s="50"/>
      <c r="Q791" s="49"/>
    </row>
    <row r="792" spans="1:17" ht="15.75" customHeight="1" x14ac:dyDescent="0.3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84"/>
      <c r="M792" s="30"/>
      <c r="N792" s="39"/>
      <c r="O792" s="30"/>
      <c r="P792" s="50"/>
      <c r="Q792" s="49"/>
    </row>
    <row r="793" spans="1:17" ht="15.75" customHeight="1" x14ac:dyDescent="0.3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84"/>
      <c r="M793" s="30"/>
      <c r="N793" s="39"/>
      <c r="O793" s="30"/>
      <c r="P793" s="50"/>
      <c r="Q793" s="49"/>
    </row>
    <row r="794" spans="1:17" ht="15.75" customHeight="1" x14ac:dyDescent="0.3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84"/>
      <c r="M794" s="30"/>
      <c r="N794" s="39"/>
      <c r="O794" s="30"/>
      <c r="P794" s="50"/>
      <c r="Q794" s="49"/>
    </row>
    <row r="795" spans="1:17" ht="15.75" customHeight="1" x14ac:dyDescent="0.3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84"/>
      <c r="M795" s="30"/>
      <c r="N795" s="39"/>
      <c r="O795" s="30"/>
      <c r="P795" s="50"/>
      <c r="Q795" s="49"/>
    </row>
    <row r="796" spans="1:17" ht="15.75" customHeight="1" x14ac:dyDescent="0.3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84"/>
      <c r="M796" s="30"/>
      <c r="N796" s="39"/>
      <c r="O796" s="30"/>
      <c r="P796" s="50"/>
      <c r="Q796" s="49"/>
    </row>
    <row r="797" spans="1:17" ht="15.75" customHeight="1" x14ac:dyDescent="0.3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84"/>
      <c r="M797" s="30"/>
      <c r="N797" s="39"/>
      <c r="O797" s="30"/>
      <c r="P797" s="50"/>
      <c r="Q797" s="49"/>
    </row>
    <row r="798" spans="1:17" ht="15.75" customHeight="1" x14ac:dyDescent="0.3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84"/>
      <c r="M798" s="30"/>
      <c r="N798" s="39"/>
      <c r="O798" s="30"/>
      <c r="P798" s="50"/>
      <c r="Q798" s="49"/>
    </row>
    <row r="799" spans="1:17" ht="15.75" customHeight="1" x14ac:dyDescent="0.3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84"/>
      <c r="M799" s="30"/>
      <c r="N799" s="39"/>
      <c r="O799" s="30"/>
      <c r="P799" s="50"/>
      <c r="Q799" s="49"/>
    </row>
    <row r="800" spans="1:17" ht="15.75" customHeight="1" x14ac:dyDescent="0.3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84"/>
      <c r="M800" s="30"/>
      <c r="N800" s="39"/>
      <c r="O800" s="30"/>
      <c r="P800" s="50"/>
      <c r="Q800" s="49"/>
    </row>
    <row r="801" spans="1:17" ht="15.75" customHeight="1" x14ac:dyDescent="0.3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84"/>
      <c r="M801" s="30"/>
      <c r="N801" s="39"/>
      <c r="O801" s="30"/>
      <c r="P801" s="50"/>
      <c r="Q801" s="49"/>
    </row>
    <row r="802" spans="1:17" ht="15.75" customHeight="1" x14ac:dyDescent="0.3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84"/>
      <c r="M802" s="30"/>
      <c r="N802" s="39"/>
      <c r="O802" s="30"/>
      <c r="P802" s="50"/>
      <c r="Q802" s="49"/>
    </row>
    <row r="803" spans="1:17" ht="15.75" customHeight="1" x14ac:dyDescent="0.3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84"/>
      <c r="M803" s="30"/>
      <c r="N803" s="39"/>
      <c r="O803" s="30"/>
      <c r="P803" s="50"/>
      <c r="Q803" s="49"/>
    </row>
    <row r="804" spans="1:17" ht="15.75" customHeight="1" x14ac:dyDescent="0.3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84"/>
      <c r="M804" s="30"/>
      <c r="N804" s="39"/>
      <c r="O804" s="30"/>
      <c r="P804" s="50"/>
      <c r="Q804" s="49"/>
    </row>
    <row r="805" spans="1:17" ht="15.75" customHeight="1" x14ac:dyDescent="0.3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84"/>
      <c r="M805" s="30"/>
      <c r="N805" s="39"/>
      <c r="O805" s="30"/>
      <c r="P805" s="50"/>
      <c r="Q805" s="49"/>
    </row>
    <row r="806" spans="1:17" ht="15.75" customHeight="1" x14ac:dyDescent="0.3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84"/>
      <c r="M806" s="30"/>
      <c r="N806" s="39"/>
      <c r="O806" s="30"/>
      <c r="P806" s="50"/>
      <c r="Q806" s="49"/>
    </row>
    <row r="807" spans="1:17" ht="15.75" customHeight="1" x14ac:dyDescent="0.3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84"/>
      <c r="M807" s="30"/>
      <c r="N807" s="39"/>
      <c r="O807" s="30"/>
      <c r="P807" s="50"/>
      <c r="Q807" s="49"/>
    </row>
    <row r="808" spans="1:17" ht="15.75" customHeight="1" x14ac:dyDescent="0.3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84"/>
      <c r="M808" s="30"/>
      <c r="N808" s="39"/>
      <c r="O808" s="30"/>
      <c r="P808" s="50"/>
      <c r="Q808" s="49"/>
    </row>
    <row r="809" spans="1:17" ht="15.75" customHeight="1" x14ac:dyDescent="0.3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84"/>
      <c r="M809" s="30"/>
      <c r="N809" s="39"/>
      <c r="O809" s="30"/>
      <c r="P809" s="50"/>
      <c r="Q809" s="49"/>
    </row>
    <row r="810" spans="1:17" ht="15.75" customHeight="1" x14ac:dyDescent="0.3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84"/>
      <c r="M810" s="30"/>
      <c r="N810" s="39"/>
      <c r="O810" s="30"/>
      <c r="P810" s="50"/>
      <c r="Q810" s="49"/>
    </row>
    <row r="811" spans="1:17" ht="15.75" customHeight="1" x14ac:dyDescent="0.3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84"/>
      <c r="M811" s="30"/>
      <c r="N811" s="39"/>
      <c r="O811" s="30"/>
      <c r="P811" s="50"/>
      <c r="Q811" s="49"/>
    </row>
    <row r="812" spans="1:17" ht="15.75" customHeight="1" x14ac:dyDescent="0.3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84"/>
      <c r="M812" s="30"/>
      <c r="N812" s="39"/>
      <c r="O812" s="30"/>
      <c r="P812" s="50"/>
      <c r="Q812" s="49"/>
    </row>
    <row r="813" spans="1:17" ht="15.75" customHeight="1" x14ac:dyDescent="0.3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84"/>
      <c r="M813" s="30"/>
      <c r="N813" s="39"/>
      <c r="O813" s="30"/>
      <c r="P813" s="50"/>
      <c r="Q813" s="49"/>
    </row>
    <row r="814" spans="1:17" ht="15.75" customHeight="1" x14ac:dyDescent="0.3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84"/>
      <c r="M814" s="30"/>
      <c r="N814" s="39"/>
      <c r="O814" s="30"/>
      <c r="P814" s="50"/>
      <c r="Q814" s="49"/>
    </row>
    <row r="815" spans="1:17" ht="15.75" customHeight="1" x14ac:dyDescent="0.3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84"/>
      <c r="M815" s="30"/>
      <c r="N815" s="39"/>
      <c r="O815" s="30"/>
      <c r="P815" s="50"/>
      <c r="Q815" s="49"/>
    </row>
    <row r="816" spans="1:17" ht="15.75" customHeight="1" x14ac:dyDescent="0.3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84"/>
      <c r="M816" s="30"/>
      <c r="N816" s="39"/>
      <c r="O816" s="30"/>
      <c r="P816" s="50"/>
      <c r="Q816" s="49"/>
    </row>
    <row r="817" spans="1:17" ht="15.75" customHeight="1" x14ac:dyDescent="0.3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84"/>
      <c r="M817" s="30"/>
      <c r="N817" s="39"/>
      <c r="O817" s="30"/>
      <c r="P817" s="50"/>
      <c r="Q817" s="49"/>
    </row>
    <row r="818" spans="1:17" ht="15.75" customHeight="1" x14ac:dyDescent="0.3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84"/>
      <c r="M818" s="30"/>
      <c r="N818" s="39"/>
      <c r="O818" s="30"/>
      <c r="P818" s="50"/>
      <c r="Q818" s="49"/>
    </row>
    <row r="819" spans="1:17" ht="15.75" customHeight="1" x14ac:dyDescent="0.3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84"/>
      <c r="M819" s="30"/>
      <c r="N819" s="39"/>
      <c r="O819" s="30"/>
      <c r="P819" s="50"/>
      <c r="Q819" s="49"/>
    </row>
    <row r="820" spans="1:17" ht="15.75" customHeight="1" x14ac:dyDescent="0.3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84"/>
      <c r="M820" s="30"/>
      <c r="N820" s="39"/>
      <c r="O820" s="30"/>
      <c r="P820" s="50"/>
      <c r="Q820" s="49"/>
    </row>
    <row r="821" spans="1:17" ht="15.75" customHeight="1" x14ac:dyDescent="0.3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84"/>
      <c r="M821" s="30"/>
      <c r="N821" s="39"/>
      <c r="O821" s="30"/>
      <c r="P821" s="50"/>
      <c r="Q821" s="49"/>
    </row>
    <row r="822" spans="1:17" ht="15.75" customHeight="1" x14ac:dyDescent="0.3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84"/>
      <c r="M822" s="30"/>
      <c r="N822" s="39"/>
      <c r="O822" s="30"/>
      <c r="P822" s="50"/>
      <c r="Q822" s="49"/>
    </row>
    <row r="823" spans="1:17" ht="15.75" customHeight="1" x14ac:dyDescent="0.3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84"/>
      <c r="M823" s="30"/>
      <c r="N823" s="39"/>
      <c r="O823" s="30"/>
      <c r="P823" s="50"/>
      <c r="Q823" s="49"/>
    </row>
    <row r="824" spans="1:17" ht="15.75" customHeight="1" x14ac:dyDescent="0.3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84"/>
      <c r="M824" s="30"/>
      <c r="N824" s="39"/>
      <c r="O824" s="30"/>
      <c r="P824" s="50"/>
      <c r="Q824" s="49"/>
    </row>
    <row r="825" spans="1:17" ht="15.75" customHeight="1" x14ac:dyDescent="0.3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84"/>
      <c r="M825" s="30"/>
      <c r="N825" s="39"/>
      <c r="O825" s="30"/>
      <c r="P825" s="50"/>
      <c r="Q825" s="49"/>
    </row>
    <row r="826" spans="1:17" ht="15.75" customHeight="1" x14ac:dyDescent="0.3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84"/>
      <c r="M826" s="30"/>
      <c r="N826" s="39"/>
      <c r="O826" s="30"/>
      <c r="P826" s="50"/>
      <c r="Q826" s="49"/>
    </row>
    <row r="827" spans="1:17" ht="15.75" customHeight="1" x14ac:dyDescent="0.3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84"/>
      <c r="M827" s="30"/>
      <c r="N827" s="39"/>
      <c r="O827" s="30"/>
      <c r="P827" s="50"/>
      <c r="Q827" s="49"/>
    </row>
    <row r="828" spans="1:17" ht="15.75" customHeight="1" x14ac:dyDescent="0.3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84"/>
      <c r="M828" s="30"/>
      <c r="N828" s="39"/>
      <c r="O828" s="30"/>
      <c r="P828" s="50"/>
      <c r="Q828" s="49"/>
    </row>
    <row r="829" spans="1:17" ht="15.75" customHeight="1" x14ac:dyDescent="0.3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84"/>
      <c r="M829" s="30"/>
      <c r="N829" s="39"/>
      <c r="O829" s="30"/>
      <c r="P829" s="50"/>
      <c r="Q829" s="49"/>
    </row>
    <row r="830" spans="1:17" ht="15.75" customHeight="1" x14ac:dyDescent="0.3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84"/>
      <c r="M830" s="30"/>
      <c r="N830" s="39"/>
      <c r="O830" s="30"/>
      <c r="P830" s="50"/>
      <c r="Q830" s="49"/>
    </row>
    <row r="831" spans="1:17" ht="15.75" customHeight="1" x14ac:dyDescent="0.3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84"/>
      <c r="M831" s="30"/>
      <c r="N831" s="39"/>
      <c r="O831" s="30"/>
      <c r="P831" s="50"/>
      <c r="Q831" s="49"/>
    </row>
    <row r="832" spans="1:17" ht="15.75" customHeight="1" x14ac:dyDescent="0.3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84"/>
      <c r="M832" s="30"/>
      <c r="N832" s="39"/>
      <c r="O832" s="30"/>
      <c r="P832" s="50"/>
      <c r="Q832" s="49"/>
    </row>
    <row r="833" spans="1:17" ht="15.75" customHeight="1" x14ac:dyDescent="0.3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84"/>
      <c r="M833" s="30"/>
      <c r="N833" s="39"/>
      <c r="O833" s="30"/>
      <c r="P833" s="50"/>
      <c r="Q833" s="49"/>
    </row>
    <row r="834" spans="1:17" ht="15.75" customHeight="1" x14ac:dyDescent="0.3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84"/>
      <c r="M834" s="30"/>
      <c r="N834" s="39"/>
      <c r="O834" s="30"/>
      <c r="P834" s="50"/>
      <c r="Q834" s="49"/>
    </row>
    <row r="835" spans="1:17" ht="15.75" customHeight="1" x14ac:dyDescent="0.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84"/>
      <c r="M835" s="30"/>
      <c r="N835" s="39"/>
      <c r="O835" s="30"/>
      <c r="P835" s="50"/>
      <c r="Q835" s="49"/>
    </row>
    <row r="836" spans="1:17" ht="15.75" customHeight="1" x14ac:dyDescent="0.3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84"/>
      <c r="M836" s="30"/>
      <c r="N836" s="39"/>
      <c r="O836" s="30"/>
      <c r="P836" s="50"/>
      <c r="Q836" s="49"/>
    </row>
    <row r="837" spans="1:17" ht="15.75" customHeight="1" x14ac:dyDescent="0.3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84"/>
      <c r="M837" s="30"/>
      <c r="N837" s="39"/>
      <c r="O837" s="30"/>
      <c r="P837" s="50"/>
      <c r="Q837" s="49"/>
    </row>
    <row r="838" spans="1:17" ht="15.75" customHeight="1" x14ac:dyDescent="0.3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84"/>
      <c r="M838" s="30"/>
      <c r="N838" s="39"/>
      <c r="O838" s="30"/>
      <c r="P838" s="50"/>
      <c r="Q838" s="49"/>
    </row>
    <row r="839" spans="1:17" ht="15.75" customHeight="1" x14ac:dyDescent="0.3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84"/>
      <c r="M839" s="30"/>
      <c r="N839" s="39"/>
      <c r="O839" s="30"/>
      <c r="P839" s="50"/>
      <c r="Q839" s="49"/>
    </row>
    <row r="840" spans="1:17" ht="15.75" customHeight="1" x14ac:dyDescent="0.3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84"/>
      <c r="M840" s="30"/>
      <c r="N840" s="39"/>
      <c r="O840" s="30"/>
      <c r="P840" s="50"/>
      <c r="Q840" s="49"/>
    </row>
    <row r="841" spans="1:17" ht="15.75" customHeight="1" x14ac:dyDescent="0.3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84"/>
      <c r="M841" s="30"/>
      <c r="N841" s="39"/>
      <c r="O841" s="30"/>
      <c r="P841" s="50"/>
      <c r="Q841" s="49"/>
    </row>
    <row r="842" spans="1:17" ht="15.75" customHeight="1" x14ac:dyDescent="0.3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84"/>
      <c r="M842" s="30"/>
      <c r="N842" s="39"/>
      <c r="O842" s="30"/>
      <c r="P842" s="50"/>
      <c r="Q842" s="49"/>
    </row>
    <row r="843" spans="1:17" ht="15.75" customHeight="1" x14ac:dyDescent="0.3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84"/>
      <c r="M843" s="30"/>
      <c r="N843" s="39"/>
      <c r="O843" s="30"/>
      <c r="P843" s="50"/>
      <c r="Q843" s="49"/>
    </row>
    <row r="844" spans="1:17" ht="15.75" customHeight="1" x14ac:dyDescent="0.3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84"/>
      <c r="M844" s="30"/>
      <c r="N844" s="39"/>
      <c r="O844" s="30"/>
      <c r="P844" s="50"/>
      <c r="Q844" s="49"/>
    </row>
    <row r="845" spans="1:17" ht="15.75" customHeight="1" x14ac:dyDescent="0.3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84"/>
      <c r="M845" s="30"/>
      <c r="N845" s="39"/>
      <c r="O845" s="30"/>
      <c r="P845" s="50"/>
      <c r="Q845" s="49"/>
    </row>
    <row r="846" spans="1:17" ht="15.75" customHeight="1" x14ac:dyDescent="0.3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84"/>
      <c r="M846" s="30"/>
      <c r="N846" s="39"/>
      <c r="O846" s="30"/>
      <c r="P846" s="50"/>
      <c r="Q846" s="49"/>
    </row>
    <row r="847" spans="1:17" ht="15.75" customHeight="1" x14ac:dyDescent="0.3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84"/>
      <c r="M847" s="30"/>
      <c r="N847" s="39"/>
      <c r="O847" s="30"/>
      <c r="P847" s="50"/>
      <c r="Q847" s="49"/>
    </row>
    <row r="848" spans="1:17" ht="15.75" customHeight="1" x14ac:dyDescent="0.3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84"/>
      <c r="M848" s="30"/>
      <c r="N848" s="39"/>
      <c r="O848" s="30"/>
      <c r="P848" s="50"/>
      <c r="Q848" s="49"/>
    </row>
    <row r="849" spans="1:17" ht="15.75" customHeight="1" x14ac:dyDescent="0.3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84"/>
      <c r="M849" s="30"/>
      <c r="N849" s="39"/>
      <c r="O849" s="30"/>
      <c r="P849" s="50"/>
      <c r="Q849" s="49"/>
    </row>
    <row r="850" spans="1:17" ht="15.75" customHeight="1" x14ac:dyDescent="0.3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84"/>
      <c r="M850" s="30"/>
      <c r="N850" s="39"/>
      <c r="O850" s="30"/>
      <c r="P850" s="50"/>
      <c r="Q850" s="49"/>
    </row>
    <row r="851" spans="1:17" ht="15.75" customHeight="1" x14ac:dyDescent="0.3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84"/>
      <c r="M851" s="30"/>
      <c r="N851" s="39"/>
      <c r="O851" s="30"/>
      <c r="P851" s="50"/>
      <c r="Q851" s="49"/>
    </row>
    <row r="852" spans="1:17" ht="15.75" customHeight="1" x14ac:dyDescent="0.3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84"/>
      <c r="M852" s="30"/>
      <c r="N852" s="39"/>
      <c r="O852" s="30"/>
      <c r="P852" s="50"/>
      <c r="Q852" s="49"/>
    </row>
    <row r="853" spans="1:17" ht="15.75" customHeight="1" x14ac:dyDescent="0.3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84"/>
      <c r="M853" s="30"/>
      <c r="N853" s="39"/>
      <c r="O853" s="30"/>
      <c r="P853" s="50"/>
      <c r="Q853" s="49"/>
    </row>
    <row r="854" spans="1:17" ht="15.75" customHeight="1" x14ac:dyDescent="0.3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84"/>
      <c r="M854" s="30"/>
      <c r="N854" s="39"/>
      <c r="O854" s="30"/>
      <c r="P854" s="50"/>
      <c r="Q854" s="49"/>
    </row>
    <row r="855" spans="1:17" ht="15.75" customHeight="1" x14ac:dyDescent="0.3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84"/>
      <c r="M855" s="30"/>
      <c r="N855" s="39"/>
      <c r="O855" s="30"/>
      <c r="P855" s="50"/>
      <c r="Q855" s="49"/>
    </row>
    <row r="856" spans="1:17" ht="15.75" customHeight="1" x14ac:dyDescent="0.3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84"/>
      <c r="M856" s="30"/>
      <c r="N856" s="39"/>
      <c r="O856" s="30"/>
      <c r="P856" s="50"/>
      <c r="Q856" s="49"/>
    </row>
    <row r="857" spans="1:17" ht="15.75" customHeight="1" x14ac:dyDescent="0.3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84"/>
      <c r="M857" s="30"/>
      <c r="N857" s="39"/>
      <c r="O857" s="30"/>
      <c r="P857" s="50"/>
      <c r="Q857" s="49"/>
    </row>
    <row r="858" spans="1:17" ht="15.75" customHeight="1" x14ac:dyDescent="0.3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84"/>
      <c r="M858" s="30"/>
      <c r="N858" s="39"/>
      <c r="O858" s="30"/>
      <c r="P858" s="50"/>
      <c r="Q858" s="49"/>
    </row>
    <row r="859" spans="1:17" ht="15.75" customHeight="1" x14ac:dyDescent="0.3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84"/>
      <c r="M859" s="30"/>
      <c r="N859" s="39"/>
      <c r="O859" s="30"/>
      <c r="P859" s="50"/>
      <c r="Q859" s="49"/>
    </row>
    <row r="860" spans="1:17" ht="15.75" customHeight="1" x14ac:dyDescent="0.3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84"/>
      <c r="M860" s="30"/>
      <c r="N860" s="39"/>
      <c r="O860" s="30"/>
      <c r="P860" s="50"/>
      <c r="Q860" s="49"/>
    </row>
    <row r="861" spans="1:17" ht="15.75" customHeight="1" x14ac:dyDescent="0.3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84"/>
      <c r="M861" s="30"/>
      <c r="N861" s="39"/>
      <c r="O861" s="30"/>
      <c r="P861" s="50"/>
      <c r="Q861" s="49"/>
    </row>
    <row r="862" spans="1:17" ht="15.75" customHeight="1" x14ac:dyDescent="0.3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84"/>
      <c r="M862" s="30"/>
      <c r="N862" s="39"/>
      <c r="O862" s="30"/>
      <c r="P862" s="50"/>
      <c r="Q862" s="49"/>
    </row>
    <row r="863" spans="1:17" ht="15.75" customHeight="1" x14ac:dyDescent="0.3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84"/>
      <c r="M863" s="30"/>
      <c r="N863" s="39"/>
      <c r="O863" s="30"/>
      <c r="P863" s="50"/>
      <c r="Q863" s="49"/>
    </row>
    <row r="864" spans="1:17" ht="15.75" customHeight="1" x14ac:dyDescent="0.3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84"/>
      <c r="M864" s="30"/>
      <c r="N864" s="39"/>
      <c r="O864" s="30"/>
      <c r="P864" s="50"/>
      <c r="Q864" s="49"/>
    </row>
    <row r="865" spans="1:17" ht="15.75" customHeight="1" x14ac:dyDescent="0.3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84"/>
      <c r="M865" s="30"/>
      <c r="N865" s="39"/>
      <c r="O865" s="30"/>
      <c r="P865" s="50"/>
      <c r="Q865" s="49"/>
    </row>
    <row r="866" spans="1:17" ht="15.75" customHeight="1" x14ac:dyDescent="0.3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84"/>
      <c r="M866" s="30"/>
      <c r="N866" s="39"/>
      <c r="O866" s="30"/>
      <c r="P866" s="50"/>
      <c r="Q866" s="49"/>
    </row>
    <row r="867" spans="1:17" ht="15.75" customHeight="1" x14ac:dyDescent="0.3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84"/>
      <c r="M867" s="30"/>
      <c r="N867" s="39"/>
      <c r="O867" s="30"/>
      <c r="P867" s="50"/>
      <c r="Q867" s="49"/>
    </row>
    <row r="868" spans="1:17" ht="15.75" customHeight="1" x14ac:dyDescent="0.3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84"/>
      <c r="M868" s="30"/>
      <c r="N868" s="39"/>
      <c r="O868" s="30"/>
      <c r="P868" s="50"/>
      <c r="Q868" s="49"/>
    </row>
    <row r="869" spans="1:17" ht="15.75" customHeight="1" x14ac:dyDescent="0.3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84"/>
      <c r="M869" s="30"/>
      <c r="N869" s="39"/>
      <c r="O869" s="30"/>
      <c r="P869" s="50"/>
      <c r="Q869" s="49"/>
    </row>
    <row r="870" spans="1:17" ht="15.75" customHeight="1" x14ac:dyDescent="0.3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84"/>
      <c r="M870" s="30"/>
      <c r="N870" s="39"/>
      <c r="O870" s="30"/>
      <c r="P870" s="50"/>
      <c r="Q870" s="49"/>
    </row>
    <row r="871" spans="1:17" ht="15.75" customHeight="1" x14ac:dyDescent="0.3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84"/>
      <c r="M871" s="30"/>
      <c r="N871" s="39"/>
      <c r="O871" s="30"/>
      <c r="P871" s="50"/>
      <c r="Q871" s="49"/>
    </row>
    <row r="872" spans="1:17" ht="15.75" customHeight="1" x14ac:dyDescent="0.3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84"/>
      <c r="M872" s="30"/>
      <c r="N872" s="39"/>
      <c r="O872" s="30"/>
      <c r="P872" s="50"/>
      <c r="Q872" s="49"/>
    </row>
    <row r="873" spans="1:17" ht="15.75" customHeight="1" x14ac:dyDescent="0.3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84"/>
      <c r="M873" s="30"/>
      <c r="N873" s="39"/>
      <c r="O873" s="30"/>
      <c r="P873" s="50"/>
      <c r="Q873" s="49"/>
    </row>
    <row r="874" spans="1:17" ht="15.75" customHeight="1" x14ac:dyDescent="0.3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84"/>
      <c r="M874" s="30"/>
      <c r="N874" s="39"/>
      <c r="O874" s="30"/>
      <c r="P874" s="50"/>
      <c r="Q874" s="49"/>
    </row>
    <row r="875" spans="1:17" ht="15.75" customHeight="1" x14ac:dyDescent="0.3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84"/>
      <c r="M875" s="30"/>
      <c r="N875" s="39"/>
      <c r="O875" s="30"/>
      <c r="P875" s="50"/>
      <c r="Q875" s="49"/>
    </row>
    <row r="876" spans="1:17" ht="15.75" customHeight="1" x14ac:dyDescent="0.3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84"/>
      <c r="M876" s="30"/>
      <c r="N876" s="39"/>
      <c r="O876" s="30"/>
      <c r="P876" s="50"/>
      <c r="Q876" s="49"/>
    </row>
    <row r="877" spans="1:17" ht="15.75" customHeight="1" x14ac:dyDescent="0.3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84"/>
      <c r="M877" s="30"/>
      <c r="N877" s="39"/>
      <c r="O877" s="30"/>
      <c r="P877" s="50"/>
      <c r="Q877" s="49"/>
    </row>
    <row r="878" spans="1:17" ht="15.75" customHeight="1" x14ac:dyDescent="0.3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84"/>
      <c r="M878" s="30"/>
      <c r="N878" s="39"/>
      <c r="O878" s="30"/>
      <c r="P878" s="50"/>
      <c r="Q878" s="49"/>
    </row>
    <row r="879" spans="1:17" ht="15.75" customHeight="1" x14ac:dyDescent="0.3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84"/>
      <c r="M879" s="30"/>
      <c r="N879" s="39"/>
      <c r="O879" s="30"/>
      <c r="P879" s="50"/>
      <c r="Q879" s="49"/>
    </row>
    <row r="880" spans="1:17" ht="15.75" customHeight="1" x14ac:dyDescent="0.3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84"/>
      <c r="M880" s="30"/>
      <c r="N880" s="39"/>
      <c r="O880" s="30"/>
      <c r="P880" s="50"/>
      <c r="Q880" s="49"/>
    </row>
    <row r="881" spans="1:17" ht="15.75" customHeight="1" x14ac:dyDescent="0.3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84"/>
      <c r="M881" s="30"/>
      <c r="N881" s="39"/>
      <c r="O881" s="30"/>
      <c r="P881" s="50"/>
      <c r="Q881" s="49"/>
    </row>
    <row r="882" spans="1:17" ht="15.75" customHeight="1" x14ac:dyDescent="0.3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84"/>
      <c r="M882" s="30"/>
      <c r="N882" s="39"/>
      <c r="O882" s="30"/>
      <c r="P882" s="50"/>
      <c r="Q882" s="49"/>
    </row>
    <row r="883" spans="1:17" ht="15.75" customHeight="1" x14ac:dyDescent="0.3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84"/>
      <c r="M883" s="30"/>
      <c r="N883" s="39"/>
      <c r="O883" s="30"/>
      <c r="P883" s="50"/>
      <c r="Q883" s="49"/>
    </row>
    <row r="884" spans="1:17" ht="15.75" customHeight="1" x14ac:dyDescent="0.3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84"/>
      <c r="M884" s="30"/>
      <c r="N884" s="39"/>
      <c r="O884" s="30"/>
      <c r="P884" s="50"/>
      <c r="Q884" s="49"/>
    </row>
    <row r="885" spans="1:17" ht="15.75" customHeight="1" x14ac:dyDescent="0.3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84"/>
      <c r="M885" s="30"/>
      <c r="N885" s="39"/>
      <c r="O885" s="30"/>
      <c r="P885" s="50"/>
      <c r="Q885" s="49"/>
    </row>
    <row r="886" spans="1:17" ht="15.75" customHeight="1" x14ac:dyDescent="0.3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84"/>
      <c r="M886" s="30"/>
      <c r="N886" s="39"/>
      <c r="O886" s="30"/>
      <c r="P886" s="50"/>
      <c r="Q886" s="49"/>
    </row>
    <row r="887" spans="1:17" ht="15.75" customHeight="1" x14ac:dyDescent="0.3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84"/>
      <c r="M887" s="30"/>
      <c r="N887" s="39"/>
      <c r="O887" s="30"/>
      <c r="P887" s="50"/>
      <c r="Q887" s="49"/>
    </row>
    <row r="888" spans="1:17" ht="15.75" customHeight="1" x14ac:dyDescent="0.3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84"/>
      <c r="M888" s="30"/>
      <c r="N888" s="39"/>
      <c r="O888" s="30"/>
      <c r="P888" s="50"/>
      <c r="Q888" s="49"/>
    </row>
    <row r="889" spans="1:17" ht="15.75" customHeight="1" x14ac:dyDescent="0.3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84"/>
      <c r="M889" s="30"/>
      <c r="N889" s="39"/>
      <c r="O889" s="30"/>
      <c r="P889" s="50"/>
      <c r="Q889" s="49"/>
    </row>
    <row r="890" spans="1:17" ht="15.75" customHeight="1" x14ac:dyDescent="0.3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84"/>
      <c r="M890" s="30"/>
      <c r="N890" s="39"/>
      <c r="O890" s="30"/>
      <c r="P890" s="50"/>
      <c r="Q890" s="49"/>
    </row>
    <row r="891" spans="1:17" ht="15.75" customHeight="1" x14ac:dyDescent="0.3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84"/>
      <c r="M891" s="30"/>
      <c r="N891" s="39"/>
      <c r="O891" s="30"/>
      <c r="P891" s="50"/>
      <c r="Q891" s="49"/>
    </row>
    <row r="892" spans="1:17" ht="15.75" customHeight="1" x14ac:dyDescent="0.3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84"/>
      <c r="M892" s="30"/>
      <c r="N892" s="39"/>
      <c r="O892" s="30"/>
      <c r="P892" s="50"/>
      <c r="Q892" s="49"/>
    </row>
    <row r="893" spans="1:17" ht="15.75" customHeight="1" x14ac:dyDescent="0.3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84"/>
      <c r="M893" s="30"/>
      <c r="N893" s="39"/>
      <c r="O893" s="30"/>
      <c r="P893" s="50"/>
      <c r="Q893" s="49"/>
    </row>
    <row r="894" spans="1:17" ht="15.75" customHeight="1" x14ac:dyDescent="0.3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84"/>
      <c r="M894" s="30"/>
      <c r="N894" s="39"/>
      <c r="O894" s="30"/>
      <c r="P894" s="50"/>
      <c r="Q894" s="49"/>
    </row>
    <row r="895" spans="1:17" ht="15.75" customHeight="1" x14ac:dyDescent="0.3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84"/>
      <c r="M895" s="30"/>
      <c r="N895" s="39"/>
      <c r="O895" s="30"/>
      <c r="P895" s="50"/>
      <c r="Q895" s="49"/>
    </row>
    <row r="896" spans="1:17" ht="15.75" customHeight="1" x14ac:dyDescent="0.3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84"/>
      <c r="M896" s="30"/>
      <c r="N896" s="39"/>
      <c r="O896" s="30"/>
      <c r="P896" s="50"/>
      <c r="Q896" s="49"/>
    </row>
    <row r="897" spans="1:17" ht="15.75" customHeight="1" x14ac:dyDescent="0.3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84"/>
      <c r="M897" s="30"/>
      <c r="N897" s="39"/>
      <c r="O897" s="30"/>
      <c r="P897" s="50"/>
      <c r="Q897" s="49"/>
    </row>
    <row r="898" spans="1:17" ht="15.75" customHeight="1" x14ac:dyDescent="0.3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84"/>
      <c r="M898" s="30"/>
      <c r="N898" s="39"/>
      <c r="O898" s="30"/>
      <c r="P898" s="50"/>
      <c r="Q898" s="49"/>
    </row>
    <row r="899" spans="1:17" ht="15.75" customHeight="1" x14ac:dyDescent="0.3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84"/>
      <c r="M899" s="30"/>
      <c r="N899" s="39"/>
      <c r="O899" s="30"/>
      <c r="P899" s="50"/>
      <c r="Q899" s="49"/>
    </row>
    <row r="900" spans="1:17" ht="15.75" customHeight="1" x14ac:dyDescent="0.3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84"/>
      <c r="M900" s="30"/>
      <c r="N900" s="39"/>
      <c r="O900" s="30"/>
      <c r="P900" s="50"/>
      <c r="Q900" s="49"/>
    </row>
    <row r="901" spans="1:17" ht="15.75" customHeight="1" x14ac:dyDescent="0.3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84"/>
      <c r="M901" s="30"/>
      <c r="N901" s="39"/>
      <c r="O901" s="30"/>
      <c r="P901" s="50"/>
      <c r="Q901" s="49"/>
    </row>
    <row r="902" spans="1:17" ht="15.75" customHeight="1" x14ac:dyDescent="0.3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84"/>
      <c r="M902" s="30"/>
      <c r="N902" s="39"/>
      <c r="O902" s="30"/>
      <c r="P902" s="50"/>
      <c r="Q902" s="49"/>
    </row>
    <row r="903" spans="1:17" ht="15.75" customHeight="1" x14ac:dyDescent="0.3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84"/>
      <c r="M903" s="30"/>
      <c r="N903" s="39"/>
      <c r="O903" s="30"/>
      <c r="P903" s="50"/>
      <c r="Q903" s="49"/>
    </row>
    <row r="904" spans="1:17" ht="15.75" customHeight="1" x14ac:dyDescent="0.3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84"/>
      <c r="M904" s="30"/>
      <c r="N904" s="39"/>
      <c r="O904" s="30"/>
      <c r="P904" s="50"/>
      <c r="Q904" s="49"/>
    </row>
    <row r="905" spans="1:17" ht="15.75" customHeight="1" x14ac:dyDescent="0.3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84"/>
      <c r="M905" s="30"/>
      <c r="N905" s="39"/>
      <c r="O905" s="30"/>
      <c r="P905" s="50"/>
      <c r="Q905" s="49"/>
    </row>
    <row r="906" spans="1:17" ht="15.75" customHeight="1" x14ac:dyDescent="0.3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84"/>
      <c r="M906" s="30"/>
      <c r="N906" s="39"/>
      <c r="O906" s="30"/>
      <c r="P906" s="50"/>
      <c r="Q906" s="49"/>
    </row>
    <row r="907" spans="1:17" ht="15.75" customHeight="1" x14ac:dyDescent="0.3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84"/>
      <c r="M907" s="30"/>
      <c r="N907" s="39"/>
      <c r="O907" s="30"/>
      <c r="P907" s="50"/>
      <c r="Q907" s="49"/>
    </row>
    <row r="908" spans="1:17" ht="15.75" customHeight="1" x14ac:dyDescent="0.3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84"/>
      <c r="M908" s="30"/>
      <c r="N908" s="39"/>
      <c r="O908" s="30"/>
      <c r="P908" s="50"/>
      <c r="Q908" s="49"/>
    </row>
    <row r="909" spans="1:17" ht="15.75" customHeight="1" x14ac:dyDescent="0.3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84"/>
      <c r="M909" s="30"/>
      <c r="N909" s="39"/>
      <c r="O909" s="30"/>
      <c r="P909" s="50"/>
      <c r="Q909" s="49"/>
    </row>
    <row r="910" spans="1:17" ht="15.75" customHeight="1" x14ac:dyDescent="0.3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84"/>
      <c r="M910" s="30"/>
      <c r="N910" s="39"/>
      <c r="O910" s="30"/>
      <c r="P910" s="50"/>
      <c r="Q910" s="49"/>
    </row>
    <row r="911" spans="1:17" ht="15.75" customHeight="1" x14ac:dyDescent="0.3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84"/>
      <c r="M911" s="30"/>
      <c r="N911" s="39"/>
      <c r="O911" s="30"/>
      <c r="P911" s="50"/>
      <c r="Q911" s="49"/>
    </row>
    <row r="912" spans="1:17" ht="15.75" customHeight="1" x14ac:dyDescent="0.3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84"/>
      <c r="M912" s="30"/>
      <c r="N912" s="39"/>
      <c r="O912" s="30"/>
      <c r="P912" s="50"/>
      <c r="Q912" s="49"/>
    </row>
    <row r="913" spans="1:17" ht="15.75" customHeight="1" x14ac:dyDescent="0.3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84"/>
      <c r="M913" s="30"/>
      <c r="N913" s="39"/>
      <c r="O913" s="30"/>
      <c r="P913" s="50"/>
      <c r="Q913" s="49"/>
    </row>
    <row r="914" spans="1:17" ht="15.75" customHeight="1" x14ac:dyDescent="0.3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84"/>
      <c r="M914" s="30"/>
      <c r="N914" s="39"/>
      <c r="O914" s="30"/>
      <c r="P914" s="50"/>
      <c r="Q914" s="49"/>
    </row>
    <row r="915" spans="1:17" ht="15.75" customHeight="1" x14ac:dyDescent="0.3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84"/>
      <c r="M915" s="30"/>
      <c r="N915" s="39"/>
      <c r="O915" s="30"/>
      <c r="P915" s="50"/>
      <c r="Q915" s="49"/>
    </row>
    <row r="916" spans="1:17" ht="15.75" customHeight="1" x14ac:dyDescent="0.3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84"/>
      <c r="M916" s="30"/>
      <c r="N916" s="39"/>
      <c r="O916" s="30"/>
      <c r="P916" s="50"/>
      <c r="Q916" s="49"/>
    </row>
    <row r="917" spans="1:17" ht="15.75" customHeight="1" x14ac:dyDescent="0.3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84"/>
      <c r="M917" s="30"/>
      <c r="N917" s="39"/>
      <c r="O917" s="30"/>
      <c r="P917" s="50"/>
      <c r="Q917" s="49"/>
    </row>
    <row r="918" spans="1:17" ht="15.75" customHeight="1" x14ac:dyDescent="0.3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84"/>
      <c r="M918" s="30"/>
      <c r="N918" s="39"/>
      <c r="O918" s="30"/>
      <c r="P918" s="50"/>
      <c r="Q918" s="49"/>
    </row>
    <row r="919" spans="1:17" ht="15.75" customHeight="1" x14ac:dyDescent="0.3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84"/>
      <c r="M919" s="30"/>
      <c r="N919" s="39"/>
      <c r="O919" s="30"/>
      <c r="P919" s="50"/>
      <c r="Q919" s="49"/>
    </row>
    <row r="920" spans="1:17" ht="15.75" customHeight="1" x14ac:dyDescent="0.3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84"/>
      <c r="M920" s="30"/>
      <c r="N920" s="39"/>
      <c r="O920" s="30"/>
      <c r="P920" s="50"/>
      <c r="Q920" s="49"/>
    </row>
    <row r="921" spans="1:17" ht="15.75" customHeight="1" x14ac:dyDescent="0.3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84"/>
      <c r="M921" s="30"/>
      <c r="N921" s="39"/>
      <c r="O921" s="30"/>
      <c r="P921" s="50"/>
      <c r="Q921" s="49"/>
    </row>
    <row r="922" spans="1:17" ht="15.75" customHeight="1" x14ac:dyDescent="0.3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84"/>
      <c r="M922" s="30"/>
      <c r="N922" s="39"/>
      <c r="O922" s="30"/>
      <c r="P922" s="50"/>
      <c r="Q922" s="49"/>
    </row>
    <row r="923" spans="1:17" ht="15.75" customHeight="1" x14ac:dyDescent="0.3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84"/>
      <c r="M923" s="30"/>
      <c r="N923" s="39"/>
      <c r="O923" s="30"/>
      <c r="P923" s="50"/>
      <c r="Q923" s="49"/>
    </row>
    <row r="924" spans="1:17" ht="15.75" customHeight="1" x14ac:dyDescent="0.3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84"/>
      <c r="M924" s="30"/>
      <c r="N924" s="39"/>
      <c r="O924" s="30"/>
      <c r="P924" s="50"/>
      <c r="Q924" s="49"/>
    </row>
    <row r="925" spans="1:17" ht="15.75" customHeight="1" x14ac:dyDescent="0.3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84"/>
      <c r="M925" s="30"/>
      <c r="N925" s="39"/>
      <c r="O925" s="30"/>
      <c r="P925" s="50"/>
      <c r="Q925" s="49"/>
    </row>
    <row r="926" spans="1:17" ht="15.75" customHeight="1" x14ac:dyDescent="0.3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84"/>
      <c r="M926" s="30"/>
      <c r="N926" s="39"/>
      <c r="O926" s="30"/>
      <c r="P926" s="50"/>
      <c r="Q926" s="49"/>
    </row>
    <row r="927" spans="1:17" ht="15.75" customHeight="1" x14ac:dyDescent="0.3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84"/>
      <c r="M927" s="30"/>
      <c r="N927" s="39"/>
      <c r="O927" s="30"/>
      <c r="P927" s="50"/>
      <c r="Q927" s="49"/>
    </row>
    <row r="928" spans="1:17" ht="15.75" customHeight="1" x14ac:dyDescent="0.3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84"/>
      <c r="M928" s="30"/>
      <c r="N928" s="39"/>
      <c r="O928" s="30"/>
      <c r="P928" s="50"/>
      <c r="Q928" s="49"/>
    </row>
    <row r="929" spans="1:17" ht="15.75" customHeight="1" x14ac:dyDescent="0.3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84"/>
      <c r="M929" s="30"/>
      <c r="N929" s="39"/>
      <c r="O929" s="30"/>
      <c r="P929" s="50"/>
      <c r="Q929" s="49"/>
    </row>
    <row r="930" spans="1:17" ht="15.75" customHeight="1" x14ac:dyDescent="0.3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84"/>
      <c r="M930" s="30"/>
      <c r="N930" s="39"/>
      <c r="O930" s="30"/>
      <c r="P930" s="50"/>
      <c r="Q930" s="49"/>
    </row>
    <row r="931" spans="1:17" ht="15.75" customHeight="1" x14ac:dyDescent="0.3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84"/>
      <c r="M931" s="30"/>
      <c r="N931" s="39"/>
      <c r="O931" s="30"/>
      <c r="P931" s="50"/>
      <c r="Q931" s="49"/>
    </row>
    <row r="932" spans="1:17" ht="15.75" customHeight="1" x14ac:dyDescent="0.3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84"/>
      <c r="M932" s="30"/>
      <c r="N932" s="39"/>
      <c r="O932" s="30"/>
      <c r="P932" s="50"/>
      <c r="Q932" s="49"/>
    </row>
    <row r="933" spans="1:17" ht="15.75" customHeight="1" x14ac:dyDescent="0.3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84"/>
      <c r="M933" s="30"/>
      <c r="N933" s="39"/>
      <c r="O933" s="30"/>
      <c r="P933" s="50"/>
      <c r="Q933" s="49"/>
    </row>
    <row r="934" spans="1:17" ht="15.75" customHeight="1" x14ac:dyDescent="0.3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84"/>
      <c r="M934" s="30"/>
      <c r="N934" s="39"/>
      <c r="O934" s="30"/>
      <c r="P934" s="50"/>
      <c r="Q934" s="49"/>
    </row>
    <row r="935" spans="1:17" ht="15.75" customHeight="1" x14ac:dyDescent="0.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84"/>
      <c r="M935" s="30"/>
      <c r="N935" s="39"/>
      <c r="O935" s="30"/>
      <c r="P935" s="50"/>
      <c r="Q935" s="49"/>
    </row>
    <row r="936" spans="1:17" ht="15.75" customHeight="1" x14ac:dyDescent="0.3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84"/>
      <c r="M936" s="30"/>
      <c r="N936" s="39"/>
      <c r="O936" s="30"/>
      <c r="P936" s="50"/>
      <c r="Q936" s="49"/>
    </row>
    <row r="937" spans="1:17" ht="15.75" customHeight="1" x14ac:dyDescent="0.3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84"/>
      <c r="M937" s="30"/>
      <c r="N937" s="39"/>
      <c r="O937" s="30"/>
      <c r="P937" s="50"/>
      <c r="Q937" s="49"/>
    </row>
    <row r="938" spans="1:17" ht="15.75" customHeight="1" x14ac:dyDescent="0.3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84"/>
      <c r="M938" s="30"/>
      <c r="N938" s="39"/>
      <c r="O938" s="30"/>
      <c r="P938" s="50"/>
      <c r="Q938" s="49"/>
    </row>
    <row r="939" spans="1:17" ht="15.75" customHeight="1" x14ac:dyDescent="0.3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84"/>
      <c r="M939" s="30"/>
      <c r="N939" s="39"/>
      <c r="O939" s="30"/>
      <c r="P939" s="50"/>
      <c r="Q939" s="49"/>
    </row>
    <row r="940" spans="1:17" ht="15.75" customHeight="1" x14ac:dyDescent="0.3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84"/>
      <c r="M940" s="30"/>
      <c r="N940" s="39"/>
      <c r="O940" s="30"/>
      <c r="P940" s="50"/>
      <c r="Q940" s="49"/>
    </row>
    <row r="941" spans="1:17" ht="15.75" customHeight="1" x14ac:dyDescent="0.3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84"/>
      <c r="M941" s="30"/>
      <c r="N941" s="39"/>
      <c r="O941" s="30"/>
      <c r="P941" s="50"/>
      <c r="Q941" s="49"/>
    </row>
    <row r="942" spans="1:17" ht="15.75" customHeight="1" x14ac:dyDescent="0.3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84"/>
      <c r="M942" s="30"/>
      <c r="N942" s="39"/>
      <c r="O942" s="30"/>
      <c r="P942" s="50"/>
      <c r="Q942" s="49"/>
    </row>
    <row r="943" spans="1:17" ht="15.75" customHeight="1" x14ac:dyDescent="0.3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84"/>
      <c r="M943" s="30"/>
      <c r="N943" s="39"/>
      <c r="O943" s="30"/>
      <c r="P943" s="50"/>
      <c r="Q943" s="49"/>
    </row>
    <row r="944" spans="1:17" ht="15.75" customHeight="1" x14ac:dyDescent="0.3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84"/>
      <c r="M944" s="30"/>
      <c r="N944" s="39"/>
      <c r="O944" s="30"/>
      <c r="P944" s="50"/>
      <c r="Q944" s="49"/>
    </row>
    <row r="945" spans="1:17" ht="15.75" customHeight="1" x14ac:dyDescent="0.3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84"/>
      <c r="M945" s="30"/>
      <c r="N945" s="39"/>
      <c r="O945" s="30"/>
      <c r="P945" s="50"/>
      <c r="Q945" s="49"/>
    </row>
    <row r="946" spans="1:17" ht="15.75" customHeight="1" x14ac:dyDescent="0.3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84"/>
      <c r="M946" s="30"/>
      <c r="N946" s="39"/>
      <c r="O946" s="30"/>
      <c r="P946" s="50"/>
      <c r="Q946" s="49"/>
    </row>
    <row r="947" spans="1:17" ht="15.75" customHeight="1" x14ac:dyDescent="0.3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84"/>
      <c r="M947" s="30"/>
      <c r="N947" s="39"/>
      <c r="O947" s="30"/>
      <c r="P947" s="50"/>
      <c r="Q947" s="49"/>
    </row>
    <row r="948" spans="1:17" ht="15.75" customHeight="1" x14ac:dyDescent="0.3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84"/>
      <c r="M948" s="30"/>
      <c r="N948" s="39"/>
      <c r="O948" s="30"/>
      <c r="P948" s="50"/>
      <c r="Q948" s="49"/>
    </row>
    <row r="949" spans="1:17" ht="15.75" customHeight="1" x14ac:dyDescent="0.3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84"/>
      <c r="M949" s="30"/>
      <c r="N949" s="39"/>
      <c r="O949" s="30"/>
      <c r="P949" s="50"/>
      <c r="Q949" s="49"/>
    </row>
    <row r="950" spans="1:17" ht="15.75" customHeight="1" x14ac:dyDescent="0.3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84"/>
      <c r="M950" s="30"/>
      <c r="N950" s="39"/>
      <c r="O950" s="30"/>
      <c r="P950" s="50"/>
      <c r="Q950" s="49"/>
    </row>
    <row r="951" spans="1:17" ht="15.75" customHeight="1" x14ac:dyDescent="0.3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84"/>
      <c r="M951" s="30"/>
      <c r="N951" s="39"/>
      <c r="O951" s="30"/>
      <c r="P951" s="50"/>
      <c r="Q951" s="49"/>
    </row>
    <row r="952" spans="1:17" ht="15.75" customHeight="1" x14ac:dyDescent="0.3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84"/>
      <c r="M952" s="30"/>
      <c r="N952" s="39"/>
      <c r="O952" s="30"/>
      <c r="P952" s="50"/>
      <c r="Q952" s="49"/>
    </row>
    <row r="953" spans="1:17" ht="15.75" customHeight="1" x14ac:dyDescent="0.3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84"/>
      <c r="M953" s="30"/>
      <c r="N953" s="39"/>
      <c r="O953" s="30"/>
      <c r="P953" s="50"/>
      <c r="Q953" s="49"/>
    </row>
    <row r="954" spans="1:17" ht="15.75" customHeight="1" x14ac:dyDescent="0.3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84"/>
      <c r="M954" s="30"/>
      <c r="N954" s="39"/>
      <c r="O954" s="30"/>
      <c r="P954" s="50"/>
      <c r="Q954" s="49"/>
    </row>
    <row r="955" spans="1:17" ht="15.75" customHeight="1" x14ac:dyDescent="0.3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84"/>
      <c r="M955" s="30"/>
      <c r="N955" s="39"/>
      <c r="O955" s="30"/>
      <c r="P955" s="50"/>
      <c r="Q955" s="49"/>
    </row>
    <row r="956" spans="1:17" ht="15.75" customHeight="1" x14ac:dyDescent="0.3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84"/>
      <c r="M956" s="30"/>
      <c r="N956" s="39"/>
      <c r="O956" s="30"/>
      <c r="P956" s="50"/>
      <c r="Q956" s="49"/>
    </row>
    <row r="957" spans="1:17" ht="15.75" customHeight="1" x14ac:dyDescent="0.3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84"/>
      <c r="M957" s="30"/>
      <c r="N957" s="39"/>
      <c r="O957" s="30"/>
      <c r="P957" s="50"/>
      <c r="Q957" s="49"/>
    </row>
    <row r="958" spans="1:17" ht="15.75" customHeight="1" x14ac:dyDescent="0.3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84"/>
      <c r="M958" s="30"/>
      <c r="N958" s="39"/>
      <c r="O958" s="30"/>
      <c r="P958" s="50"/>
      <c r="Q958" s="49"/>
    </row>
    <row r="959" spans="1:17" ht="15.75" customHeight="1" x14ac:dyDescent="0.3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84"/>
      <c r="M959" s="30"/>
      <c r="N959" s="39"/>
      <c r="O959" s="30"/>
      <c r="P959" s="50"/>
      <c r="Q959" s="49"/>
    </row>
    <row r="960" spans="1:17" ht="15.75" customHeight="1" x14ac:dyDescent="0.3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84"/>
      <c r="M960" s="30"/>
      <c r="N960" s="39"/>
      <c r="O960" s="30"/>
      <c r="P960" s="50"/>
      <c r="Q960" s="49"/>
    </row>
    <row r="961" spans="1:17" ht="15.75" customHeight="1" x14ac:dyDescent="0.3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84"/>
      <c r="M961" s="30"/>
      <c r="N961" s="39"/>
      <c r="O961" s="30"/>
      <c r="P961" s="50"/>
      <c r="Q961" s="49"/>
    </row>
    <row r="962" spans="1:17" ht="15.75" customHeight="1" x14ac:dyDescent="0.3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84"/>
      <c r="M962" s="30"/>
      <c r="N962" s="39"/>
      <c r="O962" s="30"/>
      <c r="P962" s="50"/>
      <c r="Q962" s="49"/>
    </row>
    <row r="963" spans="1:17" ht="15.75" customHeight="1" x14ac:dyDescent="0.3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84"/>
      <c r="M963" s="30"/>
      <c r="N963" s="39"/>
      <c r="O963" s="30"/>
      <c r="P963" s="50"/>
      <c r="Q963" s="49"/>
    </row>
    <row r="964" spans="1:17" ht="15.75" customHeight="1" x14ac:dyDescent="0.3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84"/>
      <c r="M964" s="30"/>
      <c r="N964" s="39"/>
      <c r="O964" s="30"/>
      <c r="P964" s="50"/>
      <c r="Q964" s="49"/>
    </row>
    <row r="965" spans="1:17" ht="15.75" customHeight="1" x14ac:dyDescent="0.3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84"/>
      <c r="M965" s="30"/>
      <c r="N965" s="39"/>
      <c r="O965" s="30"/>
      <c r="P965" s="50"/>
      <c r="Q965" s="49"/>
    </row>
    <row r="966" spans="1:17" ht="15.75" customHeight="1" x14ac:dyDescent="0.3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84"/>
      <c r="M966" s="30"/>
      <c r="N966" s="39"/>
      <c r="O966" s="30"/>
      <c r="P966" s="50"/>
      <c r="Q966" s="49"/>
    </row>
    <row r="967" spans="1:17" ht="15.75" customHeight="1" x14ac:dyDescent="0.3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84"/>
      <c r="M967" s="30"/>
      <c r="N967" s="39"/>
      <c r="O967" s="30"/>
      <c r="P967" s="50"/>
      <c r="Q967" s="49"/>
    </row>
    <row r="968" spans="1:17" ht="15.75" customHeight="1" x14ac:dyDescent="0.3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84"/>
      <c r="M968" s="30"/>
      <c r="N968" s="39"/>
      <c r="O968" s="30"/>
      <c r="P968" s="50"/>
      <c r="Q968" s="49"/>
    </row>
    <row r="969" spans="1:17" ht="15.75" customHeight="1" x14ac:dyDescent="0.3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84"/>
      <c r="M969" s="30"/>
      <c r="N969" s="39"/>
      <c r="O969" s="30"/>
      <c r="P969" s="50"/>
      <c r="Q969" s="49"/>
    </row>
    <row r="970" spans="1:17" ht="15.75" customHeight="1" x14ac:dyDescent="0.3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84"/>
      <c r="M970" s="30"/>
      <c r="N970" s="39"/>
      <c r="O970" s="30"/>
      <c r="P970" s="50"/>
      <c r="Q970" s="49"/>
    </row>
    <row r="971" spans="1:17" ht="15.75" customHeight="1" x14ac:dyDescent="0.3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84"/>
      <c r="M971" s="30"/>
      <c r="N971" s="39"/>
      <c r="O971" s="30"/>
      <c r="P971" s="50"/>
      <c r="Q971" s="49"/>
    </row>
    <row r="972" spans="1:17" ht="15.75" customHeight="1" x14ac:dyDescent="0.3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84"/>
      <c r="M972" s="30"/>
      <c r="N972" s="39"/>
      <c r="O972" s="30"/>
      <c r="P972" s="50"/>
      <c r="Q972" s="49"/>
    </row>
    <row r="973" spans="1:17" ht="15.75" customHeight="1" x14ac:dyDescent="0.3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84"/>
      <c r="M973" s="30"/>
      <c r="N973" s="39"/>
      <c r="O973" s="30"/>
      <c r="P973" s="50"/>
      <c r="Q973" s="49"/>
    </row>
    <row r="974" spans="1:17" ht="15.75" customHeight="1" x14ac:dyDescent="0.3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84"/>
      <c r="M974" s="30"/>
      <c r="N974" s="39"/>
      <c r="O974" s="30"/>
      <c r="P974" s="50"/>
      <c r="Q974" s="49"/>
    </row>
    <row r="975" spans="1:17" ht="15.75" customHeight="1" x14ac:dyDescent="0.3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84"/>
      <c r="M975" s="30"/>
      <c r="N975" s="39"/>
      <c r="O975" s="30"/>
      <c r="P975" s="50"/>
      <c r="Q975" s="49"/>
    </row>
    <row r="976" spans="1:17" ht="15.75" customHeight="1" x14ac:dyDescent="0.3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84"/>
      <c r="M976" s="30"/>
      <c r="N976" s="39"/>
      <c r="O976" s="30"/>
      <c r="P976" s="50"/>
      <c r="Q976" s="49"/>
    </row>
    <row r="977" spans="1:17" ht="15.75" customHeight="1" x14ac:dyDescent="0.3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84"/>
      <c r="M977" s="30"/>
      <c r="N977" s="39"/>
      <c r="O977" s="30"/>
      <c r="P977" s="50"/>
      <c r="Q977" s="49"/>
    </row>
    <row r="978" spans="1:17" ht="15.75" customHeight="1" x14ac:dyDescent="0.3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84"/>
      <c r="M978" s="30"/>
      <c r="N978" s="39"/>
      <c r="O978" s="30"/>
      <c r="P978" s="50"/>
      <c r="Q978" s="49"/>
    </row>
    <row r="979" spans="1:17" ht="15.75" customHeight="1" x14ac:dyDescent="0.3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84"/>
      <c r="M979" s="30"/>
      <c r="N979" s="39"/>
      <c r="O979" s="30"/>
      <c r="P979" s="50"/>
      <c r="Q979" s="49"/>
    </row>
    <row r="980" spans="1:17" ht="15.75" customHeight="1" x14ac:dyDescent="0.3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84"/>
      <c r="M980" s="30"/>
      <c r="N980" s="39"/>
      <c r="O980" s="30"/>
      <c r="P980" s="50"/>
      <c r="Q980" s="49"/>
    </row>
    <row r="981" spans="1:17" ht="15.75" customHeight="1" x14ac:dyDescent="0.3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84"/>
      <c r="M981" s="30"/>
      <c r="N981" s="39"/>
      <c r="O981" s="30"/>
      <c r="P981" s="50"/>
      <c r="Q981" s="49"/>
    </row>
    <row r="982" spans="1:17" ht="15.75" customHeight="1" x14ac:dyDescent="0.3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84"/>
      <c r="M982" s="30"/>
      <c r="N982" s="39"/>
      <c r="O982" s="30"/>
      <c r="P982" s="50"/>
      <c r="Q982" s="49"/>
    </row>
    <row r="983" spans="1:17" ht="15.75" customHeight="1" x14ac:dyDescent="0.35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84"/>
      <c r="M983" s="30"/>
      <c r="N983" s="39"/>
      <c r="O983" s="30"/>
      <c r="P983" s="50"/>
      <c r="Q983" s="49"/>
    </row>
    <row r="984" spans="1:17" ht="15.75" customHeight="1" x14ac:dyDescent="0.3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84"/>
      <c r="M984" s="30"/>
      <c r="N984" s="39"/>
      <c r="O984" s="30"/>
      <c r="P984" s="50"/>
      <c r="Q984" s="49"/>
    </row>
    <row r="985" spans="1:17" ht="15.75" customHeight="1" x14ac:dyDescent="0.3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84"/>
      <c r="M985" s="30"/>
      <c r="N985" s="39"/>
      <c r="O985" s="30"/>
      <c r="P985" s="50"/>
      <c r="Q985" s="49"/>
    </row>
    <row r="986" spans="1:17" ht="15.75" customHeight="1" x14ac:dyDescent="0.3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84"/>
      <c r="M986" s="30"/>
      <c r="N986" s="39"/>
      <c r="O986" s="30"/>
      <c r="P986" s="50"/>
      <c r="Q986" s="49"/>
    </row>
    <row r="987" spans="1:17" ht="15.75" customHeight="1" x14ac:dyDescent="0.35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84"/>
      <c r="M987" s="30"/>
      <c r="N987" s="39"/>
      <c r="O987" s="30"/>
      <c r="P987" s="50"/>
      <c r="Q987" s="49"/>
    </row>
    <row r="988" spans="1:17" ht="15.75" customHeight="1" x14ac:dyDescent="0.3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84"/>
      <c r="M988" s="30"/>
      <c r="N988" s="39"/>
      <c r="O988" s="30"/>
      <c r="P988" s="50"/>
      <c r="Q988" s="49"/>
    </row>
    <row r="989" spans="1:17" ht="15.75" customHeight="1" x14ac:dyDescent="0.3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84"/>
      <c r="M989" s="30"/>
      <c r="N989" s="39"/>
      <c r="O989" s="30"/>
      <c r="P989" s="50"/>
      <c r="Q989" s="49"/>
    </row>
    <row r="990" spans="1:17" ht="15.75" customHeight="1" x14ac:dyDescent="0.3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84"/>
      <c r="M990" s="30"/>
      <c r="N990" s="39"/>
      <c r="O990" s="30"/>
      <c r="P990" s="50"/>
      <c r="Q990" s="49"/>
    </row>
    <row r="991" spans="1:17" ht="15.75" customHeight="1" x14ac:dyDescent="0.3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84"/>
      <c r="M991" s="30"/>
      <c r="N991" s="39"/>
      <c r="O991" s="30"/>
      <c r="P991" s="50"/>
      <c r="Q991" s="49"/>
    </row>
    <row r="992" spans="1:17" ht="15.75" customHeight="1" x14ac:dyDescent="0.3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84"/>
      <c r="M992" s="30"/>
      <c r="N992" s="39"/>
      <c r="O992" s="30"/>
      <c r="P992" s="50"/>
      <c r="Q992" s="49"/>
    </row>
    <row r="993" spans="1:17" ht="15.75" customHeight="1" x14ac:dyDescent="0.3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84"/>
      <c r="M993" s="30"/>
      <c r="N993" s="39"/>
      <c r="O993" s="30"/>
      <c r="P993" s="50"/>
      <c r="Q993" s="49"/>
    </row>
    <row r="994" spans="1:17" ht="15.75" customHeight="1" x14ac:dyDescent="0.3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84"/>
      <c r="M994" s="30"/>
      <c r="N994" s="39"/>
      <c r="O994" s="30"/>
      <c r="P994" s="50"/>
      <c r="Q994" s="49"/>
    </row>
    <row r="995" spans="1:17" ht="15.75" customHeight="1" x14ac:dyDescent="0.3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84"/>
      <c r="M995" s="30"/>
      <c r="N995" s="39"/>
      <c r="O995" s="30"/>
      <c r="P995" s="50"/>
      <c r="Q995" s="49"/>
    </row>
    <row r="996" spans="1:17" ht="15.75" customHeight="1" x14ac:dyDescent="0.3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84"/>
      <c r="M996" s="30"/>
      <c r="N996" s="39"/>
      <c r="O996" s="30"/>
      <c r="P996" s="50"/>
      <c r="Q996" s="49"/>
    </row>
    <row r="997" spans="1:17" ht="15.75" customHeight="1" x14ac:dyDescent="0.35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84"/>
      <c r="M997" s="30"/>
      <c r="N997" s="39"/>
      <c r="O997" s="30"/>
      <c r="P997" s="50"/>
      <c r="Q997" s="49"/>
    </row>
    <row r="998" spans="1:17" ht="15.75" customHeight="1" x14ac:dyDescent="0.3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84"/>
      <c r="M998" s="30"/>
      <c r="N998" s="39"/>
      <c r="O998" s="30"/>
      <c r="P998" s="50"/>
      <c r="Q998" s="49"/>
    </row>
  </sheetData>
  <autoFilter ref="A2:Q103" xr:uid="{00000000-0009-0000-0000-000001000000}">
    <sortState xmlns:xlrd2="http://schemas.microsoft.com/office/spreadsheetml/2017/richdata2" ref="A3:Q87">
      <sortCondition ref="B2:B103"/>
    </sortState>
  </autoFilter>
  <pageMargins left="0.7" right="0.7" top="0.75" bottom="0.75" header="0" footer="0"/>
  <pageSetup paperSize="8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8FF02-47C7-453B-B3AA-B9CCA22EF981}">
  <dimension ref="A1:T999"/>
  <sheetViews>
    <sheetView zoomScaleNormal="100" workbookViewId="0">
      <selection activeCell="U6" sqref="U6"/>
    </sheetView>
  </sheetViews>
  <sheetFormatPr defaultColWidth="14.453125" defaultRowHeight="15" customHeight="1" x14ac:dyDescent="0.35"/>
  <cols>
    <col min="1" max="1" width="22" customWidth="1"/>
    <col min="2" max="2" width="5.26953125" customWidth="1"/>
    <col min="3" max="3" width="7.36328125" customWidth="1"/>
    <col min="4" max="9" width="7.7265625" hidden="1" customWidth="1"/>
    <col min="10" max="10" width="7.7265625" customWidth="1"/>
    <col min="11" max="11" width="9" customWidth="1"/>
    <col min="12" max="13" width="9" style="68" customWidth="1"/>
    <col min="14" max="14" width="10.54296875" customWidth="1"/>
    <col min="15" max="15" width="10.1796875" customWidth="1"/>
    <col min="16" max="16" width="9.7265625" customWidth="1"/>
    <col min="17" max="17" width="4.81640625" style="62" customWidth="1"/>
    <col min="18" max="18" width="10.26953125" customWidth="1"/>
    <col min="19" max="22" width="8.7265625" customWidth="1"/>
  </cols>
  <sheetData>
    <row r="1" spans="1:20" ht="44.25" customHeight="1" x14ac:dyDescent="0.35">
      <c r="A1" s="51" t="s">
        <v>125</v>
      </c>
      <c r="B1" s="40"/>
      <c r="C1" s="40"/>
      <c r="D1" s="41"/>
      <c r="E1" s="42"/>
      <c r="F1" s="41"/>
      <c r="G1" s="43"/>
      <c r="H1" s="43"/>
      <c r="I1" s="41"/>
      <c r="J1" s="42"/>
      <c r="K1" s="43"/>
      <c r="L1" s="83"/>
      <c r="M1" s="83"/>
      <c r="O1" s="39"/>
      <c r="P1" s="44"/>
      <c r="Q1" s="45"/>
      <c r="R1" s="65" t="s">
        <v>159</v>
      </c>
    </row>
    <row r="2" spans="1:20" s="68" customFormat="1" ht="20.5" customHeight="1" thickBot="1" x14ac:dyDescent="0.4">
      <c r="A2" s="118" t="s">
        <v>164</v>
      </c>
      <c r="B2" s="111"/>
      <c r="C2" s="111"/>
      <c r="D2" s="112"/>
      <c r="E2" s="113"/>
      <c r="F2" s="112"/>
      <c r="G2" s="83"/>
      <c r="H2" s="83"/>
      <c r="I2" s="112"/>
      <c r="J2" s="113"/>
      <c r="K2" s="83"/>
      <c r="L2" s="83"/>
      <c r="M2" s="83"/>
      <c r="O2" s="114"/>
      <c r="P2" s="115"/>
      <c r="Q2" s="116"/>
      <c r="R2" s="117"/>
    </row>
    <row r="3" spans="1:20" ht="42" customHeight="1" thickBot="1" x14ac:dyDescent="0.4">
      <c r="A3" s="100" t="s">
        <v>12</v>
      </c>
      <c r="B3" s="101" t="s">
        <v>13</v>
      </c>
      <c r="C3" s="101" t="s">
        <v>14</v>
      </c>
      <c r="D3" s="105" t="s">
        <v>127</v>
      </c>
      <c r="E3" s="105" t="s">
        <v>8</v>
      </c>
      <c r="F3" s="105" t="s">
        <v>9</v>
      </c>
      <c r="G3" s="105" t="s">
        <v>10</v>
      </c>
      <c r="H3" s="105" t="s">
        <v>11</v>
      </c>
      <c r="I3" s="106" t="s">
        <v>128</v>
      </c>
      <c r="J3" s="105" t="s">
        <v>129</v>
      </c>
      <c r="K3" s="105" t="s">
        <v>139</v>
      </c>
      <c r="L3" s="105" t="s">
        <v>151</v>
      </c>
      <c r="M3" s="105" t="s">
        <v>158</v>
      </c>
      <c r="N3" s="105" t="s">
        <v>130</v>
      </c>
      <c r="O3" s="107" t="s">
        <v>163</v>
      </c>
      <c r="P3" s="108" t="s">
        <v>160</v>
      </c>
      <c r="Q3" s="109" t="s">
        <v>132</v>
      </c>
      <c r="R3" s="110" t="s">
        <v>161</v>
      </c>
    </row>
    <row r="4" spans="1:20" ht="14.5" x14ac:dyDescent="0.35">
      <c r="A4" s="95" t="s">
        <v>75</v>
      </c>
      <c r="B4" s="96" t="s">
        <v>58</v>
      </c>
      <c r="C4" s="96" t="s">
        <v>59</v>
      </c>
      <c r="D4" s="96"/>
      <c r="E4" s="96"/>
      <c r="F4" s="96">
        <v>110</v>
      </c>
      <c r="G4" s="96">
        <v>106</v>
      </c>
      <c r="H4" s="96">
        <v>114</v>
      </c>
      <c r="I4" s="102"/>
      <c r="J4" s="96"/>
      <c r="K4" s="96">
        <v>117</v>
      </c>
      <c r="L4" s="97"/>
      <c r="M4" s="97">
        <v>118</v>
      </c>
      <c r="N4" s="103">
        <f>AVERAGE(D4:L4)</f>
        <v>111.75</v>
      </c>
      <c r="O4" s="103">
        <f t="shared" ref="O4:O12" si="0">MIN(13.2, MAX(0, 120 - N4) * 0.66)</f>
        <v>5.4450000000000003</v>
      </c>
      <c r="P4" s="98">
        <f t="shared" ref="P4:P35" si="1">M4</f>
        <v>118</v>
      </c>
      <c r="Q4" s="99">
        <v>10</v>
      </c>
      <c r="R4" s="104">
        <f t="shared" ref="R4:R35" si="2">IF(ISBLANK(M4), 0, M4 + O4)</f>
        <v>123.44499999999999</v>
      </c>
    </row>
    <row r="5" spans="1:20" ht="14.5" x14ac:dyDescent="0.35">
      <c r="A5" s="54" t="s">
        <v>76</v>
      </c>
      <c r="B5" s="55" t="s">
        <v>58</v>
      </c>
      <c r="C5" s="55" t="s">
        <v>134</v>
      </c>
      <c r="D5" s="55"/>
      <c r="E5" s="55">
        <v>113</v>
      </c>
      <c r="F5" s="55">
        <v>111</v>
      </c>
      <c r="G5" s="55">
        <v>113</v>
      </c>
      <c r="H5" s="55">
        <v>101</v>
      </c>
      <c r="I5" s="70"/>
      <c r="J5" s="55">
        <v>112</v>
      </c>
      <c r="K5" s="55">
        <v>115</v>
      </c>
      <c r="L5" s="80">
        <v>103</v>
      </c>
      <c r="M5" s="80">
        <v>116</v>
      </c>
      <c r="N5" s="69">
        <f>AVERAGE(D5:M5)</f>
        <v>110.5</v>
      </c>
      <c r="O5" s="69">
        <f t="shared" si="0"/>
        <v>6.2700000000000005</v>
      </c>
      <c r="P5" s="58">
        <f t="shared" si="1"/>
        <v>116</v>
      </c>
      <c r="Q5" s="85">
        <v>10</v>
      </c>
      <c r="R5" s="59">
        <f t="shared" si="2"/>
        <v>122.27</v>
      </c>
    </row>
    <row r="6" spans="1:20" ht="14.5" x14ac:dyDescent="0.35">
      <c r="A6" s="54" t="s">
        <v>101</v>
      </c>
      <c r="B6" s="55" t="s">
        <v>58</v>
      </c>
      <c r="C6" s="55" t="s">
        <v>144</v>
      </c>
      <c r="D6" s="55">
        <v>116</v>
      </c>
      <c r="E6" s="55">
        <v>116</v>
      </c>
      <c r="F6" s="55">
        <v>117</v>
      </c>
      <c r="G6" s="55">
        <v>120</v>
      </c>
      <c r="H6" s="55">
        <v>109</v>
      </c>
      <c r="I6" s="70"/>
      <c r="J6" s="55">
        <v>113</v>
      </c>
      <c r="K6" s="55">
        <v>120</v>
      </c>
      <c r="L6" s="80">
        <v>112</v>
      </c>
      <c r="M6" s="80">
        <v>119</v>
      </c>
      <c r="N6" s="69">
        <f>AVERAGE(D6:M6)</f>
        <v>115.77777777777777</v>
      </c>
      <c r="O6" s="69">
        <f t="shared" si="0"/>
        <v>2.7866666666666711</v>
      </c>
      <c r="P6" s="58">
        <f t="shared" si="1"/>
        <v>119</v>
      </c>
      <c r="Q6" s="85">
        <v>8</v>
      </c>
      <c r="R6" s="59">
        <f t="shared" si="2"/>
        <v>121.78666666666668</v>
      </c>
    </row>
    <row r="7" spans="1:20" ht="14.5" x14ac:dyDescent="0.35">
      <c r="A7" s="54" t="s">
        <v>74</v>
      </c>
      <c r="B7" s="55" t="s">
        <v>58</v>
      </c>
      <c r="C7" s="55" t="s">
        <v>59</v>
      </c>
      <c r="D7" s="55">
        <v>118</v>
      </c>
      <c r="E7" s="55">
        <v>116</v>
      </c>
      <c r="F7" s="55">
        <v>120</v>
      </c>
      <c r="G7" s="55"/>
      <c r="H7" s="55">
        <v>110</v>
      </c>
      <c r="I7" s="70"/>
      <c r="J7" s="55"/>
      <c r="K7" s="55"/>
      <c r="L7" s="80">
        <v>120</v>
      </c>
      <c r="M7" s="80">
        <v>119</v>
      </c>
      <c r="N7" s="69">
        <f>AVERAGE(D7:L7)</f>
        <v>116.8</v>
      </c>
      <c r="O7" s="69">
        <f t="shared" si="0"/>
        <v>2.1120000000000019</v>
      </c>
      <c r="P7" s="58">
        <f t="shared" si="1"/>
        <v>119</v>
      </c>
      <c r="Q7" s="85">
        <v>13</v>
      </c>
      <c r="R7" s="59">
        <f t="shared" si="2"/>
        <v>121.11199999999999</v>
      </c>
    </row>
    <row r="8" spans="1:20" ht="14.5" x14ac:dyDescent="0.35">
      <c r="A8" s="54" t="s">
        <v>118</v>
      </c>
      <c r="B8" s="55" t="s">
        <v>58</v>
      </c>
      <c r="C8" s="55" t="s">
        <v>134</v>
      </c>
      <c r="D8" s="55">
        <v>114</v>
      </c>
      <c r="E8" s="55"/>
      <c r="F8" s="55">
        <v>107</v>
      </c>
      <c r="G8" s="55">
        <v>111</v>
      </c>
      <c r="H8" s="55"/>
      <c r="I8" s="70"/>
      <c r="J8" s="55"/>
      <c r="K8" s="55">
        <v>112</v>
      </c>
      <c r="L8" s="80">
        <v>100</v>
      </c>
      <c r="M8" s="80">
        <v>112</v>
      </c>
      <c r="N8" s="69">
        <f>AVERAGE(D8:L8)</f>
        <v>108.8</v>
      </c>
      <c r="O8" s="69">
        <f t="shared" si="0"/>
        <v>7.3920000000000021</v>
      </c>
      <c r="P8" s="58">
        <f t="shared" si="1"/>
        <v>112</v>
      </c>
      <c r="Q8" s="85">
        <v>5</v>
      </c>
      <c r="R8" s="59">
        <f t="shared" si="2"/>
        <v>119.392</v>
      </c>
    </row>
    <row r="9" spans="1:20" ht="14.5" x14ac:dyDescent="0.35">
      <c r="A9" s="54" t="s">
        <v>70</v>
      </c>
      <c r="B9" s="55" t="s">
        <v>58</v>
      </c>
      <c r="C9" s="55" t="s">
        <v>59</v>
      </c>
      <c r="D9" s="55">
        <v>116</v>
      </c>
      <c r="E9" s="55"/>
      <c r="F9" s="55"/>
      <c r="G9" s="55">
        <v>110</v>
      </c>
      <c r="H9" s="55">
        <v>106</v>
      </c>
      <c r="I9" s="70"/>
      <c r="J9" s="55">
        <v>105</v>
      </c>
      <c r="K9" s="55">
        <v>118</v>
      </c>
      <c r="L9" s="80">
        <v>97</v>
      </c>
      <c r="M9" s="80">
        <v>112</v>
      </c>
      <c r="N9" s="69">
        <f>AVERAGE(D9:M9)</f>
        <v>109.14285714285714</v>
      </c>
      <c r="O9" s="69">
        <f t="shared" si="0"/>
        <v>7.165714285714289</v>
      </c>
      <c r="P9" s="58">
        <f t="shared" si="1"/>
        <v>112</v>
      </c>
      <c r="Q9" s="85">
        <v>4</v>
      </c>
      <c r="R9" s="59">
        <f t="shared" si="2"/>
        <v>119.16571428571429</v>
      </c>
    </row>
    <row r="10" spans="1:20" ht="14.5" x14ac:dyDescent="0.35">
      <c r="A10" s="54" t="s">
        <v>31</v>
      </c>
      <c r="B10" s="55" t="s">
        <v>58</v>
      </c>
      <c r="C10" s="55" t="s">
        <v>134</v>
      </c>
      <c r="D10" s="55">
        <v>114</v>
      </c>
      <c r="E10" s="55">
        <v>116</v>
      </c>
      <c r="F10" s="55"/>
      <c r="G10" s="55">
        <v>112</v>
      </c>
      <c r="H10" s="55"/>
      <c r="I10" s="70"/>
      <c r="J10" s="55"/>
      <c r="K10" s="55">
        <v>115</v>
      </c>
      <c r="L10" s="80">
        <v>100</v>
      </c>
      <c r="M10" s="80">
        <v>113</v>
      </c>
      <c r="N10" s="69">
        <f>AVERAGE(D10:L10)</f>
        <v>111.4</v>
      </c>
      <c r="O10" s="69">
        <f t="shared" si="0"/>
        <v>5.6759999999999966</v>
      </c>
      <c r="P10" s="58">
        <f t="shared" si="1"/>
        <v>113</v>
      </c>
      <c r="Q10" s="85">
        <v>11</v>
      </c>
      <c r="R10" s="59">
        <f t="shared" si="2"/>
        <v>118.676</v>
      </c>
    </row>
    <row r="11" spans="1:20" ht="14.5" x14ac:dyDescent="0.35">
      <c r="A11" s="54" t="s">
        <v>61</v>
      </c>
      <c r="B11" s="55" t="s">
        <v>58</v>
      </c>
      <c r="C11" s="55" t="s">
        <v>59</v>
      </c>
      <c r="D11" s="55"/>
      <c r="E11" s="55"/>
      <c r="F11" s="55"/>
      <c r="G11" s="55"/>
      <c r="H11" s="55">
        <v>112</v>
      </c>
      <c r="I11" s="70"/>
      <c r="J11" s="55">
        <v>109</v>
      </c>
      <c r="K11" s="55">
        <v>118</v>
      </c>
      <c r="L11" s="80">
        <v>109</v>
      </c>
      <c r="M11" s="80">
        <v>111</v>
      </c>
      <c r="N11" s="69">
        <f>AVERAGE(D11:M11)</f>
        <v>111.8</v>
      </c>
      <c r="O11" s="69">
        <f t="shared" si="0"/>
        <v>5.4120000000000017</v>
      </c>
      <c r="P11" s="58">
        <f t="shared" si="1"/>
        <v>111</v>
      </c>
      <c r="Q11" s="85">
        <v>2</v>
      </c>
      <c r="R11" s="59">
        <f t="shared" si="2"/>
        <v>116.41200000000001</v>
      </c>
    </row>
    <row r="12" spans="1:20" ht="14.5" x14ac:dyDescent="0.35">
      <c r="A12" s="54" t="s">
        <v>47</v>
      </c>
      <c r="B12" s="55" t="s">
        <v>58</v>
      </c>
      <c r="C12" s="55" t="s">
        <v>134</v>
      </c>
      <c r="D12" s="55"/>
      <c r="E12" s="55"/>
      <c r="F12" s="55"/>
      <c r="G12" s="55"/>
      <c r="H12" s="55">
        <v>107</v>
      </c>
      <c r="I12" s="70"/>
      <c r="J12" s="55"/>
      <c r="K12" s="55"/>
      <c r="L12" s="80"/>
      <c r="M12" s="80">
        <v>106</v>
      </c>
      <c r="N12" s="69">
        <f>AVERAGE(D12:L12)</f>
        <v>107</v>
      </c>
      <c r="O12" s="69">
        <f t="shared" si="0"/>
        <v>8.58</v>
      </c>
      <c r="P12" s="58">
        <f t="shared" si="1"/>
        <v>106</v>
      </c>
      <c r="Q12" s="85">
        <v>5</v>
      </c>
      <c r="R12" s="59">
        <f t="shared" si="2"/>
        <v>114.58</v>
      </c>
    </row>
    <row r="13" spans="1:20" ht="14.5" x14ac:dyDescent="0.35">
      <c r="A13" s="54" t="s">
        <v>19</v>
      </c>
      <c r="B13" s="55" t="s">
        <v>162</v>
      </c>
      <c r="C13" s="55" t="s">
        <v>134</v>
      </c>
      <c r="D13" s="55">
        <v>95</v>
      </c>
      <c r="E13" s="55"/>
      <c r="F13" s="55">
        <v>86</v>
      </c>
      <c r="G13" s="55">
        <v>95</v>
      </c>
      <c r="H13" s="55">
        <v>86</v>
      </c>
      <c r="I13" s="70"/>
      <c r="J13" s="55"/>
      <c r="K13" s="55"/>
      <c r="L13" s="80">
        <v>96</v>
      </c>
      <c r="M13" s="80">
        <v>99</v>
      </c>
      <c r="N13" s="69">
        <f>AVERAGE(D13:L13)</f>
        <v>91.6</v>
      </c>
      <c r="O13" s="69">
        <f t="shared" ref="O13:O15" si="3">MIN(13.2, MAX(0, 100 - N13) * 0.66)</f>
        <v>5.544000000000004</v>
      </c>
      <c r="P13" s="58">
        <f t="shared" si="1"/>
        <v>99</v>
      </c>
      <c r="Q13" s="85">
        <v>9</v>
      </c>
      <c r="R13" s="59">
        <f t="shared" si="2"/>
        <v>104.54400000000001</v>
      </c>
    </row>
    <row r="14" spans="1:20" ht="14.5" x14ac:dyDescent="0.35">
      <c r="A14" s="54" t="s">
        <v>72</v>
      </c>
      <c r="B14" s="55" t="s">
        <v>162</v>
      </c>
      <c r="C14" s="55" t="s">
        <v>59</v>
      </c>
      <c r="D14" s="55">
        <v>98</v>
      </c>
      <c r="E14" s="55">
        <v>91</v>
      </c>
      <c r="F14" s="55">
        <v>96</v>
      </c>
      <c r="G14" s="55"/>
      <c r="H14" s="55">
        <v>93</v>
      </c>
      <c r="I14" s="70"/>
      <c r="J14" s="55"/>
      <c r="K14" s="55">
        <v>98</v>
      </c>
      <c r="L14" s="80">
        <v>87</v>
      </c>
      <c r="M14" s="80">
        <v>100</v>
      </c>
      <c r="N14" s="69">
        <f>AVERAGE(D14:M14)</f>
        <v>94.714285714285708</v>
      </c>
      <c r="O14" s="69">
        <f t="shared" si="3"/>
        <v>3.4885714285714329</v>
      </c>
      <c r="P14" s="58">
        <f t="shared" si="1"/>
        <v>100</v>
      </c>
      <c r="Q14" s="85">
        <v>7</v>
      </c>
      <c r="R14" s="59">
        <f t="shared" si="2"/>
        <v>103.48857142857143</v>
      </c>
    </row>
    <row r="15" spans="1:20" ht="14.5" x14ac:dyDescent="0.35">
      <c r="A15" s="87" t="s">
        <v>50</v>
      </c>
      <c r="B15" s="55" t="s">
        <v>162</v>
      </c>
      <c r="C15" s="55" t="s">
        <v>134</v>
      </c>
      <c r="D15" s="55">
        <v>99</v>
      </c>
      <c r="E15" s="55">
        <v>98</v>
      </c>
      <c r="F15" s="55">
        <v>97</v>
      </c>
      <c r="G15" s="55">
        <v>97</v>
      </c>
      <c r="H15" s="55">
        <v>94</v>
      </c>
      <c r="I15" s="70"/>
      <c r="J15" s="55">
        <v>98</v>
      </c>
      <c r="K15" s="55">
        <v>99</v>
      </c>
      <c r="L15" s="80">
        <v>95</v>
      </c>
      <c r="M15" s="80">
        <v>100</v>
      </c>
      <c r="N15" s="69">
        <f>AVERAGE(D15:M15)</f>
        <v>97.444444444444443</v>
      </c>
      <c r="O15" s="69">
        <f t="shared" si="3"/>
        <v>1.6866666666666679</v>
      </c>
      <c r="P15" s="58">
        <f t="shared" si="1"/>
        <v>100</v>
      </c>
      <c r="Q15" s="85">
        <v>14</v>
      </c>
      <c r="R15" s="59">
        <f t="shared" si="2"/>
        <v>101.68666666666667</v>
      </c>
    </row>
    <row r="16" spans="1:20" ht="14.5" x14ac:dyDescent="0.35">
      <c r="A16" s="54" t="s">
        <v>97</v>
      </c>
      <c r="B16" s="55" t="s">
        <v>28</v>
      </c>
      <c r="C16" s="55" t="s">
        <v>95</v>
      </c>
      <c r="D16" s="55">
        <v>98</v>
      </c>
      <c r="E16" s="55">
        <v>98</v>
      </c>
      <c r="F16" s="55">
        <v>95</v>
      </c>
      <c r="G16" s="55">
        <v>96</v>
      </c>
      <c r="H16" s="55">
        <v>90</v>
      </c>
      <c r="I16" s="70"/>
      <c r="J16" s="55">
        <v>99</v>
      </c>
      <c r="K16" s="55">
        <v>94</v>
      </c>
      <c r="L16" s="80">
        <v>85</v>
      </c>
      <c r="M16" s="80">
        <v>98</v>
      </c>
      <c r="N16" s="69">
        <f>AVERAGE(D16:L16)</f>
        <v>94.375</v>
      </c>
      <c r="O16" s="69">
        <f t="shared" ref="O16:O30" si="4">MIN(13.2, MAX(0, 100 - N16) * 0.66)</f>
        <v>3.7125000000000004</v>
      </c>
      <c r="P16" s="58">
        <f t="shared" ref="P16:P30" si="5">M16</f>
        <v>98</v>
      </c>
      <c r="Q16" s="85">
        <v>11</v>
      </c>
      <c r="R16" s="59">
        <f t="shared" si="2"/>
        <v>101.71250000000001</v>
      </c>
      <c r="T16" s="82"/>
    </row>
    <row r="17" spans="1:18" ht="14.5" x14ac:dyDescent="0.35">
      <c r="A17" s="54" t="s">
        <v>71</v>
      </c>
      <c r="B17" s="55" t="s">
        <v>162</v>
      </c>
      <c r="C17" s="55" t="s">
        <v>59</v>
      </c>
      <c r="D17" s="55">
        <v>88</v>
      </c>
      <c r="E17" s="55">
        <v>82</v>
      </c>
      <c r="F17" s="55"/>
      <c r="G17" s="55"/>
      <c r="H17" s="55"/>
      <c r="I17" s="70"/>
      <c r="J17" s="55"/>
      <c r="K17" s="55">
        <v>99</v>
      </c>
      <c r="L17" s="80">
        <v>92</v>
      </c>
      <c r="M17" s="80">
        <v>95</v>
      </c>
      <c r="N17" s="69">
        <f>AVERAGE(D17:L17)</f>
        <v>90.25</v>
      </c>
      <c r="O17" s="69">
        <f t="shared" si="4"/>
        <v>6.4350000000000005</v>
      </c>
      <c r="P17" s="58">
        <f t="shared" si="5"/>
        <v>95</v>
      </c>
      <c r="Q17" s="85">
        <v>7</v>
      </c>
      <c r="R17" s="59">
        <f t="shared" si="2"/>
        <v>101.435</v>
      </c>
    </row>
    <row r="18" spans="1:18" ht="14.5" x14ac:dyDescent="0.35">
      <c r="A18" s="54" t="s">
        <v>65</v>
      </c>
      <c r="B18" s="55" t="s">
        <v>162</v>
      </c>
      <c r="C18" s="55" t="s">
        <v>59</v>
      </c>
      <c r="D18" s="55">
        <v>98</v>
      </c>
      <c r="E18" s="55"/>
      <c r="F18" s="55">
        <v>100</v>
      </c>
      <c r="G18" s="55"/>
      <c r="H18" s="55"/>
      <c r="I18" s="70"/>
      <c r="J18" s="55">
        <v>98</v>
      </c>
      <c r="K18" s="55">
        <v>100</v>
      </c>
      <c r="L18" s="80">
        <v>94</v>
      </c>
      <c r="M18" s="80">
        <v>100</v>
      </c>
      <c r="N18" s="69">
        <f>AVERAGE(D18:M18)</f>
        <v>98.333333333333329</v>
      </c>
      <c r="O18" s="69">
        <f t="shared" si="4"/>
        <v>1.1000000000000032</v>
      </c>
      <c r="P18" s="58">
        <f t="shared" si="5"/>
        <v>100</v>
      </c>
      <c r="Q18" s="85">
        <v>13</v>
      </c>
      <c r="R18" s="59">
        <f t="shared" si="2"/>
        <v>101.10000000000001</v>
      </c>
    </row>
    <row r="19" spans="1:18" ht="14.5" x14ac:dyDescent="0.35">
      <c r="A19" s="54" t="s">
        <v>73</v>
      </c>
      <c r="B19" s="55" t="s">
        <v>162</v>
      </c>
      <c r="C19" s="55" t="s">
        <v>59</v>
      </c>
      <c r="D19" s="55"/>
      <c r="E19" s="55">
        <v>97</v>
      </c>
      <c r="F19" s="55">
        <v>100</v>
      </c>
      <c r="G19" s="55"/>
      <c r="H19" s="55"/>
      <c r="I19" s="70"/>
      <c r="J19" s="55"/>
      <c r="K19" s="55"/>
      <c r="L19" s="80"/>
      <c r="M19" s="80">
        <v>100</v>
      </c>
      <c r="N19" s="69">
        <f>AVERAGE(D19:L19)</f>
        <v>98.5</v>
      </c>
      <c r="O19" s="69">
        <f t="shared" si="4"/>
        <v>0.99</v>
      </c>
      <c r="P19" s="58">
        <f t="shared" si="5"/>
        <v>100</v>
      </c>
      <c r="Q19" s="85">
        <v>17</v>
      </c>
      <c r="R19" s="59">
        <f t="shared" si="2"/>
        <v>100.99</v>
      </c>
    </row>
    <row r="20" spans="1:18" ht="15.75" customHeight="1" x14ac:dyDescent="0.35">
      <c r="A20" s="54" t="s">
        <v>39</v>
      </c>
      <c r="B20" s="55" t="s">
        <v>162</v>
      </c>
      <c r="C20" s="55" t="s">
        <v>134</v>
      </c>
      <c r="D20" s="55"/>
      <c r="E20" s="55">
        <v>98</v>
      </c>
      <c r="F20" s="55"/>
      <c r="G20" s="55"/>
      <c r="H20" s="55"/>
      <c r="I20" s="70"/>
      <c r="J20" s="55"/>
      <c r="K20" s="55">
        <v>99</v>
      </c>
      <c r="L20" s="80"/>
      <c r="M20" s="80">
        <v>100</v>
      </c>
      <c r="N20" s="69">
        <f>AVERAGE(D20:L20)</f>
        <v>98.5</v>
      </c>
      <c r="O20" s="69">
        <f t="shared" si="4"/>
        <v>0.99</v>
      </c>
      <c r="P20" s="58">
        <f t="shared" si="5"/>
        <v>100</v>
      </c>
      <c r="Q20" s="85">
        <v>15</v>
      </c>
      <c r="R20" s="59">
        <f t="shared" si="2"/>
        <v>100.99</v>
      </c>
    </row>
    <row r="21" spans="1:18" ht="15.75" customHeight="1" x14ac:dyDescent="0.35">
      <c r="A21" s="87" t="s">
        <v>81</v>
      </c>
      <c r="B21" s="55" t="s">
        <v>162</v>
      </c>
      <c r="C21" s="55" t="s">
        <v>59</v>
      </c>
      <c r="D21" s="55">
        <v>100</v>
      </c>
      <c r="E21" s="55">
        <v>100</v>
      </c>
      <c r="F21" s="55">
        <v>100</v>
      </c>
      <c r="G21" s="55"/>
      <c r="H21" s="55"/>
      <c r="I21" s="70"/>
      <c r="J21" s="55">
        <v>99</v>
      </c>
      <c r="K21" s="55">
        <v>100</v>
      </c>
      <c r="L21" s="80">
        <v>97</v>
      </c>
      <c r="M21" s="80">
        <v>100</v>
      </c>
      <c r="N21" s="69">
        <f>AVERAGE(D21:M21)</f>
        <v>99.428571428571431</v>
      </c>
      <c r="O21" s="69">
        <f t="shared" si="4"/>
        <v>0.37714285714285584</v>
      </c>
      <c r="P21" s="58">
        <f t="shared" si="5"/>
        <v>100</v>
      </c>
      <c r="Q21" s="85">
        <v>10</v>
      </c>
      <c r="R21" s="59">
        <f t="shared" si="2"/>
        <v>100.37714285714286</v>
      </c>
    </row>
    <row r="22" spans="1:18" ht="15.75" customHeight="1" x14ac:dyDescent="0.35">
      <c r="A22" s="54" t="s">
        <v>48</v>
      </c>
      <c r="B22" s="55" t="s">
        <v>162</v>
      </c>
      <c r="C22" s="55" t="s">
        <v>134</v>
      </c>
      <c r="D22" s="55">
        <v>98</v>
      </c>
      <c r="E22" s="55">
        <v>99</v>
      </c>
      <c r="F22" s="55">
        <v>99</v>
      </c>
      <c r="G22" s="55">
        <v>92</v>
      </c>
      <c r="H22" s="55">
        <v>96</v>
      </c>
      <c r="I22" s="70"/>
      <c r="J22" s="55">
        <v>98</v>
      </c>
      <c r="K22" s="55"/>
      <c r="L22" s="80">
        <v>92</v>
      </c>
      <c r="M22" s="80">
        <v>98</v>
      </c>
      <c r="N22" s="69">
        <f>AVERAGE(D22:M22)</f>
        <v>96.5</v>
      </c>
      <c r="O22" s="69">
        <f t="shared" si="4"/>
        <v>2.31</v>
      </c>
      <c r="P22" s="58">
        <f t="shared" si="5"/>
        <v>98</v>
      </c>
      <c r="Q22" s="85">
        <v>10</v>
      </c>
      <c r="R22" s="59">
        <f t="shared" si="2"/>
        <v>100.31</v>
      </c>
    </row>
    <row r="23" spans="1:18" ht="15.75" customHeight="1" x14ac:dyDescent="0.35">
      <c r="A23" s="54" t="s">
        <v>98</v>
      </c>
      <c r="B23" s="55" t="s">
        <v>28</v>
      </c>
      <c r="C23" s="55" t="s">
        <v>95</v>
      </c>
      <c r="D23" s="55">
        <v>95</v>
      </c>
      <c r="E23" s="55">
        <v>99</v>
      </c>
      <c r="F23" s="55"/>
      <c r="G23" s="55"/>
      <c r="H23" s="55">
        <v>98</v>
      </c>
      <c r="I23" s="70"/>
      <c r="J23" s="55">
        <v>97</v>
      </c>
      <c r="K23" s="55">
        <v>99</v>
      </c>
      <c r="L23" s="80">
        <v>85</v>
      </c>
      <c r="M23" s="80">
        <v>97</v>
      </c>
      <c r="N23" s="69">
        <f>AVERAGE(D23:L23)</f>
        <v>95.5</v>
      </c>
      <c r="O23" s="69">
        <f t="shared" si="4"/>
        <v>2.97</v>
      </c>
      <c r="P23" s="58">
        <f t="shared" si="5"/>
        <v>97</v>
      </c>
      <c r="Q23" s="85">
        <v>10</v>
      </c>
      <c r="R23" s="59">
        <f t="shared" si="2"/>
        <v>99.97</v>
      </c>
    </row>
    <row r="24" spans="1:18" ht="15.75" customHeight="1" x14ac:dyDescent="0.35">
      <c r="A24" s="54" t="s">
        <v>99</v>
      </c>
      <c r="B24" s="55" t="s">
        <v>28</v>
      </c>
      <c r="C24" s="55" t="s">
        <v>95</v>
      </c>
      <c r="D24" s="55">
        <v>95</v>
      </c>
      <c r="E24" s="55">
        <v>99</v>
      </c>
      <c r="F24" s="55">
        <v>97</v>
      </c>
      <c r="G24" s="55"/>
      <c r="H24" s="55"/>
      <c r="I24" s="70"/>
      <c r="J24" s="55">
        <v>83</v>
      </c>
      <c r="K24" s="55"/>
      <c r="L24" s="80"/>
      <c r="M24" s="80">
        <v>95</v>
      </c>
      <c r="N24" s="69">
        <f>AVERAGE(D24:L24)</f>
        <v>93.5</v>
      </c>
      <c r="O24" s="69">
        <f t="shared" si="4"/>
        <v>4.29</v>
      </c>
      <c r="P24" s="58">
        <f t="shared" si="5"/>
        <v>95</v>
      </c>
      <c r="Q24" s="85">
        <v>6</v>
      </c>
      <c r="R24" s="59">
        <f t="shared" si="2"/>
        <v>99.29</v>
      </c>
    </row>
    <row r="25" spans="1:18" ht="15.75" customHeight="1" x14ac:dyDescent="0.35">
      <c r="A25" s="54" t="s">
        <v>87</v>
      </c>
      <c r="B25" s="55" t="s">
        <v>28</v>
      </c>
      <c r="C25" s="55" t="s">
        <v>83</v>
      </c>
      <c r="D25" s="55">
        <v>94</v>
      </c>
      <c r="E25" s="55">
        <v>97</v>
      </c>
      <c r="F25" s="55">
        <v>100</v>
      </c>
      <c r="G25" s="55">
        <v>91</v>
      </c>
      <c r="H25" s="55">
        <v>89</v>
      </c>
      <c r="I25" s="70"/>
      <c r="J25" s="55"/>
      <c r="K25" s="55">
        <v>98</v>
      </c>
      <c r="L25" s="80">
        <v>94</v>
      </c>
      <c r="M25" s="80">
        <v>91</v>
      </c>
      <c r="N25" s="69">
        <f>AVERAGE(D25:L25)</f>
        <v>94.714285714285708</v>
      </c>
      <c r="O25" s="69">
        <f t="shared" si="4"/>
        <v>3.4885714285714329</v>
      </c>
      <c r="P25" s="58">
        <f t="shared" si="5"/>
        <v>91</v>
      </c>
      <c r="Q25" s="85">
        <v>6</v>
      </c>
      <c r="R25" s="59">
        <f t="shared" si="2"/>
        <v>94.488571428571433</v>
      </c>
    </row>
    <row r="26" spans="1:18" ht="15.75" customHeight="1" x14ac:dyDescent="0.35">
      <c r="A26" s="54" t="s">
        <v>150</v>
      </c>
      <c r="B26" s="55" t="s">
        <v>162</v>
      </c>
      <c r="C26" s="55" t="s">
        <v>134</v>
      </c>
      <c r="D26" s="55"/>
      <c r="E26" s="55"/>
      <c r="F26" s="55"/>
      <c r="G26" s="55"/>
      <c r="H26" s="55"/>
      <c r="I26" s="70"/>
      <c r="J26" s="55">
        <v>98</v>
      </c>
      <c r="K26" s="55">
        <v>98</v>
      </c>
      <c r="L26" s="80"/>
      <c r="M26" s="80">
        <v>97</v>
      </c>
      <c r="N26" s="69">
        <f>AVERAGE(D26:L26)</f>
        <v>98</v>
      </c>
      <c r="O26" s="69">
        <f t="shared" si="4"/>
        <v>1.32</v>
      </c>
      <c r="P26" s="58">
        <f t="shared" si="5"/>
        <v>97</v>
      </c>
      <c r="Q26" s="85">
        <v>8</v>
      </c>
      <c r="R26" s="59">
        <f t="shared" si="2"/>
        <v>98.32</v>
      </c>
    </row>
    <row r="27" spans="1:18" ht="15.75" customHeight="1" x14ac:dyDescent="0.35">
      <c r="A27" s="54" t="s">
        <v>40</v>
      </c>
      <c r="B27" s="55" t="s">
        <v>162</v>
      </c>
      <c r="C27" s="55" t="s">
        <v>134</v>
      </c>
      <c r="D27" s="55">
        <v>91</v>
      </c>
      <c r="E27" s="55">
        <v>93</v>
      </c>
      <c r="F27" s="55">
        <v>97</v>
      </c>
      <c r="G27" s="55">
        <v>95</v>
      </c>
      <c r="H27" s="55"/>
      <c r="I27" s="70"/>
      <c r="J27" s="55">
        <v>96</v>
      </c>
      <c r="K27" s="55">
        <v>96</v>
      </c>
      <c r="L27" s="80">
        <v>86</v>
      </c>
      <c r="M27" s="80">
        <v>94</v>
      </c>
      <c r="N27" s="69">
        <f>AVERAGE(D27:M27)</f>
        <v>93.5</v>
      </c>
      <c r="O27" s="69">
        <f t="shared" si="4"/>
        <v>4.29</v>
      </c>
      <c r="P27" s="58">
        <f t="shared" si="5"/>
        <v>94</v>
      </c>
      <c r="Q27" s="85">
        <v>14</v>
      </c>
      <c r="R27" s="59">
        <f t="shared" si="2"/>
        <v>98.29</v>
      </c>
    </row>
    <row r="28" spans="1:18" ht="15.75" customHeight="1" x14ac:dyDescent="0.35">
      <c r="A28" s="54" t="s">
        <v>78</v>
      </c>
      <c r="B28" s="55" t="s">
        <v>162</v>
      </c>
      <c r="C28" s="55" t="s">
        <v>59</v>
      </c>
      <c r="D28" s="55">
        <v>92</v>
      </c>
      <c r="E28" s="55">
        <v>88</v>
      </c>
      <c r="F28" s="55">
        <v>93</v>
      </c>
      <c r="G28" s="55"/>
      <c r="H28" s="55">
        <v>86</v>
      </c>
      <c r="I28" s="70"/>
      <c r="J28" s="55">
        <v>88</v>
      </c>
      <c r="K28" s="55">
        <v>86</v>
      </c>
      <c r="L28" s="80">
        <v>89</v>
      </c>
      <c r="M28" s="80">
        <v>89</v>
      </c>
      <c r="N28" s="69">
        <f>AVERAGE(D28:M28)</f>
        <v>88.875</v>
      </c>
      <c r="O28" s="69">
        <f t="shared" si="4"/>
        <v>7.3425000000000002</v>
      </c>
      <c r="P28" s="58">
        <f t="shared" si="5"/>
        <v>89</v>
      </c>
      <c r="Q28" s="85">
        <v>5</v>
      </c>
      <c r="R28" s="59">
        <f t="shared" si="2"/>
        <v>96.342500000000001</v>
      </c>
    </row>
    <row r="29" spans="1:18" ht="15.75" customHeight="1" x14ac:dyDescent="0.35">
      <c r="A29" s="54" t="s">
        <v>91</v>
      </c>
      <c r="B29" s="55" t="s">
        <v>28</v>
      </c>
      <c r="C29" s="55" t="s">
        <v>83</v>
      </c>
      <c r="D29" s="55"/>
      <c r="E29" s="55">
        <v>66</v>
      </c>
      <c r="F29" s="55"/>
      <c r="G29" s="55"/>
      <c r="H29" s="55"/>
      <c r="I29" s="70"/>
      <c r="J29" s="55"/>
      <c r="K29" s="55">
        <v>95</v>
      </c>
      <c r="L29" s="80">
        <v>91</v>
      </c>
      <c r="M29" s="80">
        <v>88</v>
      </c>
      <c r="N29" s="69">
        <f>AVERAGE(D29:L29)</f>
        <v>84</v>
      </c>
      <c r="O29" s="69">
        <f t="shared" si="4"/>
        <v>10.56</v>
      </c>
      <c r="P29" s="58">
        <f t="shared" si="5"/>
        <v>88</v>
      </c>
      <c r="Q29" s="85">
        <v>2</v>
      </c>
      <c r="R29" s="59">
        <f t="shared" si="2"/>
        <v>98.56</v>
      </c>
    </row>
    <row r="30" spans="1:18" ht="15.75" customHeight="1" x14ac:dyDescent="0.35">
      <c r="A30" s="54" t="s">
        <v>89</v>
      </c>
      <c r="B30" s="55" t="s">
        <v>28</v>
      </c>
      <c r="C30" s="55" t="s">
        <v>83</v>
      </c>
      <c r="D30" s="55">
        <v>85</v>
      </c>
      <c r="E30" s="55">
        <v>94</v>
      </c>
      <c r="F30" s="55">
        <v>89</v>
      </c>
      <c r="G30" s="55">
        <v>88</v>
      </c>
      <c r="H30" s="55">
        <v>81</v>
      </c>
      <c r="I30" s="70"/>
      <c r="J30" s="55">
        <v>87</v>
      </c>
      <c r="K30" s="55"/>
      <c r="L30" s="80">
        <v>91</v>
      </c>
      <c r="M30" s="80">
        <v>88</v>
      </c>
      <c r="N30" s="69">
        <f>AVERAGE(D30:L30)</f>
        <v>87.857142857142861</v>
      </c>
      <c r="O30" s="69">
        <f t="shared" si="4"/>
        <v>8.0142857142857125</v>
      </c>
      <c r="P30" s="58">
        <f t="shared" si="5"/>
        <v>88</v>
      </c>
      <c r="Q30" s="85">
        <v>3</v>
      </c>
      <c r="R30" s="59">
        <f t="shared" si="2"/>
        <v>96.014285714285705</v>
      </c>
    </row>
    <row r="31" spans="1:18" ht="15.75" customHeight="1" x14ac:dyDescent="0.35">
      <c r="A31" s="54" t="s">
        <v>84</v>
      </c>
      <c r="B31" s="55" t="s">
        <v>58</v>
      </c>
      <c r="C31" s="55" t="s">
        <v>83</v>
      </c>
      <c r="D31" s="55">
        <v>116</v>
      </c>
      <c r="E31" s="55"/>
      <c r="F31" s="55">
        <v>109</v>
      </c>
      <c r="G31" s="55">
        <v>106</v>
      </c>
      <c r="H31" s="55"/>
      <c r="I31" s="70"/>
      <c r="J31" s="55">
        <v>111</v>
      </c>
      <c r="K31" s="55">
        <v>119</v>
      </c>
      <c r="L31" s="80">
        <v>105</v>
      </c>
      <c r="M31" s="80"/>
      <c r="N31" s="69">
        <f t="shared" ref="N31:N60" si="6">AVERAGE(D31:L31)</f>
        <v>111</v>
      </c>
      <c r="O31" s="69">
        <f t="shared" ref="O31:O69" si="7">MIN(13.2, MAX(0, 120 - N31) * 0.66)</f>
        <v>5.94</v>
      </c>
      <c r="P31" s="58">
        <f t="shared" si="1"/>
        <v>0</v>
      </c>
      <c r="Q31" s="85"/>
      <c r="R31" s="59">
        <f t="shared" si="2"/>
        <v>0</v>
      </c>
    </row>
    <row r="32" spans="1:18" ht="15.75" customHeight="1" x14ac:dyDescent="0.35">
      <c r="A32" s="54" t="s">
        <v>92</v>
      </c>
      <c r="B32" s="55" t="s">
        <v>58</v>
      </c>
      <c r="C32" s="55" t="s">
        <v>83</v>
      </c>
      <c r="D32" s="55">
        <v>113</v>
      </c>
      <c r="E32" s="55"/>
      <c r="F32" s="55"/>
      <c r="G32" s="55">
        <v>110</v>
      </c>
      <c r="H32" s="55">
        <v>107</v>
      </c>
      <c r="I32" s="70"/>
      <c r="J32" s="55"/>
      <c r="K32" s="55">
        <v>110</v>
      </c>
      <c r="L32" s="80">
        <v>103</v>
      </c>
      <c r="M32" s="80"/>
      <c r="N32" s="69">
        <f t="shared" si="6"/>
        <v>108.6</v>
      </c>
      <c r="O32" s="69">
        <f t="shared" si="7"/>
        <v>7.5240000000000045</v>
      </c>
      <c r="P32" s="58">
        <f t="shared" si="1"/>
        <v>0</v>
      </c>
      <c r="Q32" s="85"/>
      <c r="R32" s="59">
        <f t="shared" si="2"/>
        <v>0</v>
      </c>
    </row>
    <row r="33" spans="1:18" ht="15.75" customHeight="1" x14ac:dyDescent="0.35">
      <c r="A33" s="54" t="s">
        <v>93</v>
      </c>
      <c r="B33" s="55" t="s">
        <v>58</v>
      </c>
      <c r="C33" s="55" t="s">
        <v>83</v>
      </c>
      <c r="D33" s="55"/>
      <c r="E33" s="55"/>
      <c r="F33" s="55"/>
      <c r="G33" s="55">
        <v>101</v>
      </c>
      <c r="H33" s="55">
        <v>107</v>
      </c>
      <c r="I33" s="70"/>
      <c r="J33" s="55"/>
      <c r="K33" s="55">
        <v>109</v>
      </c>
      <c r="L33" s="80">
        <v>96</v>
      </c>
      <c r="M33" s="80"/>
      <c r="N33" s="69">
        <f t="shared" si="6"/>
        <v>103.25</v>
      </c>
      <c r="O33" s="69">
        <f t="shared" si="7"/>
        <v>11.055</v>
      </c>
      <c r="P33" s="58">
        <f t="shared" si="1"/>
        <v>0</v>
      </c>
      <c r="Q33" s="85"/>
      <c r="R33" s="59">
        <f t="shared" si="2"/>
        <v>0</v>
      </c>
    </row>
    <row r="34" spans="1:18" ht="15.75" customHeight="1" x14ac:dyDescent="0.35">
      <c r="A34" s="54" t="s">
        <v>135</v>
      </c>
      <c r="B34" s="55" t="s">
        <v>58</v>
      </c>
      <c r="C34" s="55" t="s">
        <v>83</v>
      </c>
      <c r="D34" s="55"/>
      <c r="E34" s="55"/>
      <c r="F34" s="55"/>
      <c r="G34" s="55"/>
      <c r="H34" s="55"/>
      <c r="I34" s="70"/>
      <c r="J34" s="55">
        <v>113</v>
      </c>
      <c r="K34" s="55">
        <v>109</v>
      </c>
      <c r="L34" s="80">
        <v>94</v>
      </c>
      <c r="M34" s="80"/>
      <c r="N34" s="69">
        <f t="shared" si="6"/>
        <v>105.33333333333333</v>
      </c>
      <c r="O34" s="69">
        <f t="shared" si="7"/>
        <v>9.6800000000000033</v>
      </c>
      <c r="P34" s="58">
        <f t="shared" si="1"/>
        <v>0</v>
      </c>
      <c r="Q34" s="85"/>
      <c r="R34" s="59">
        <f t="shared" si="2"/>
        <v>0</v>
      </c>
    </row>
    <row r="35" spans="1:18" ht="15.75" customHeight="1" x14ac:dyDescent="0.35">
      <c r="A35" s="54" t="s">
        <v>86</v>
      </c>
      <c r="B35" s="55" t="s">
        <v>58</v>
      </c>
      <c r="C35" s="55" t="s">
        <v>83</v>
      </c>
      <c r="D35" s="55">
        <v>108</v>
      </c>
      <c r="E35" s="55"/>
      <c r="F35" s="55"/>
      <c r="G35" s="55"/>
      <c r="H35" s="55"/>
      <c r="I35" s="70"/>
      <c r="J35" s="55"/>
      <c r="K35" s="55"/>
      <c r="L35" s="80"/>
      <c r="M35" s="80"/>
      <c r="N35" s="69">
        <f t="shared" si="6"/>
        <v>108</v>
      </c>
      <c r="O35" s="69">
        <f t="shared" si="7"/>
        <v>7.92</v>
      </c>
      <c r="P35" s="58">
        <f t="shared" si="1"/>
        <v>0</v>
      </c>
      <c r="Q35" s="85"/>
      <c r="R35" s="59">
        <f t="shared" si="2"/>
        <v>0</v>
      </c>
    </row>
    <row r="36" spans="1:18" ht="15.75" customHeight="1" x14ac:dyDescent="0.35">
      <c r="A36" s="54" t="s">
        <v>63</v>
      </c>
      <c r="B36" s="55" t="s">
        <v>58</v>
      </c>
      <c r="C36" s="55" t="s">
        <v>59</v>
      </c>
      <c r="D36" s="55">
        <v>114</v>
      </c>
      <c r="E36" s="55">
        <v>119</v>
      </c>
      <c r="F36" s="55">
        <v>117</v>
      </c>
      <c r="G36" s="55"/>
      <c r="H36" s="55"/>
      <c r="I36" s="70"/>
      <c r="J36" s="55">
        <v>113</v>
      </c>
      <c r="K36" s="55">
        <f>58+56</f>
        <v>114</v>
      </c>
      <c r="L36" s="80">
        <v>116</v>
      </c>
      <c r="M36" s="80"/>
      <c r="N36" s="69">
        <f t="shared" si="6"/>
        <v>115.5</v>
      </c>
      <c r="O36" s="69">
        <f t="shared" si="7"/>
        <v>2.97</v>
      </c>
      <c r="P36" s="58">
        <f t="shared" ref="P36:P67" si="8">M36</f>
        <v>0</v>
      </c>
      <c r="Q36" s="85"/>
      <c r="R36" s="59">
        <f t="shared" ref="R36:R67" si="9">IF(ISBLANK(M36), 0, M36 + O36)</f>
        <v>0</v>
      </c>
    </row>
    <row r="37" spans="1:18" ht="15.75" customHeight="1" x14ac:dyDescent="0.35">
      <c r="A37" s="54" t="s">
        <v>73</v>
      </c>
      <c r="B37" s="55" t="s">
        <v>58</v>
      </c>
      <c r="C37" s="55" t="s">
        <v>59</v>
      </c>
      <c r="D37" s="55">
        <v>115</v>
      </c>
      <c r="E37" s="55"/>
      <c r="F37" s="55"/>
      <c r="G37" s="55">
        <v>114</v>
      </c>
      <c r="H37" s="55">
        <v>103</v>
      </c>
      <c r="I37" s="70"/>
      <c r="J37" s="55">
        <v>106</v>
      </c>
      <c r="K37" s="55">
        <v>101</v>
      </c>
      <c r="L37" s="80"/>
      <c r="M37" s="80"/>
      <c r="N37" s="69">
        <f t="shared" si="6"/>
        <v>107.8</v>
      </c>
      <c r="O37" s="69">
        <f t="shared" si="7"/>
        <v>8.0520000000000014</v>
      </c>
      <c r="P37" s="58">
        <f t="shared" si="8"/>
        <v>0</v>
      </c>
      <c r="Q37" s="85"/>
      <c r="R37" s="59">
        <f t="shared" si="9"/>
        <v>0</v>
      </c>
    </row>
    <row r="38" spans="1:18" ht="15.75" customHeight="1" x14ac:dyDescent="0.35">
      <c r="A38" s="54" t="s">
        <v>64</v>
      </c>
      <c r="B38" s="55" t="s">
        <v>58</v>
      </c>
      <c r="C38" s="55" t="s">
        <v>59</v>
      </c>
      <c r="D38" s="55">
        <v>117</v>
      </c>
      <c r="E38" s="55">
        <v>119</v>
      </c>
      <c r="F38" s="55"/>
      <c r="G38" s="55"/>
      <c r="H38" s="55"/>
      <c r="I38" s="70"/>
      <c r="J38" s="55"/>
      <c r="K38" s="55">
        <v>120</v>
      </c>
      <c r="L38" s="80"/>
      <c r="M38" s="80"/>
      <c r="N38" s="69">
        <f t="shared" si="6"/>
        <v>118.66666666666667</v>
      </c>
      <c r="O38" s="69">
        <f t="shared" si="7"/>
        <v>0.8799999999999969</v>
      </c>
      <c r="P38" s="58">
        <f t="shared" si="8"/>
        <v>0</v>
      </c>
      <c r="Q38" s="85"/>
      <c r="R38" s="59">
        <f t="shared" si="9"/>
        <v>0</v>
      </c>
    </row>
    <row r="39" spans="1:18" ht="15.75" customHeight="1" x14ac:dyDescent="0.35">
      <c r="A39" s="54" t="s">
        <v>62</v>
      </c>
      <c r="B39" s="55" t="s">
        <v>58</v>
      </c>
      <c r="C39" s="55" t="s">
        <v>59</v>
      </c>
      <c r="D39" s="55">
        <v>114</v>
      </c>
      <c r="E39" s="55"/>
      <c r="F39" s="55"/>
      <c r="G39" s="55"/>
      <c r="H39" s="55"/>
      <c r="I39" s="70"/>
      <c r="J39" s="55"/>
      <c r="K39" s="55"/>
      <c r="L39" s="80"/>
      <c r="M39" s="80"/>
      <c r="N39" s="69">
        <f t="shared" si="6"/>
        <v>114</v>
      </c>
      <c r="O39" s="69">
        <f t="shared" si="7"/>
        <v>3.96</v>
      </c>
      <c r="P39" s="58">
        <f t="shared" si="8"/>
        <v>0</v>
      </c>
      <c r="Q39" s="85"/>
      <c r="R39" s="59">
        <f t="shared" si="9"/>
        <v>0</v>
      </c>
    </row>
    <row r="40" spans="1:18" ht="15.75" customHeight="1" x14ac:dyDescent="0.35">
      <c r="A40" s="54" t="s">
        <v>57</v>
      </c>
      <c r="B40" s="55" t="s">
        <v>58</v>
      </c>
      <c r="C40" s="55" t="s">
        <v>59</v>
      </c>
      <c r="D40" s="55">
        <v>118</v>
      </c>
      <c r="E40" s="55"/>
      <c r="F40" s="55"/>
      <c r="G40" s="55"/>
      <c r="H40" s="55"/>
      <c r="I40" s="70"/>
      <c r="J40" s="55"/>
      <c r="K40" s="55"/>
      <c r="L40" s="80"/>
      <c r="M40" s="80"/>
      <c r="N40" s="69">
        <f t="shared" si="6"/>
        <v>118</v>
      </c>
      <c r="O40" s="69">
        <f t="shared" si="7"/>
        <v>1.32</v>
      </c>
      <c r="P40" s="58">
        <f t="shared" si="8"/>
        <v>0</v>
      </c>
      <c r="Q40" s="85"/>
      <c r="R40" s="59">
        <f t="shared" si="9"/>
        <v>0</v>
      </c>
    </row>
    <row r="41" spans="1:18" ht="15.75" customHeight="1" x14ac:dyDescent="0.35">
      <c r="A41" s="54" t="s">
        <v>68</v>
      </c>
      <c r="B41" s="55" t="s">
        <v>58</v>
      </c>
      <c r="C41" s="55" t="s">
        <v>59</v>
      </c>
      <c r="D41" s="55">
        <v>112</v>
      </c>
      <c r="E41" s="55">
        <v>118</v>
      </c>
      <c r="F41" s="55">
        <v>110</v>
      </c>
      <c r="G41" s="55"/>
      <c r="H41" s="55"/>
      <c r="I41" s="70"/>
      <c r="J41" s="55"/>
      <c r="K41" s="55"/>
      <c r="L41" s="80"/>
      <c r="M41" s="80"/>
      <c r="N41" s="69">
        <f t="shared" si="6"/>
        <v>113.33333333333333</v>
      </c>
      <c r="O41" s="69">
        <f t="shared" si="7"/>
        <v>4.400000000000003</v>
      </c>
      <c r="P41" s="58">
        <f t="shared" si="8"/>
        <v>0</v>
      </c>
      <c r="Q41" s="85"/>
      <c r="R41" s="59">
        <f t="shared" si="9"/>
        <v>0</v>
      </c>
    </row>
    <row r="42" spans="1:18" ht="15.75" customHeight="1" x14ac:dyDescent="0.35">
      <c r="A42" s="54" t="s">
        <v>53</v>
      </c>
      <c r="B42" s="55" t="s">
        <v>58</v>
      </c>
      <c r="C42" s="55" t="s">
        <v>134</v>
      </c>
      <c r="D42" s="55"/>
      <c r="E42" s="55"/>
      <c r="F42" s="55">
        <v>119</v>
      </c>
      <c r="G42" s="55">
        <v>110</v>
      </c>
      <c r="H42" s="55"/>
      <c r="I42" s="70"/>
      <c r="J42" s="55">
        <v>119</v>
      </c>
      <c r="K42" s="55">
        <v>118</v>
      </c>
      <c r="L42" s="80">
        <v>109</v>
      </c>
      <c r="M42" s="80"/>
      <c r="N42" s="69">
        <f t="shared" si="6"/>
        <v>115</v>
      </c>
      <c r="O42" s="69">
        <f t="shared" si="7"/>
        <v>3.3000000000000003</v>
      </c>
      <c r="P42" s="58">
        <f t="shared" si="8"/>
        <v>0</v>
      </c>
      <c r="Q42" s="85"/>
      <c r="R42" s="59">
        <f t="shared" si="9"/>
        <v>0</v>
      </c>
    </row>
    <row r="43" spans="1:18" s="68" customFormat="1" ht="15.75" customHeight="1" x14ac:dyDescent="0.35">
      <c r="A43" s="54" t="s">
        <v>60</v>
      </c>
      <c r="B43" s="55" t="s">
        <v>58</v>
      </c>
      <c r="C43" s="55" t="s">
        <v>134</v>
      </c>
      <c r="D43" s="55">
        <v>106</v>
      </c>
      <c r="E43" s="55">
        <v>112</v>
      </c>
      <c r="F43" s="55">
        <v>114</v>
      </c>
      <c r="G43" s="55">
        <v>102</v>
      </c>
      <c r="H43" s="55">
        <v>107</v>
      </c>
      <c r="I43" s="70"/>
      <c r="J43" s="55">
        <v>115</v>
      </c>
      <c r="K43" s="55">
        <v>113</v>
      </c>
      <c r="L43" s="80">
        <v>108</v>
      </c>
      <c r="M43" s="80"/>
      <c r="N43" s="69">
        <f t="shared" si="6"/>
        <v>109.625</v>
      </c>
      <c r="O43" s="69">
        <f t="shared" si="7"/>
        <v>6.8475000000000001</v>
      </c>
      <c r="P43" s="58">
        <f t="shared" si="8"/>
        <v>0</v>
      </c>
      <c r="Q43" s="85"/>
      <c r="R43" s="59">
        <f t="shared" si="9"/>
        <v>0</v>
      </c>
    </row>
    <row r="44" spans="1:18" ht="15.75" customHeight="1" x14ac:dyDescent="0.35">
      <c r="A44" s="54" t="s">
        <v>114</v>
      </c>
      <c r="B44" s="55" t="s">
        <v>58</v>
      </c>
      <c r="C44" s="55" t="s">
        <v>134</v>
      </c>
      <c r="D44" s="55">
        <v>98</v>
      </c>
      <c r="E44" s="55"/>
      <c r="F44" s="55"/>
      <c r="G44" s="55"/>
      <c r="H44" s="55">
        <v>87</v>
      </c>
      <c r="I44" s="70"/>
      <c r="J44" s="55"/>
      <c r="K44" s="55">
        <v>104</v>
      </c>
      <c r="L44" s="80">
        <v>86</v>
      </c>
      <c r="M44" s="80"/>
      <c r="N44" s="69">
        <f t="shared" si="6"/>
        <v>93.75</v>
      </c>
      <c r="O44" s="69">
        <f t="shared" si="7"/>
        <v>13.2</v>
      </c>
      <c r="P44" s="58">
        <f t="shared" si="8"/>
        <v>0</v>
      </c>
      <c r="Q44" s="85"/>
      <c r="R44" s="59">
        <f t="shared" si="9"/>
        <v>0</v>
      </c>
    </row>
    <row r="45" spans="1:18" ht="15.75" customHeight="1" x14ac:dyDescent="0.35">
      <c r="A45" s="54" t="s">
        <v>19</v>
      </c>
      <c r="B45" s="55" t="s">
        <v>58</v>
      </c>
      <c r="C45" s="55" t="s">
        <v>134</v>
      </c>
      <c r="D45" s="55"/>
      <c r="E45" s="55">
        <v>114</v>
      </c>
      <c r="F45" s="55"/>
      <c r="G45" s="55"/>
      <c r="H45" s="55"/>
      <c r="I45" s="70"/>
      <c r="J45" s="55"/>
      <c r="K45" s="55">
        <v>115</v>
      </c>
      <c r="L45" s="80"/>
      <c r="M45" s="80"/>
      <c r="N45" s="69">
        <f t="shared" si="6"/>
        <v>114.5</v>
      </c>
      <c r="O45" s="69">
        <f t="shared" si="7"/>
        <v>3.6300000000000003</v>
      </c>
      <c r="P45" s="58">
        <f t="shared" si="8"/>
        <v>0</v>
      </c>
      <c r="Q45" s="85"/>
      <c r="R45" s="59">
        <f t="shared" si="9"/>
        <v>0</v>
      </c>
    </row>
    <row r="46" spans="1:18" ht="15.75" customHeight="1" x14ac:dyDescent="0.35">
      <c r="A46" s="54" t="s">
        <v>26</v>
      </c>
      <c r="B46" s="55" t="s">
        <v>58</v>
      </c>
      <c r="C46" s="55" t="s">
        <v>134</v>
      </c>
      <c r="D46" s="55">
        <v>114</v>
      </c>
      <c r="E46" s="55"/>
      <c r="F46" s="55"/>
      <c r="G46" s="55"/>
      <c r="H46" s="55">
        <v>94</v>
      </c>
      <c r="I46" s="70"/>
      <c r="J46" s="55"/>
      <c r="K46" s="55"/>
      <c r="L46" s="80"/>
      <c r="M46" s="80"/>
      <c r="N46" s="69">
        <f t="shared" si="6"/>
        <v>104</v>
      </c>
      <c r="O46" s="69">
        <f t="shared" si="7"/>
        <v>10.56</v>
      </c>
      <c r="P46" s="58">
        <f t="shared" si="8"/>
        <v>0</v>
      </c>
      <c r="Q46" s="85"/>
      <c r="R46" s="59">
        <f t="shared" si="9"/>
        <v>0</v>
      </c>
    </row>
    <row r="47" spans="1:18" ht="15.75" customHeight="1" x14ac:dyDescent="0.35">
      <c r="A47" s="87" t="s">
        <v>51</v>
      </c>
      <c r="B47" s="88" t="s">
        <v>58</v>
      </c>
      <c r="C47" s="88" t="s">
        <v>134</v>
      </c>
      <c r="D47" s="88"/>
      <c r="E47" s="88"/>
      <c r="F47" s="88"/>
      <c r="G47" s="88"/>
      <c r="H47" s="88"/>
      <c r="I47" s="89"/>
      <c r="J47" s="88">
        <v>118</v>
      </c>
      <c r="K47" s="88">
        <v>118</v>
      </c>
      <c r="L47" s="90"/>
      <c r="M47" s="90"/>
      <c r="N47" s="69">
        <f t="shared" si="6"/>
        <v>118</v>
      </c>
      <c r="O47" s="91">
        <f t="shared" si="7"/>
        <v>1.32</v>
      </c>
      <c r="P47" s="58">
        <f t="shared" si="8"/>
        <v>0</v>
      </c>
      <c r="Q47" s="86"/>
      <c r="R47" s="59">
        <f t="shared" si="9"/>
        <v>0</v>
      </c>
    </row>
    <row r="48" spans="1:18" ht="15.75" customHeight="1" x14ac:dyDescent="0.35">
      <c r="A48" s="87" t="s">
        <v>23</v>
      </c>
      <c r="B48" s="88" t="s">
        <v>58</v>
      </c>
      <c r="C48" s="88" t="s">
        <v>134</v>
      </c>
      <c r="D48" s="88"/>
      <c r="E48" s="88"/>
      <c r="F48" s="88">
        <v>105</v>
      </c>
      <c r="G48" s="88">
        <v>99</v>
      </c>
      <c r="H48" s="88"/>
      <c r="I48" s="89"/>
      <c r="J48" s="88"/>
      <c r="K48" s="88">
        <v>106</v>
      </c>
      <c r="L48" s="90"/>
      <c r="M48" s="90"/>
      <c r="N48" s="69">
        <f t="shared" si="6"/>
        <v>103.33333333333333</v>
      </c>
      <c r="O48" s="91">
        <f t="shared" si="7"/>
        <v>11.000000000000004</v>
      </c>
      <c r="P48" s="58">
        <f t="shared" si="8"/>
        <v>0</v>
      </c>
      <c r="Q48" s="85"/>
      <c r="R48" s="59">
        <f t="shared" si="9"/>
        <v>0</v>
      </c>
    </row>
    <row r="49" spans="1:18" ht="15.75" customHeight="1" x14ac:dyDescent="0.35">
      <c r="A49" s="87" t="s">
        <v>149</v>
      </c>
      <c r="B49" s="88" t="s">
        <v>58</v>
      </c>
      <c r="C49" s="88" t="s">
        <v>134</v>
      </c>
      <c r="D49" s="88"/>
      <c r="E49" s="88"/>
      <c r="F49" s="88"/>
      <c r="G49" s="88"/>
      <c r="H49" s="88"/>
      <c r="I49" s="89"/>
      <c r="J49" s="88">
        <v>117</v>
      </c>
      <c r="K49" s="88">
        <v>117</v>
      </c>
      <c r="L49" s="90"/>
      <c r="M49" s="90"/>
      <c r="N49" s="69">
        <f t="shared" si="6"/>
        <v>117</v>
      </c>
      <c r="O49" s="91">
        <f t="shared" si="7"/>
        <v>1.98</v>
      </c>
      <c r="P49" s="58">
        <f t="shared" si="8"/>
        <v>0</v>
      </c>
      <c r="Q49" s="86"/>
      <c r="R49" s="59">
        <f t="shared" si="9"/>
        <v>0</v>
      </c>
    </row>
    <row r="50" spans="1:18" ht="15.75" customHeight="1" x14ac:dyDescent="0.35">
      <c r="A50" s="54" t="s">
        <v>36</v>
      </c>
      <c r="B50" s="55" t="s">
        <v>58</v>
      </c>
      <c r="C50" s="55" t="s">
        <v>134</v>
      </c>
      <c r="D50" s="55"/>
      <c r="E50" s="55">
        <v>116</v>
      </c>
      <c r="F50" s="55">
        <v>116</v>
      </c>
      <c r="G50" s="55"/>
      <c r="H50" s="55">
        <v>106</v>
      </c>
      <c r="I50" s="70"/>
      <c r="J50" s="55"/>
      <c r="K50" s="55">
        <v>120</v>
      </c>
      <c r="L50" s="80"/>
      <c r="M50" s="80"/>
      <c r="N50" s="69">
        <f t="shared" si="6"/>
        <v>114.5</v>
      </c>
      <c r="O50" s="69">
        <f t="shared" si="7"/>
        <v>3.6300000000000003</v>
      </c>
      <c r="P50" s="58">
        <f t="shared" si="8"/>
        <v>0</v>
      </c>
      <c r="Q50" s="85"/>
      <c r="R50" s="59">
        <f t="shared" si="9"/>
        <v>0</v>
      </c>
    </row>
    <row r="51" spans="1:18" ht="15.75" customHeight="1" x14ac:dyDescent="0.35">
      <c r="A51" s="54" t="s">
        <v>34</v>
      </c>
      <c r="B51" s="55" t="s">
        <v>58</v>
      </c>
      <c r="C51" s="55" t="s">
        <v>134</v>
      </c>
      <c r="D51" s="55">
        <v>119</v>
      </c>
      <c r="E51" s="55"/>
      <c r="F51" s="55"/>
      <c r="G51" s="55">
        <v>112</v>
      </c>
      <c r="H51" s="55">
        <v>115</v>
      </c>
      <c r="I51" s="70"/>
      <c r="J51" s="55"/>
      <c r="K51" s="55">
        <v>119</v>
      </c>
      <c r="L51" s="80"/>
      <c r="M51" s="80"/>
      <c r="N51" s="69">
        <f t="shared" si="6"/>
        <v>116.25</v>
      </c>
      <c r="O51" s="69">
        <f t="shared" si="7"/>
        <v>2.4750000000000001</v>
      </c>
      <c r="P51" s="58">
        <f t="shared" si="8"/>
        <v>0</v>
      </c>
      <c r="Q51" s="85"/>
      <c r="R51" s="59">
        <f t="shared" si="9"/>
        <v>0</v>
      </c>
    </row>
    <row r="52" spans="1:18" ht="15.75" customHeight="1" x14ac:dyDescent="0.35">
      <c r="A52" s="54" t="s">
        <v>33</v>
      </c>
      <c r="B52" s="55" t="s">
        <v>58</v>
      </c>
      <c r="C52" s="55" t="s">
        <v>134</v>
      </c>
      <c r="D52" s="55">
        <v>115</v>
      </c>
      <c r="E52" s="55"/>
      <c r="F52" s="55">
        <v>115</v>
      </c>
      <c r="G52" s="55"/>
      <c r="H52" s="55"/>
      <c r="I52" s="70"/>
      <c r="J52" s="55"/>
      <c r="K52" s="55"/>
      <c r="L52" s="80"/>
      <c r="M52" s="80"/>
      <c r="N52" s="69">
        <f t="shared" si="6"/>
        <v>115</v>
      </c>
      <c r="O52" s="69">
        <f t="shared" si="7"/>
        <v>3.3000000000000003</v>
      </c>
      <c r="P52" s="58">
        <f t="shared" si="8"/>
        <v>0</v>
      </c>
      <c r="Q52" s="85"/>
      <c r="R52" s="59">
        <f t="shared" si="9"/>
        <v>0</v>
      </c>
    </row>
    <row r="53" spans="1:18" ht="15.75" customHeight="1" x14ac:dyDescent="0.35">
      <c r="A53" s="54" t="s">
        <v>44</v>
      </c>
      <c r="B53" s="55" t="s">
        <v>58</v>
      </c>
      <c r="C53" s="55" t="s">
        <v>134</v>
      </c>
      <c r="D53" s="55"/>
      <c r="E53" s="55"/>
      <c r="F53" s="55"/>
      <c r="G53" s="55">
        <v>115</v>
      </c>
      <c r="H53" s="55"/>
      <c r="I53" s="70"/>
      <c r="J53" s="55"/>
      <c r="K53" s="55"/>
      <c r="L53" s="80"/>
      <c r="M53" s="80"/>
      <c r="N53" s="69">
        <f t="shared" si="6"/>
        <v>115</v>
      </c>
      <c r="O53" s="69">
        <f t="shared" si="7"/>
        <v>3.3000000000000003</v>
      </c>
      <c r="P53" s="58">
        <f t="shared" si="8"/>
        <v>0</v>
      </c>
      <c r="Q53" s="85"/>
      <c r="R53" s="59">
        <f t="shared" si="9"/>
        <v>0</v>
      </c>
    </row>
    <row r="54" spans="1:18" s="68" customFormat="1" ht="15.75" customHeight="1" x14ac:dyDescent="0.35">
      <c r="A54" s="54" t="s">
        <v>24</v>
      </c>
      <c r="B54" s="55" t="s">
        <v>58</v>
      </c>
      <c r="C54" s="55" t="s">
        <v>134</v>
      </c>
      <c r="D54" s="55"/>
      <c r="E54" s="55"/>
      <c r="F54" s="55"/>
      <c r="G54" s="55"/>
      <c r="H54" s="55">
        <v>109</v>
      </c>
      <c r="I54" s="70"/>
      <c r="J54" s="55"/>
      <c r="K54" s="55"/>
      <c r="L54" s="80"/>
      <c r="M54" s="80"/>
      <c r="N54" s="69">
        <f t="shared" si="6"/>
        <v>109</v>
      </c>
      <c r="O54" s="69">
        <f t="shared" si="7"/>
        <v>7.2600000000000007</v>
      </c>
      <c r="P54" s="58">
        <f t="shared" si="8"/>
        <v>0</v>
      </c>
      <c r="Q54" s="85"/>
      <c r="R54" s="59">
        <f t="shared" si="9"/>
        <v>0</v>
      </c>
    </row>
    <row r="55" spans="1:18" ht="15.75" customHeight="1" x14ac:dyDescent="0.35">
      <c r="A55" s="54" t="s">
        <v>25</v>
      </c>
      <c r="B55" s="55" t="s">
        <v>58</v>
      </c>
      <c r="C55" s="55" t="s">
        <v>134</v>
      </c>
      <c r="D55" s="55"/>
      <c r="E55" s="55"/>
      <c r="F55" s="55">
        <v>114</v>
      </c>
      <c r="G55" s="55"/>
      <c r="H55" s="55"/>
      <c r="I55" s="70"/>
      <c r="J55" s="55"/>
      <c r="K55" s="55"/>
      <c r="L55" s="80"/>
      <c r="M55" s="80"/>
      <c r="N55" s="69">
        <f t="shared" si="6"/>
        <v>114</v>
      </c>
      <c r="O55" s="69">
        <f t="shared" si="7"/>
        <v>3.96</v>
      </c>
      <c r="P55" s="58">
        <f t="shared" si="8"/>
        <v>0</v>
      </c>
      <c r="Q55" s="85"/>
      <c r="R55" s="59">
        <f t="shared" si="9"/>
        <v>0</v>
      </c>
    </row>
    <row r="56" spans="1:18" ht="15.75" customHeight="1" x14ac:dyDescent="0.35">
      <c r="A56" s="54" t="s">
        <v>94</v>
      </c>
      <c r="B56" s="55" t="s">
        <v>58</v>
      </c>
      <c r="C56" s="55" t="s">
        <v>95</v>
      </c>
      <c r="D56" s="55">
        <v>106</v>
      </c>
      <c r="E56" s="55">
        <v>103</v>
      </c>
      <c r="F56" s="55"/>
      <c r="G56" s="55"/>
      <c r="H56" s="55"/>
      <c r="I56" s="70"/>
      <c r="J56" s="55">
        <v>106</v>
      </c>
      <c r="K56" s="55"/>
      <c r="L56" s="80"/>
      <c r="M56" s="80"/>
      <c r="N56" s="69">
        <f t="shared" si="6"/>
        <v>105</v>
      </c>
      <c r="O56" s="69">
        <f t="shared" si="7"/>
        <v>9.9</v>
      </c>
      <c r="P56" s="58">
        <f t="shared" si="8"/>
        <v>0</v>
      </c>
      <c r="Q56" s="85"/>
      <c r="R56" s="59">
        <f t="shared" si="9"/>
        <v>0</v>
      </c>
    </row>
    <row r="57" spans="1:18" ht="15.75" customHeight="1" x14ac:dyDescent="0.35">
      <c r="A57" s="54" t="s">
        <v>96</v>
      </c>
      <c r="B57" s="55" t="s">
        <v>58</v>
      </c>
      <c r="C57" s="55" t="s">
        <v>95</v>
      </c>
      <c r="D57" s="55">
        <v>100</v>
      </c>
      <c r="E57" s="55"/>
      <c r="F57" s="55"/>
      <c r="G57" s="55"/>
      <c r="H57" s="55"/>
      <c r="I57" s="70"/>
      <c r="J57" s="55"/>
      <c r="K57" s="55"/>
      <c r="L57" s="80"/>
      <c r="M57" s="80"/>
      <c r="N57" s="69">
        <f t="shared" si="6"/>
        <v>100</v>
      </c>
      <c r="O57" s="69">
        <f t="shared" si="7"/>
        <v>13.2</v>
      </c>
      <c r="P57" s="58">
        <f t="shared" si="8"/>
        <v>0</v>
      </c>
      <c r="Q57" s="85"/>
      <c r="R57" s="59">
        <f t="shared" si="9"/>
        <v>0</v>
      </c>
    </row>
    <row r="58" spans="1:18" ht="15.75" customHeight="1" x14ac:dyDescent="0.35">
      <c r="A58" s="78" t="s">
        <v>146</v>
      </c>
      <c r="B58" s="71" t="s">
        <v>58</v>
      </c>
      <c r="C58" s="71" t="s">
        <v>144</v>
      </c>
      <c r="D58" s="71"/>
      <c r="E58" s="71"/>
      <c r="F58" s="71"/>
      <c r="G58" s="71"/>
      <c r="H58" s="71"/>
      <c r="I58" s="72"/>
      <c r="J58" s="71">
        <v>119</v>
      </c>
      <c r="K58" s="71">
        <v>119</v>
      </c>
      <c r="L58" s="80"/>
      <c r="M58" s="80"/>
      <c r="N58" s="69">
        <f t="shared" si="6"/>
        <v>119</v>
      </c>
      <c r="O58" s="69">
        <f t="shared" si="7"/>
        <v>0.66</v>
      </c>
      <c r="P58" s="58">
        <f t="shared" si="8"/>
        <v>0</v>
      </c>
      <c r="Q58" s="86"/>
      <c r="R58" s="59">
        <f t="shared" si="9"/>
        <v>0</v>
      </c>
    </row>
    <row r="59" spans="1:18" ht="15.75" customHeight="1" x14ac:dyDescent="0.35">
      <c r="A59" s="54" t="s">
        <v>63</v>
      </c>
      <c r="B59" s="55" t="s">
        <v>58</v>
      </c>
      <c r="C59" s="55" t="s">
        <v>144</v>
      </c>
      <c r="D59" s="55">
        <v>114</v>
      </c>
      <c r="E59" s="55">
        <v>119</v>
      </c>
      <c r="F59" s="55">
        <v>117</v>
      </c>
      <c r="G59" s="55"/>
      <c r="H59" s="55"/>
      <c r="I59" s="70"/>
      <c r="J59" s="55">
        <v>113</v>
      </c>
      <c r="K59" s="55">
        <f>58+56</f>
        <v>114</v>
      </c>
      <c r="L59" s="80"/>
      <c r="M59" s="80"/>
      <c r="N59" s="69">
        <f t="shared" si="6"/>
        <v>115.4</v>
      </c>
      <c r="O59" s="69">
        <f t="shared" si="7"/>
        <v>3.0359999999999965</v>
      </c>
      <c r="P59" s="58">
        <f t="shared" si="8"/>
        <v>0</v>
      </c>
      <c r="Q59" s="85"/>
      <c r="R59" s="59">
        <f t="shared" si="9"/>
        <v>0</v>
      </c>
    </row>
    <row r="60" spans="1:18" s="68" customFormat="1" ht="15.75" customHeight="1" x14ac:dyDescent="0.35">
      <c r="A60" s="54" t="s">
        <v>145</v>
      </c>
      <c r="B60" s="55" t="s">
        <v>58</v>
      </c>
      <c r="C60" s="55" t="s">
        <v>144</v>
      </c>
      <c r="D60" s="55"/>
      <c r="E60" s="55"/>
      <c r="F60" s="55"/>
      <c r="G60" s="55"/>
      <c r="H60" s="55"/>
      <c r="I60" s="70"/>
      <c r="J60" s="55">
        <v>116</v>
      </c>
      <c r="K60" s="55">
        <f>58+58</f>
        <v>116</v>
      </c>
      <c r="L60" s="80"/>
      <c r="M60" s="80"/>
      <c r="N60" s="69">
        <f t="shared" si="6"/>
        <v>116</v>
      </c>
      <c r="O60" s="69">
        <f t="shared" si="7"/>
        <v>2.64</v>
      </c>
      <c r="P60" s="58">
        <f t="shared" si="8"/>
        <v>0</v>
      </c>
      <c r="Q60" s="85"/>
      <c r="R60" s="59">
        <f t="shared" si="9"/>
        <v>0</v>
      </c>
    </row>
    <row r="61" spans="1:18" ht="15.75" customHeight="1" x14ac:dyDescent="0.35">
      <c r="A61" s="54" t="s">
        <v>103</v>
      </c>
      <c r="B61" s="55" t="s">
        <v>58</v>
      </c>
      <c r="C61" s="55" t="s">
        <v>136</v>
      </c>
      <c r="D61" s="55"/>
      <c r="E61" s="55"/>
      <c r="F61" s="55">
        <v>109</v>
      </c>
      <c r="G61" s="55"/>
      <c r="H61" s="55">
        <v>108</v>
      </c>
      <c r="I61" s="70"/>
      <c r="J61" s="55"/>
      <c r="K61" s="55">
        <v>104</v>
      </c>
      <c r="L61" s="80"/>
      <c r="M61" s="80"/>
      <c r="N61" s="69">
        <f t="shared" ref="N61:N92" si="10">AVERAGE(D61:L61)</f>
        <v>107</v>
      </c>
      <c r="O61" s="69">
        <f t="shared" si="7"/>
        <v>8.58</v>
      </c>
      <c r="P61" s="58">
        <f t="shared" si="8"/>
        <v>0</v>
      </c>
      <c r="Q61" s="85"/>
      <c r="R61" s="59">
        <f t="shared" si="9"/>
        <v>0</v>
      </c>
    </row>
    <row r="62" spans="1:18" ht="15.75" customHeight="1" x14ac:dyDescent="0.35">
      <c r="A62" s="54" t="s">
        <v>111</v>
      </c>
      <c r="B62" s="55" t="s">
        <v>58</v>
      </c>
      <c r="C62" s="55" t="s">
        <v>136</v>
      </c>
      <c r="D62" s="55"/>
      <c r="E62" s="55">
        <v>115</v>
      </c>
      <c r="F62" s="55">
        <v>118</v>
      </c>
      <c r="G62" s="55">
        <v>111</v>
      </c>
      <c r="H62" s="55">
        <v>104</v>
      </c>
      <c r="I62" s="70"/>
      <c r="J62" s="55"/>
      <c r="K62" s="55">
        <v>120</v>
      </c>
      <c r="L62" s="80"/>
      <c r="M62" s="80"/>
      <c r="N62" s="69">
        <f t="shared" si="10"/>
        <v>113.6</v>
      </c>
      <c r="O62" s="69">
        <f t="shared" si="7"/>
        <v>4.2240000000000038</v>
      </c>
      <c r="P62" s="58">
        <f t="shared" si="8"/>
        <v>0</v>
      </c>
      <c r="Q62" s="85"/>
      <c r="R62" s="59">
        <f t="shared" si="9"/>
        <v>0</v>
      </c>
    </row>
    <row r="63" spans="1:18" ht="15.75" customHeight="1" x14ac:dyDescent="0.35">
      <c r="A63" s="54" t="s">
        <v>113</v>
      </c>
      <c r="B63" s="55" t="s">
        <v>58</v>
      </c>
      <c r="C63" s="55" t="s">
        <v>136</v>
      </c>
      <c r="D63" s="55">
        <v>108</v>
      </c>
      <c r="E63" s="55"/>
      <c r="F63" s="55"/>
      <c r="G63" s="55"/>
      <c r="H63" s="55"/>
      <c r="I63" s="70"/>
      <c r="J63" s="55"/>
      <c r="K63" s="55"/>
      <c r="L63" s="80"/>
      <c r="M63" s="80"/>
      <c r="N63" s="69">
        <f t="shared" si="10"/>
        <v>108</v>
      </c>
      <c r="O63" s="69">
        <f t="shared" si="7"/>
        <v>7.92</v>
      </c>
      <c r="P63" s="58">
        <f t="shared" si="8"/>
        <v>0</v>
      </c>
      <c r="Q63" s="85"/>
      <c r="R63" s="59">
        <f t="shared" si="9"/>
        <v>0</v>
      </c>
    </row>
    <row r="64" spans="1:18" ht="15.75" customHeight="1" x14ac:dyDescent="0.35">
      <c r="A64" s="54" t="s">
        <v>115</v>
      </c>
      <c r="B64" s="55" t="s">
        <v>58</v>
      </c>
      <c r="C64" s="55" t="s">
        <v>136</v>
      </c>
      <c r="D64" s="55">
        <v>114</v>
      </c>
      <c r="E64" s="55"/>
      <c r="F64" s="55">
        <v>105</v>
      </c>
      <c r="G64" s="55"/>
      <c r="H64" s="55"/>
      <c r="I64" s="70"/>
      <c r="J64" s="55"/>
      <c r="K64" s="55"/>
      <c r="L64" s="80"/>
      <c r="M64" s="80"/>
      <c r="N64" s="69">
        <f t="shared" si="10"/>
        <v>109.5</v>
      </c>
      <c r="O64" s="69">
        <f t="shared" si="7"/>
        <v>6.9300000000000006</v>
      </c>
      <c r="P64" s="58">
        <f t="shared" si="8"/>
        <v>0</v>
      </c>
      <c r="Q64" s="85"/>
      <c r="R64" s="59">
        <f t="shared" si="9"/>
        <v>0</v>
      </c>
    </row>
    <row r="65" spans="1:18" ht="15.75" customHeight="1" x14ac:dyDescent="0.35">
      <c r="A65" s="54" t="s">
        <v>123</v>
      </c>
      <c r="B65" s="55" t="s">
        <v>58</v>
      </c>
      <c r="C65" s="55" t="s">
        <v>136</v>
      </c>
      <c r="D65" s="55"/>
      <c r="E65" s="55"/>
      <c r="F65" s="55"/>
      <c r="G65" s="55">
        <v>98</v>
      </c>
      <c r="H65" s="55">
        <v>96</v>
      </c>
      <c r="I65" s="70"/>
      <c r="J65" s="55"/>
      <c r="K65" s="55">
        <v>109</v>
      </c>
      <c r="L65" s="80"/>
      <c r="M65" s="80"/>
      <c r="N65" s="69">
        <f t="shared" si="10"/>
        <v>101</v>
      </c>
      <c r="O65" s="69">
        <f t="shared" si="7"/>
        <v>12.540000000000001</v>
      </c>
      <c r="P65" s="58">
        <f t="shared" si="8"/>
        <v>0</v>
      </c>
      <c r="Q65" s="85"/>
      <c r="R65" s="59">
        <f t="shared" si="9"/>
        <v>0</v>
      </c>
    </row>
    <row r="66" spans="1:18" s="68" customFormat="1" ht="15.75" customHeight="1" x14ac:dyDescent="0.35">
      <c r="A66" s="54" t="s">
        <v>124</v>
      </c>
      <c r="B66" s="55" t="s">
        <v>58</v>
      </c>
      <c r="C66" s="55" t="s">
        <v>136</v>
      </c>
      <c r="D66" s="55"/>
      <c r="E66" s="55"/>
      <c r="F66" s="55"/>
      <c r="G66" s="55"/>
      <c r="H66" s="55">
        <v>117</v>
      </c>
      <c r="I66" s="70"/>
      <c r="J66" s="55"/>
      <c r="K66" s="55"/>
      <c r="L66" s="80"/>
      <c r="M66" s="80"/>
      <c r="N66" s="69">
        <f t="shared" si="10"/>
        <v>117</v>
      </c>
      <c r="O66" s="69">
        <f t="shared" si="7"/>
        <v>1.98</v>
      </c>
      <c r="P66" s="58">
        <f t="shared" si="8"/>
        <v>0</v>
      </c>
      <c r="Q66" s="85"/>
      <c r="R66" s="59">
        <f t="shared" si="9"/>
        <v>0</v>
      </c>
    </row>
    <row r="67" spans="1:18" ht="15.75" customHeight="1" x14ac:dyDescent="0.35">
      <c r="A67" s="54" t="s">
        <v>106</v>
      </c>
      <c r="B67" s="55" t="s">
        <v>58</v>
      </c>
      <c r="C67" s="55" t="s">
        <v>136</v>
      </c>
      <c r="D67" s="55"/>
      <c r="E67" s="55">
        <v>95</v>
      </c>
      <c r="F67" s="55"/>
      <c r="G67" s="55"/>
      <c r="H67" s="55"/>
      <c r="I67" s="70"/>
      <c r="J67" s="55"/>
      <c r="K67" s="55"/>
      <c r="L67" s="80"/>
      <c r="M67" s="80"/>
      <c r="N67" s="69">
        <f t="shared" si="10"/>
        <v>95</v>
      </c>
      <c r="O67" s="69">
        <f t="shared" si="7"/>
        <v>13.2</v>
      </c>
      <c r="P67" s="58">
        <f t="shared" si="8"/>
        <v>0</v>
      </c>
      <c r="Q67" s="85"/>
      <c r="R67" s="59">
        <f t="shared" si="9"/>
        <v>0</v>
      </c>
    </row>
    <row r="68" spans="1:18" ht="15.75" customHeight="1" x14ac:dyDescent="0.35">
      <c r="A68" s="54" t="s">
        <v>110</v>
      </c>
      <c r="B68" s="55" t="s">
        <v>58</v>
      </c>
      <c r="C68" s="55" t="s">
        <v>136</v>
      </c>
      <c r="D68" s="55">
        <v>110</v>
      </c>
      <c r="E68" s="55">
        <v>99</v>
      </c>
      <c r="F68" s="55">
        <v>115</v>
      </c>
      <c r="G68" s="55">
        <v>105</v>
      </c>
      <c r="H68" s="55"/>
      <c r="I68" s="70"/>
      <c r="J68" s="55">
        <v>107</v>
      </c>
      <c r="K68" s="55">
        <v>110</v>
      </c>
      <c r="L68" s="80"/>
      <c r="M68" s="80"/>
      <c r="N68" s="69">
        <f t="shared" si="10"/>
        <v>107.66666666666667</v>
      </c>
      <c r="O68" s="69">
        <f t="shared" si="7"/>
        <v>8.139999999999997</v>
      </c>
      <c r="P68" s="58">
        <f t="shared" ref="P68:P104" si="11">M68</f>
        <v>0</v>
      </c>
      <c r="Q68" s="85"/>
      <c r="R68" s="59">
        <f t="shared" ref="R68:R104" si="12">IF(ISBLANK(M68), 0, M68 + O68)</f>
        <v>0</v>
      </c>
    </row>
    <row r="69" spans="1:18" ht="15.75" customHeight="1" x14ac:dyDescent="0.35">
      <c r="A69" s="54" t="s">
        <v>121</v>
      </c>
      <c r="B69" s="55" t="s">
        <v>58</v>
      </c>
      <c r="C69" s="55" t="s">
        <v>136</v>
      </c>
      <c r="D69" s="55"/>
      <c r="E69" s="55"/>
      <c r="F69" s="55">
        <v>116</v>
      </c>
      <c r="G69" s="55">
        <v>109</v>
      </c>
      <c r="H69" s="55">
        <v>107</v>
      </c>
      <c r="I69" s="70"/>
      <c r="J69" s="55"/>
      <c r="K69" s="55">
        <v>114</v>
      </c>
      <c r="L69" s="80"/>
      <c r="M69" s="80"/>
      <c r="N69" s="69">
        <f t="shared" si="10"/>
        <v>111.5</v>
      </c>
      <c r="O69" s="69">
        <f t="shared" si="7"/>
        <v>5.61</v>
      </c>
      <c r="P69" s="58">
        <f t="shared" si="11"/>
        <v>0</v>
      </c>
      <c r="Q69" s="85"/>
      <c r="R69" s="59">
        <f t="shared" si="12"/>
        <v>0</v>
      </c>
    </row>
    <row r="70" spans="1:18" ht="15.75" customHeight="1" x14ac:dyDescent="0.35">
      <c r="A70" s="87" t="s">
        <v>153</v>
      </c>
      <c r="B70" s="55" t="s">
        <v>162</v>
      </c>
      <c r="C70" s="55" t="s">
        <v>59</v>
      </c>
      <c r="D70" s="55">
        <v>90</v>
      </c>
      <c r="E70" s="71"/>
      <c r="F70" s="71"/>
      <c r="G70" s="71"/>
      <c r="H70" s="71"/>
      <c r="I70" s="72"/>
      <c r="J70" s="71"/>
      <c r="K70" s="71"/>
      <c r="L70" s="80">
        <v>90</v>
      </c>
      <c r="M70" s="80"/>
      <c r="N70" s="69">
        <f t="shared" si="10"/>
        <v>90</v>
      </c>
      <c r="O70" s="69">
        <f t="shared" ref="O70:O104" si="13">MIN(13.2, MAX(0, 100 - N70) * 0.66)</f>
        <v>6.6000000000000005</v>
      </c>
      <c r="P70" s="58">
        <f t="shared" si="11"/>
        <v>0</v>
      </c>
      <c r="Q70" s="85"/>
      <c r="R70" s="59">
        <f t="shared" si="12"/>
        <v>0</v>
      </c>
    </row>
    <row r="71" spans="1:18" ht="15.75" customHeight="1" x14ac:dyDescent="0.35">
      <c r="A71" s="54" t="s">
        <v>77</v>
      </c>
      <c r="B71" s="55" t="s">
        <v>162</v>
      </c>
      <c r="C71" s="55" t="s">
        <v>59</v>
      </c>
      <c r="D71" s="55">
        <v>93</v>
      </c>
      <c r="E71" s="55"/>
      <c r="F71" s="55"/>
      <c r="G71" s="55"/>
      <c r="H71" s="55"/>
      <c r="I71" s="70"/>
      <c r="J71" s="55"/>
      <c r="K71" s="55"/>
      <c r="L71" s="80">
        <v>85</v>
      </c>
      <c r="M71" s="80"/>
      <c r="N71" s="69">
        <f t="shared" si="10"/>
        <v>89</v>
      </c>
      <c r="O71" s="69">
        <f t="shared" si="13"/>
        <v>7.2600000000000007</v>
      </c>
      <c r="P71" s="58">
        <f t="shared" si="11"/>
        <v>0</v>
      </c>
      <c r="Q71" s="85"/>
      <c r="R71" s="59">
        <f t="shared" si="12"/>
        <v>0</v>
      </c>
    </row>
    <row r="72" spans="1:18" ht="15.75" customHeight="1" x14ac:dyDescent="0.35">
      <c r="A72" s="54" t="s">
        <v>76</v>
      </c>
      <c r="B72" s="55" t="s">
        <v>162</v>
      </c>
      <c r="C72" s="55" t="s">
        <v>59</v>
      </c>
      <c r="D72" s="55">
        <v>93</v>
      </c>
      <c r="E72" s="55"/>
      <c r="F72" s="55"/>
      <c r="G72" s="55"/>
      <c r="H72" s="55"/>
      <c r="I72" s="70"/>
      <c r="J72" s="55"/>
      <c r="K72" s="55"/>
      <c r="L72" s="80"/>
      <c r="M72" s="80"/>
      <c r="N72" s="69">
        <f t="shared" si="10"/>
        <v>93</v>
      </c>
      <c r="O72" s="69">
        <f t="shared" si="13"/>
        <v>4.62</v>
      </c>
      <c r="P72" s="58">
        <f t="shared" si="11"/>
        <v>0</v>
      </c>
      <c r="Q72" s="85"/>
      <c r="R72" s="59">
        <f t="shared" si="12"/>
        <v>0</v>
      </c>
    </row>
    <row r="73" spans="1:18" ht="15.75" customHeight="1" x14ac:dyDescent="0.35">
      <c r="A73" s="54" t="s">
        <v>61</v>
      </c>
      <c r="B73" s="55" t="s">
        <v>162</v>
      </c>
      <c r="C73" s="55" t="s">
        <v>59</v>
      </c>
      <c r="D73" s="55"/>
      <c r="E73" s="55">
        <v>93</v>
      </c>
      <c r="F73" s="55"/>
      <c r="G73" s="55"/>
      <c r="H73" s="55"/>
      <c r="I73" s="70"/>
      <c r="J73" s="55"/>
      <c r="K73" s="55"/>
      <c r="L73" s="80"/>
      <c r="M73" s="80"/>
      <c r="N73" s="69">
        <f t="shared" si="10"/>
        <v>93</v>
      </c>
      <c r="O73" s="69">
        <f t="shared" si="13"/>
        <v>4.62</v>
      </c>
      <c r="P73" s="58">
        <f t="shared" si="11"/>
        <v>0</v>
      </c>
      <c r="Q73" s="85"/>
      <c r="R73" s="59">
        <f t="shared" si="12"/>
        <v>0</v>
      </c>
    </row>
    <row r="74" spans="1:18" ht="15.75" customHeight="1" x14ac:dyDescent="0.35">
      <c r="A74" s="54" t="s">
        <v>137</v>
      </c>
      <c r="B74" s="55" t="s">
        <v>162</v>
      </c>
      <c r="C74" s="55" t="s">
        <v>59</v>
      </c>
      <c r="D74" s="55"/>
      <c r="E74" s="55"/>
      <c r="F74" s="55"/>
      <c r="G74" s="55"/>
      <c r="H74" s="55"/>
      <c r="I74" s="70"/>
      <c r="J74" s="55">
        <v>96</v>
      </c>
      <c r="K74" s="55">
        <v>100</v>
      </c>
      <c r="L74" s="80"/>
      <c r="M74" s="80"/>
      <c r="N74" s="69">
        <f t="shared" si="10"/>
        <v>98</v>
      </c>
      <c r="O74" s="69">
        <f t="shared" si="13"/>
        <v>1.32</v>
      </c>
      <c r="P74" s="58">
        <f t="shared" si="11"/>
        <v>0</v>
      </c>
      <c r="Q74" s="85"/>
      <c r="R74" s="59">
        <f t="shared" si="12"/>
        <v>0</v>
      </c>
    </row>
    <row r="75" spans="1:18" ht="15.75" customHeight="1" x14ac:dyDescent="0.35">
      <c r="A75" s="87" t="s">
        <v>154</v>
      </c>
      <c r="B75" s="55" t="s">
        <v>162</v>
      </c>
      <c r="C75" s="55" t="s">
        <v>134</v>
      </c>
      <c r="D75" s="55"/>
      <c r="E75" s="55"/>
      <c r="F75" s="55"/>
      <c r="G75" s="55"/>
      <c r="H75" s="55"/>
      <c r="I75" s="70"/>
      <c r="J75" s="55">
        <v>95</v>
      </c>
      <c r="K75" s="55">
        <v>98</v>
      </c>
      <c r="L75" s="80">
        <v>95</v>
      </c>
      <c r="M75" s="80"/>
      <c r="N75" s="69">
        <f t="shared" si="10"/>
        <v>96</v>
      </c>
      <c r="O75" s="69">
        <f t="shared" si="13"/>
        <v>2.64</v>
      </c>
      <c r="P75" s="58">
        <f t="shared" si="11"/>
        <v>0</v>
      </c>
      <c r="Q75" s="85"/>
      <c r="R75" s="59">
        <f t="shared" si="12"/>
        <v>0</v>
      </c>
    </row>
    <row r="76" spans="1:18" ht="15.75" customHeight="1" x14ac:dyDescent="0.35">
      <c r="A76" s="87" t="s">
        <v>122</v>
      </c>
      <c r="B76" s="55" t="s">
        <v>162</v>
      </c>
      <c r="C76" s="55" t="s">
        <v>134</v>
      </c>
      <c r="D76" s="55">
        <v>90</v>
      </c>
      <c r="E76" s="71"/>
      <c r="F76" s="71"/>
      <c r="G76" s="71"/>
      <c r="H76" s="71"/>
      <c r="I76" s="72"/>
      <c r="J76" s="71"/>
      <c r="K76" s="71"/>
      <c r="L76" s="80">
        <f>43+48</f>
        <v>91</v>
      </c>
      <c r="M76" s="80"/>
      <c r="N76" s="69">
        <f t="shared" si="10"/>
        <v>90.5</v>
      </c>
      <c r="O76" s="69">
        <f t="shared" si="13"/>
        <v>6.2700000000000005</v>
      </c>
      <c r="P76" s="58">
        <f t="shared" si="11"/>
        <v>0</v>
      </c>
      <c r="Q76" s="85"/>
      <c r="R76" s="59">
        <f t="shared" si="12"/>
        <v>0</v>
      </c>
    </row>
    <row r="77" spans="1:18" ht="15.75" customHeight="1" x14ac:dyDescent="0.35">
      <c r="A77" s="54" t="s">
        <v>155</v>
      </c>
      <c r="B77" s="55" t="s">
        <v>162</v>
      </c>
      <c r="C77" s="55" t="s">
        <v>134</v>
      </c>
      <c r="D77" s="55">
        <v>90</v>
      </c>
      <c r="E77" s="55"/>
      <c r="F77" s="55"/>
      <c r="G77" s="55"/>
      <c r="H77" s="55"/>
      <c r="I77" s="70"/>
      <c r="J77" s="55"/>
      <c r="K77" s="55"/>
      <c r="L77" s="80">
        <v>79</v>
      </c>
      <c r="M77" s="80"/>
      <c r="N77" s="69">
        <f t="shared" si="10"/>
        <v>84.5</v>
      </c>
      <c r="O77" s="69">
        <f t="shared" si="13"/>
        <v>10.23</v>
      </c>
      <c r="P77" s="58">
        <f t="shared" si="11"/>
        <v>0</v>
      </c>
      <c r="Q77" s="85"/>
      <c r="R77" s="59">
        <f t="shared" si="12"/>
        <v>0</v>
      </c>
    </row>
    <row r="78" spans="1:18" ht="15.75" customHeight="1" x14ac:dyDescent="0.35">
      <c r="A78" s="54" t="s">
        <v>51</v>
      </c>
      <c r="B78" s="55" t="s">
        <v>162</v>
      </c>
      <c r="C78" s="55" t="s">
        <v>134</v>
      </c>
      <c r="D78" s="55">
        <v>99</v>
      </c>
      <c r="E78" s="55"/>
      <c r="F78" s="55"/>
      <c r="G78" s="55"/>
      <c r="H78" s="55"/>
      <c r="I78" s="70"/>
      <c r="J78" s="55"/>
      <c r="K78" s="55"/>
      <c r="L78" s="80"/>
      <c r="M78" s="80"/>
      <c r="N78" s="69">
        <f t="shared" si="10"/>
        <v>99</v>
      </c>
      <c r="O78" s="69">
        <f t="shared" si="13"/>
        <v>0.66</v>
      </c>
      <c r="P78" s="58">
        <f t="shared" si="11"/>
        <v>0</v>
      </c>
      <c r="Q78" s="85"/>
      <c r="R78" s="59">
        <f t="shared" si="12"/>
        <v>0</v>
      </c>
    </row>
    <row r="79" spans="1:18" ht="15.75" customHeight="1" x14ac:dyDescent="0.35">
      <c r="A79" s="54" t="s">
        <v>147</v>
      </c>
      <c r="B79" s="55" t="s">
        <v>162</v>
      </c>
      <c r="C79" s="55" t="s">
        <v>134</v>
      </c>
      <c r="D79" s="55"/>
      <c r="E79" s="55"/>
      <c r="F79" s="55"/>
      <c r="G79" s="55"/>
      <c r="H79" s="55"/>
      <c r="I79" s="70"/>
      <c r="J79" s="55">
        <v>100</v>
      </c>
      <c r="K79" s="55">
        <v>100</v>
      </c>
      <c r="L79" s="80"/>
      <c r="M79" s="80"/>
      <c r="N79" s="69">
        <f t="shared" si="10"/>
        <v>100</v>
      </c>
      <c r="O79" s="69">
        <f t="shared" si="13"/>
        <v>0</v>
      </c>
      <c r="P79" s="58">
        <f t="shared" si="11"/>
        <v>0</v>
      </c>
      <c r="Q79" s="85"/>
      <c r="R79" s="59">
        <f t="shared" si="12"/>
        <v>0</v>
      </c>
    </row>
    <row r="80" spans="1:18" ht="15.75" customHeight="1" x14ac:dyDescent="0.35">
      <c r="A80" s="54" t="s">
        <v>46</v>
      </c>
      <c r="B80" s="55" t="s">
        <v>162</v>
      </c>
      <c r="C80" s="55" t="s">
        <v>134</v>
      </c>
      <c r="D80" s="55">
        <v>100</v>
      </c>
      <c r="E80" s="55">
        <v>99</v>
      </c>
      <c r="F80" s="55">
        <v>100</v>
      </c>
      <c r="G80" s="55">
        <v>93</v>
      </c>
      <c r="H80" s="55">
        <v>95</v>
      </c>
      <c r="I80" s="70"/>
      <c r="J80" s="55"/>
      <c r="K80" s="55">
        <v>100</v>
      </c>
      <c r="L80" s="80"/>
      <c r="M80" s="80"/>
      <c r="N80" s="69">
        <f t="shared" si="10"/>
        <v>97.833333333333329</v>
      </c>
      <c r="O80" s="69">
        <f t="shared" si="13"/>
        <v>1.4300000000000033</v>
      </c>
      <c r="P80" s="58">
        <f t="shared" si="11"/>
        <v>0</v>
      </c>
      <c r="Q80" s="85"/>
      <c r="R80" s="59">
        <f t="shared" si="12"/>
        <v>0</v>
      </c>
    </row>
    <row r="81" spans="1:18" ht="15.75" customHeight="1" x14ac:dyDescent="0.35">
      <c r="A81" s="54" t="s">
        <v>49</v>
      </c>
      <c r="B81" s="55" t="s">
        <v>162</v>
      </c>
      <c r="C81" s="55" t="s">
        <v>134</v>
      </c>
      <c r="D81" s="55"/>
      <c r="E81" s="55"/>
      <c r="F81" s="55">
        <v>93</v>
      </c>
      <c r="G81" s="55"/>
      <c r="H81" s="55"/>
      <c r="I81" s="70"/>
      <c r="J81" s="55"/>
      <c r="K81" s="55"/>
      <c r="L81" s="80"/>
      <c r="M81" s="80"/>
      <c r="N81" s="69">
        <f t="shared" si="10"/>
        <v>93</v>
      </c>
      <c r="O81" s="69">
        <f t="shared" si="13"/>
        <v>4.62</v>
      </c>
      <c r="P81" s="58">
        <f t="shared" si="11"/>
        <v>0</v>
      </c>
      <c r="Q81" s="85"/>
      <c r="R81" s="59">
        <f t="shared" si="12"/>
        <v>0</v>
      </c>
    </row>
    <row r="82" spans="1:18" ht="15.75" customHeight="1" x14ac:dyDescent="0.35">
      <c r="A82" s="54" t="s">
        <v>32</v>
      </c>
      <c r="B82" s="55" t="s">
        <v>162</v>
      </c>
      <c r="C82" s="55" t="s">
        <v>134</v>
      </c>
      <c r="D82" s="55"/>
      <c r="E82" s="55"/>
      <c r="F82" s="55">
        <v>98</v>
      </c>
      <c r="G82" s="55"/>
      <c r="H82" s="55"/>
      <c r="I82" s="70"/>
      <c r="J82" s="55"/>
      <c r="K82" s="55"/>
      <c r="L82" s="80"/>
      <c r="M82" s="80"/>
      <c r="N82" s="69">
        <f t="shared" si="10"/>
        <v>98</v>
      </c>
      <c r="O82" s="69">
        <f t="shared" si="13"/>
        <v>1.32</v>
      </c>
      <c r="P82" s="58">
        <f t="shared" si="11"/>
        <v>0</v>
      </c>
      <c r="Q82" s="85"/>
      <c r="R82" s="59">
        <f t="shared" si="12"/>
        <v>0</v>
      </c>
    </row>
    <row r="83" spans="1:18" ht="15.75" customHeight="1" x14ac:dyDescent="0.35">
      <c r="A83" s="54" t="s">
        <v>47</v>
      </c>
      <c r="B83" s="55" t="s">
        <v>162</v>
      </c>
      <c r="C83" s="55" t="s">
        <v>134</v>
      </c>
      <c r="D83" s="55"/>
      <c r="E83" s="55">
        <v>99</v>
      </c>
      <c r="F83" s="55"/>
      <c r="G83" s="55">
        <v>96</v>
      </c>
      <c r="H83" s="55"/>
      <c r="I83" s="70"/>
      <c r="J83" s="55">
        <v>93</v>
      </c>
      <c r="K83" s="55">
        <v>95</v>
      </c>
      <c r="L83" s="80"/>
      <c r="M83" s="80"/>
      <c r="N83" s="69">
        <f t="shared" si="10"/>
        <v>95.75</v>
      </c>
      <c r="O83" s="69">
        <f t="shared" si="13"/>
        <v>2.8050000000000002</v>
      </c>
      <c r="P83" s="58">
        <f t="shared" si="11"/>
        <v>0</v>
      </c>
      <c r="Q83" s="85"/>
      <c r="R83" s="59">
        <f t="shared" si="12"/>
        <v>0</v>
      </c>
    </row>
    <row r="84" spans="1:18" ht="15.75" customHeight="1" x14ac:dyDescent="0.35">
      <c r="A84" s="54" t="s">
        <v>52</v>
      </c>
      <c r="B84" s="55" t="s">
        <v>162</v>
      </c>
      <c r="C84" s="55" t="s">
        <v>134</v>
      </c>
      <c r="D84" s="55">
        <v>98</v>
      </c>
      <c r="E84" s="55"/>
      <c r="F84" s="55"/>
      <c r="G84" s="55"/>
      <c r="H84" s="55"/>
      <c r="I84" s="70"/>
      <c r="J84" s="55"/>
      <c r="K84" s="55"/>
      <c r="L84" s="80"/>
      <c r="M84" s="80"/>
      <c r="N84" s="69">
        <f t="shared" si="10"/>
        <v>98</v>
      </c>
      <c r="O84" s="69">
        <f t="shared" si="13"/>
        <v>1.32</v>
      </c>
      <c r="P84" s="58">
        <f t="shared" si="11"/>
        <v>0</v>
      </c>
      <c r="Q84" s="85"/>
      <c r="R84" s="59">
        <f t="shared" si="12"/>
        <v>0</v>
      </c>
    </row>
    <row r="85" spans="1:18" ht="15.75" customHeight="1" x14ac:dyDescent="0.35">
      <c r="A85" s="54" t="s">
        <v>148</v>
      </c>
      <c r="B85" s="55" t="s">
        <v>162</v>
      </c>
      <c r="C85" s="55" t="s">
        <v>134</v>
      </c>
      <c r="D85" s="55"/>
      <c r="E85" s="55"/>
      <c r="F85" s="55"/>
      <c r="G85" s="55"/>
      <c r="H85" s="55"/>
      <c r="I85" s="70"/>
      <c r="J85" s="55">
        <v>100</v>
      </c>
      <c r="K85" s="55">
        <v>100</v>
      </c>
      <c r="L85" s="80"/>
      <c r="M85" s="80"/>
      <c r="N85" s="69">
        <f t="shared" si="10"/>
        <v>100</v>
      </c>
      <c r="O85" s="69">
        <f t="shared" si="13"/>
        <v>0</v>
      </c>
      <c r="P85" s="58">
        <f t="shared" si="11"/>
        <v>0</v>
      </c>
      <c r="Q85" s="85"/>
      <c r="R85" s="59">
        <f t="shared" si="12"/>
        <v>0</v>
      </c>
    </row>
    <row r="86" spans="1:18" ht="15.75" customHeight="1" x14ac:dyDescent="0.35">
      <c r="A86" s="54" t="s">
        <v>37</v>
      </c>
      <c r="B86" s="55" t="s">
        <v>162</v>
      </c>
      <c r="C86" s="55" t="s">
        <v>134</v>
      </c>
      <c r="D86" s="55"/>
      <c r="E86" s="55"/>
      <c r="F86" s="55">
        <v>94</v>
      </c>
      <c r="G86" s="55"/>
      <c r="H86" s="55"/>
      <c r="I86" s="70"/>
      <c r="J86" s="55"/>
      <c r="K86" s="55">
        <v>98</v>
      </c>
      <c r="L86" s="80"/>
      <c r="M86" s="80"/>
      <c r="N86" s="69">
        <f t="shared" si="10"/>
        <v>96</v>
      </c>
      <c r="O86" s="69">
        <f t="shared" si="13"/>
        <v>2.64</v>
      </c>
      <c r="P86" s="58">
        <f t="shared" si="11"/>
        <v>0</v>
      </c>
      <c r="Q86" s="85"/>
      <c r="R86" s="59">
        <f t="shared" si="12"/>
        <v>0</v>
      </c>
    </row>
    <row r="87" spans="1:18" ht="15.75" customHeight="1" x14ac:dyDescent="0.35">
      <c r="A87" s="54" t="s">
        <v>25</v>
      </c>
      <c r="B87" s="55" t="s">
        <v>162</v>
      </c>
      <c r="C87" s="55" t="s">
        <v>134</v>
      </c>
      <c r="D87" s="55"/>
      <c r="E87" s="55"/>
      <c r="F87" s="55"/>
      <c r="G87" s="55"/>
      <c r="H87" s="55"/>
      <c r="I87" s="70"/>
      <c r="J87" s="55">
        <v>97</v>
      </c>
      <c r="K87" s="55"/>
      <c r="L87" s="80"/>
      <c r="M87" s="80"/>
      <c r="N87" s="69">
        <f t="shared" si="10"/>
        <v>97</v>
      </c>
      <c r="O87" s="69">
        <f t="shared" si="13"/>
        <v>1.98</v>
      </c>
      <c r="P87" s="58">
        <f t="shared" si="11"/>
        <v>0</v>
      </c>
      <c r="Q87" s="85"/>
      <c r="R87" s="59">
        <f t="shared" si="12"/>
        <v>0</v>
      </c>
    </row>
    <row r="88" spans="1:18" ht="15.75" customHeight="1" x14ac:dyDescent="0.35">
      <c r="A88" s="54" t="s">
        <v>85</v>
      </c>
      <c r="B88" s="55" t="s">
        <v>28</v>
      </c>
      <c r="C88" s="55" t="s">
        <v>83</v>
      </c>
      <c r="D88" s="55">
        <v>94</v>
      </c>
      <c r="E88" s="55">
        <v>94</v>
      </c>
      <c r="F88" s="55">
        <v>97</v>
      </c>
      <c r="G88" s="55">
        <v>88</v>
      </c>
      <c r="H88" s="55">
        <v>92</v>
      </c>
      <c r="I88" s="70"/>
      <c r="J88" s="55">
        <v>92</v>
      </c>
      <c r="K88" s="55">
        <v>95</v>
      </c>
      <c r="L88" s="80">
        <v>90</v>
      </c>
      <c r="M88" s="80"/>
      <c r="N88" s="69">
        <f t="shared" si="10"/>
        <v>92.75</v>
      </c>
      <c r="O88" s="69">
        <f t="shared" si="13"/>
        <v>4.7850000000000001</v>
      </c>
      <c r="P88" s="58">
        <f t="shared" si="11"/>
        <v>0</v>
      </c>
      <c r="Q88" s="85"/>
      <c r="R88" s="59">
        <f t="shared" si="12"/>
        <v>0</v>
      </c>
    </row>
    <row r="89" spans="1:18" ht="15.75" customHeight="1" x14ac:dyDescent="0.35">
      <c r="A89" s="54" t="s">
        <v>88</v>
      </c>
      <c r="B89" s="55" t="s">
        <v>28</v>
      </c>
      <c r="C89" s="55" t="s">
        <v>83</v>
      </c>
      <c r="D89" s="55">
        <v>95</v>
      </c>
      <c r="E89" s="55"/>
      <c r="F89" s="55"/>
      <c r="G89" s="55">
        <v>97</v>
      </c>
      <c r="H89" s="55"/>
      <c r="I89" s="70"/>
      <c r="J89" s="55">
        <v>91</v>
      </c>
      <c r="K89" s="55">
        <v>97</v>
      </c>
      <c r="L89" s="80"/>
      <c r="M89" s="80"/>
      <c r="N89" s="69">
        <f t="shared" si="10"/>
        <v>95</v>
      </c>
      <c r="O89" s="69">
        <f t="shared" si="13"/>
        <v>3.3000000000000003</v>
      </c>
      <c r="P89" s="58">
        <f t="shared" si="11"/>
        <v>0</v>
      </c>
      <c r="Q89" s="85"/>
      <c r="R89" s="59">
        <f t="shared" si="12"/>
        <v>0</v>
      </c>
    </row>
    <row r="90" spans="1:18" ht="15.75" customHeight="1" x14ac:dyDescent="0.35">
      <c r="A90" s="54" t="s">
        <v>90</v>
      </c>
      <c r="B90" s="55" t="s">
        <v>28</v>
      </c>
      <c r="C90" s="55" t="s">
        <v>83</v>
      </c>
      <c r="D90" s="55">
        <v>88</v>
      </c>
      <c r="E90" s="55">
        <v>92</v>
      </c>
      <c r="F90" s="55"/>
      <c r="G90" s="55"/>
      <c r="H90" s="55">
        <v>94</v>
      </c>
      <c r="I90" s="70"/>
      <c r="J90" s="55">
        <v>96</v>
      </c>
      <c r="K90" s="55"/>
      <c r="L90" s="80"/>
      <c r="M90" s="80"/>
      <c r="N90" s="69">
        <f t="shared" si="10"/>
        <v>92.5</v>
      </c>
      <c r="O90" s="69">
        <f t="shared" si="13"/>
        <v>4.95</v>
      </c>
      <c r="P90" s="58">
        <f t="shared" si="11"/>
        <v>0</v>
      </c>
      <c r="Q90" s="85"/>
      <c r="R90" s="59">
        <f t="shared" si="12"/>
        <v>0</v>
      </c>
    </row>
    <row r="91" spans="1:18" ht="15.75" customHeight="1" x14ac:dyDescent="0.35">
      <c r="A91" s="54" t="s">
        <v>79</v>
      </c>
      <c r="B91" s="55" t="s">
        <v>28</v>
      </c>
      <c r="C91" s="55" t="s">
        <v>59</v>
      </c>
      <c r="D91" s="55">
        <v>98</v>
      </c>
      <c r="E91" s="55">
        <v>100</v>
      </c>
      <c r="F91" s="55"/>
      <c r="G91" s="55"/>
      <c r="H91" s="55">
        <v>97</v>
      </c>
      <c r="I91" s="70"/>
      <c r="J91" s="55">
        <v>99</v>
      </c>
      <c r="K91" s="55">
        <v>98</v>
      </c>
      <c r="L91" s="80"/>
      <c r="M91" s="80"/>
      <c r="N91" s="69">
        <f t="shared" si="10"/>
        <v>98.4</v>
      </c>
      <c r="O91" s="69">
        <f t="shared" si="13"/>
        <v>1.0559999999999963</v>
      </c>
      <c r="P91" s="58">
        <f t="shared" si="11"/>
        <v>0</v>
      </c>
      <c r="Q91" s="85"/>
      <c r="R91" s="59">
        <f t="shared" si="12"/>
        <v>0</v>
      </c>
    </row>
    <row r="92" spans="1:18" ht="15.75" customHeight="1" x14ac:dyDescent="0.35">
      <c r="A92" s="54" t="s">
        <v>29</v>
      </c>
      <c r="B92" s="55" t="s">
        <v>28</v>
      </c>
      <c r="C92" s="55" t="s">
        <v>134</v>
      </c>
      <c r="D92" s="55"/>
      <c r="E92" s="55"/>
      <c r="F92" s="55">
        <v>99</v>
      </c>
      <c r="G92" s="55">
        <v>99</v>
      </c>
      <c r="H92" s="55">
        <f>39+48</f>
        <v>87</v>
      </c>
      <c r="I92" s="70"/>
      <c r="J92" s="55"/>
      <c r="K92" s="55"/>
      <c r="L92" s="80">
        <v>92</v>
      </c>
      <c r="M92" s="80"/>
      <c r="N92" s="69">
        <f t="shared" si="10"/>
        <v>94.25</v>
      </c>
      <c r="O92" s="69">
        <f t="shared" si="13"/>
        <v>3.7950000000000004</v>
      </c>
      <c r="P92" s="58">
        <f t="shared" si="11"/>
        <v>0</v>
      </c>
      <c r="Q92" s="85"/>
      <c r="R92" s="59">
        <f t="shared" si="12"/>
        <v>0</v>
      </c>
    </row>
    <row r="93" spans="1:18" ht="15.75" customHeight="1" x14ac:dyDescent="0.35">
      <c r="A93" s="54" t="s">
        <v>56</v>
      </c>
      <c r="B93" s="55" t="s">
        <v>28</v>
      </c>
      <c r="C93" s="55" t="s">
        <v>134</v>
      </c>
      <c r="D93" s="55">
        <v>98</v>
      </c>
      <c r="E93" s="55">
        <v>92</v>
      </c>
      <c r="F93" s="55"/>
      <c r="G93" s="55">
        <v>92</v>
      </c>
      <c r="H93" s="55">
        <v>85</v>
      </c>
      <c r="I93" s="70"/>
      <c r="J93" s="55">
        <v>97</v>
      </c>
      <c r="K93" s="55">
        <f>45+50</f>
        <v>95</v>
      </c>
      <c r="L93" s="80"/>
      <c r="M93" s="80"/>
      <c r="N93" s="69">
        <f t="shared" ref="N93:N104" si="14">AVERAGE(D93:L93)</f>
        <v>93.166666666666671</v>
      </c>
      <c r="O93" s="69">
        <f t="shared" si="13"/>
        <v>4.5099999999999971</v>
      </c>
      <c r="P93" s="58">
        <f t="shared" si="11"/>
        <v>0</v>
      </c>
      <c r="Q93" s="85"/>
      <c r="R93" s="59">
        <f t="shared" si="12"/>
        <v>0</v>
      </c>
    </row>
    <row r="94" spans="1:18" ht="15.75" customHeight="1" x14ac:dyDescent="0.35">
      <c r="A94" s="54" t="s">
        <v>30</v>
      </c>
      <c r="B94" s="55" t="s">
        <v>28</v>
      </c>
      <c r="C94" s="55" t="s">
        <v>134</v>
      </c>
      <c r="D94" s="55">
        <v>93</v>
      </c>
      <c r="E94" s="55"/>
      <c r="F94" s="55">
        <v>96</v>
      </c>
      <c r="G94" s="55">
        <v>77</v>
      </c>
      <c r="H94" s="55"/>
      <c r="I94" s="70"/>
      <c r="J94" s="55"/>
      <c r="K94" s="55"/>
      <c r="L94" s="80"/>
      <c r="M94" s="80"/>
      <c r="N94" s="69">
        <f t="shared" si="14"/>
        <v>88.666666666666671</v>
      </c>
      <c r="O94" s="69">
        <f t="shared" si="13"/>
        <v>7.4799999999999969</v>
      </c>
      <c r="P94" s="58">
        <f t="shared" si="11"/>
        <v>0</v>
      </c>
      <c r="Q94" s="85"/>
      <c r="R94" s="59">
        <f t="shared" si="12"/>
        <v>0</v>
      </c>
    </row>
    <row r="95" spans="1:18" ht="15.75" customHeight="1" x14ac:dyDescent="0.35">
      <c r="A95" s="54" t="s">
        <v>55</v>
      </c>
      <c r="B95" s="55" t="s">
        <v>28</v>
      </c>
      <c r="C95" s="55" t="s">
        <v>134</v>
      </c>
      <c r="D95" s="55"/>
      <c r="E95" s="55"/>
      <c r="F95" s="55"/>
      <c r="G95" s="55"/>
      <c r="H95" s="55">
        <f>46+47</f>
        <v>93</v>
      </c>
      <c r="I95" s="70"/>
      <c r="J95" s="55"/>
      <c r="K95" s="55"/>
      <c r="L95" s="80"/>
      <c r="M95" s="80"/>
      <c r="N95" s="69">
        <f t="shared" si="14"/>
        <v>93</v>
      </c>
      <c r="O95" s="69">
        <f t="shared" si="13"/>
        <v>4.62</v>
      </c>
      <c r="P95" s="58">
        <f t="shared" si="11"/>
        <v>0</v>
      </c>
      <c r="Q95" s="85"/>
      <c r="R95" s="59">
        <f t="shared" si="12"/>
        <v>0</v>
      </c>
    </row>
    <row r="96" spans="1:18" ht="15.75" customHeight="1" x14ac:dyDescent="0.35">
      <c r="A96" s="54" t="s">
        <v>27</v>
      </c>
      <c r="B96" s="55" t="s">
        <v>28</v>
      </c>
      <c r="C96" s="55" t="s">
        <v>134</v>
      </c>
      <c r="D96" s="55">
        <v>96</v>
      </c>
      <c r="E96" s="55"/>
      <c r="F96" s="55"/>
      <c r="G96" s="55"/>
      <c r="H96" s="55"/>
      <c r="I96" s="70"/>
      <c r="J96" s="55"/>
      <c r="K96" s="55"/>
      <c r="L96" s="80"/>
      <c r="M96" s="80"/>
      <c r="N96" s="69">
        <f t="shared" si="14"/>
        <v>96</v>
      </c>
      <c r="O96" s="69">
        <f t="shared" si="13"/>
        <v>2.64</v>
      </c>
      <c r="P96" s="58">
        <f t="shared" si="11"/>
        <v>0</v>
      </c>
      <c r="Q96" s="85"/>
      <c r="R96" s="59">
        <f t="shared" si="12"/>
        <v>0</v>
      </c>
    </row>
    <row r="97" spans="1:18" ht="15.75" customHeight="1" x14ac:dyDescent="0.35">
      <c r="A97" s="54" t="s">
        <v>41</v>
      </c>
      <c r="B97" s="55" t="s">
        <v>28</v>
      </c>
      <c r="C97" s="55" t="s">
        <v>134</v>
      </c>
      <c r="D97" s="55">
        <v>87</v>
      </c>
      <c r="E97" s="55"/>
      <c r="F97" s="55">
        <v>93</v>
      </c>
      <c r="G97" s="55">
        <v>85</v>
      </c>
      <c r="H97" s="55">
        <f>39+47</f>
        <v>86</v>
      </c>
      <c r="I97" s="70"/>
      <c r="J97" s="55">
        <v>93</v>
      </c>
      <c r="K97" s="55">
        <f>45+49</f>
        <v>94</v>
      </c>
      <c r="L97" s="80"/>
      <c r="M97" s="80"/>
      <c r="N97" s="69">
        <f t="shared" si="14"/>
        <v>89.666666666666671</v>
      </c>
      <c r="O97" s="69">
        <f t="shared" si="13"/>
        <v>6.8199999999999976</v>
      </c>
      <c r="P97" s="58">
        <f t="shared" si="11"/>
        <v>0</v>
      </c>
      <c r="Q97" s="85"/>
      <c r="R97" s="59">
        <f t="shared" si="12"/>
        <v>0</v>
      </c>
    </row>
    <row r="98" spans="1:18" ht="15.75" customHeight="1" x14ac:dyDescent="0.35">
      <c r="A98" s="54" t="s">
        <v>54</v>
      </c>
      <c r="B98" s="55" t="s">
        <v>28</v>
      </c>
      <c r="C98" s="55" t="s">
        <v>134</v>
      </c>
      <c r="D98" s="55"/>
      <c r="E98" s="55"/>
      <c r="F98" s="55"/>
      <c r="G98" s="55">
        <v>85</v>
      </c>
      <c r="H98" s="55"/>
      <c r="I98" s="70"/>
      <c r="J98" s="55"/>
      <c r="K98" s="55"/>
      <c r="L98" s="80"/>
      <c r="M98" s="80"/>
      <c r="N98" s="69">
        <f t="shared" si="14"/>
        <v>85</v>
      </c>
      <c r="O98" s="69">
        <f t="shared" si="13"/>
        <v>9.9</v>
      </c>
      <c r="P98" s="58">
        <f t="shared" si="11"/>
        <v>0</v>
      </c>
      <c r="Q98" s="85"/>
      <c r="R98" s="59">
        <f t="shared" si="12"/>
        <v>0</v>
      </c>
    </row>
    <row r="99" spans="1:18" ht="15.75" customHeight="1" x14ac:dyDescent="0.35">
      <c r="A99" s="54" t="s">
        <v>100</v>
      </c>
      <c r="B99" s="55" t="s">
        <v>28</v>
      </c>
      <c r="C99" s="55" t="s">
        <v>95</v>
      </c>
      <c r="D99" s="55">
        <v>94</v>
      </c>
      <c r="E99" s="55"/>
      <c r="F99" s="55">
        <v>97</v>
      </c>
      <c r="G99" s="55">
        <v>88</v>
      </c>
      <c r="H99" s="55">
        <v>87</v>
      </c>
      <c r="I99" s="70"/>
      <c r="J99" s="55">
        <v>86</v>
      </c>
      <c r="K99" s="55">
        <v>98</v>
      </c>
      <c r="L99" s="80"/>
      <c r="M99" s="80"/>
      <c r="N99" s="69">
        <f t="shared" si="14"/>
        <v>91.666666666666671</v>
      </c>
      <c r="O99" s="69">
        <f t="shared" si="13"/>
        <v>5.4999999999999973</v>
      </c>
      <c r="P99" s="58">
        <f t="shared" si="11"/>
        <v>0</v>
      </c>
      <c r="Q99" s="85"/>
      <c r="R99" s="59">
        <f t="shared" si="12"/>
        <v>0</v>
      </c>
    </row>
    <row r="100" spans="1:18" ht="15.75" customHeight="1" x14ac:dyDescent="0.35">
      <c r="A100" s="54" t="s">
        <v>112</v>
      </c>
      <c r="B100" s="55" t="s">
        <v>28</v>
      </c>
      <c r="C100" s="55" t="s">
        <v>134</v>
      </c>
      <c r="D100" s="55">
        <v>95</v>
      </c>
      <c r="E100" s="55">
        <v>95</v>
      </c>
      <c r="F100" s="55">
        <v>98</v>
      </c>
      <c r="G100" s="55">
        <v>83</v>
      </c>
      <c r="H100" s="55">
        <v>83</v>
      </c>
      <c r="I100" s="70"/>
      <c r="J100" s="55"/>
      <c r="K100" s="55">
        <v>95</v>
      </c>
      <c r="L100" s="80"/>
      <c r="M100" s="80"/>
      <c r="N100" s="69">
        <f t="shared" si="14"/>
        <v>91.5</v>
      </c>
      <c r="O100" s="69">
        <f t="shared" si="13"/>
        <v>5.61</v>
      </c>
      <c r="P100" s="58">
        <f t="shared" si="11"/>
        <v>0</v>
      </c>
      <c r="Q100" s="85"/>
      <c r="R100" s="59">
        <f t="shared" si="12"/>
        <v>0</v>
      </c>
    </row>
    <row r="101" spans="1:18" ht="15.75" customHeight="1" x14ac:dyDescent="0.35">
      <c r="A101" s="54" t="s">
        <v>116</v>
      </c>
      <c r="B101" s="55" t="s">
        <v>28</v>
      </c>
      <c r="C101" s="55" t="s">
        <v>136</v>
      </c>
      <c r="D101" s="55">
        <v>94</v>
      </c>
      <c r="E101" s="55"/>
      <c r="F101" s="55">
        <v>90</v>
      </c>
      <c r="G101" s="55">
        <v>85</v>
      </c>
      <c r="H101" s="55">
        <v>82</v>
      </c>
      <c r="I101" s="70"/>
      <c r="J101" s="55"/>
      <c r="K101" s="55"/>
      <c r="L101" s="80"/>
      <c r="M101" s="80"/>
      <c r="N101" s="69">
        <f t="shared" si="14"/>
        <v>87.75</v>
      </c>
      <c r="O101" s="69">
        <f t="shared" si="13"/>
        <v>8.0850000000000009</v>
      </c>
      <c r="P101" s="58">
        <f t="shared" si="11"/>
        <v>0</v>
      </c>
      <c r="Q101" s="85"/>
      <c r="R101" s="59">
        <f t="shared" si="12"/>
        <v>0</v>
      </c>
    </row>
    <row r="102" spans="1:18" ht="15.75" customHeight="1" x14ac:dyDescent="0.35">
      <c r="A102" s="54" t="s">
        <v>107</v>
      </c>
      <c r="B102" s="55" t="s">
        <v>28</v>
      </c>
      <c r="C102" s="55" t="s">
        <v>136</v>
      </c>
      <c r="D102" s="55"/>
      <c r="E102" s="55"/>
      <c r="F102" s="55">
        <v>96</v>
      </c>
      <c r="G102" s="55">
        <v>80</v>
      </c>
      <c r="H102" s="55">
        <v>91</v>
      </c>
      <c r="I102" s="70"/>
      <c r="J102" s="55"/>
      <c r="K102" s="55">
        <v>98</v>
      </c>
      <c r="L102" s="80"/>
      <c r="M102" s="80"/>
      <c r="N102" s="69">
        <f t="shared" si="14"/>
        <v>91.25</v>
      </c>
      <c r="O102" s="69">
        <f t="shared" si="13"/>
        <v>5.7750000000000004</v>
      </c>
      <c r="P102" s="58">
        <f t="shared" si="11"/>
        <v>0</v>
      </c>
      <c r="Q102" s="85"/>
      <c r="R102" s="59">
        <f t="shared" si="12"/>
        <v>0</v>
      </c>
    </row>
    <row r="103" spans="1:18" ht="15.75" customHeight="1" x14ac:dyDescent="0.35">
      <c r="A103" s="54" t="s">
        <v>109</v>
      </c>
      <c r="B103" s="55" t="s">
        <v>28</v>
      </c>
      <c r="C103" s="55" t="s">
        <v>136</v>
      </c>
      <c r="D103" s="55"/>
      <c r="E103" s="55">
        <v>96</v>
      </c>
      <c r="F103" s="55"/>
      <c r="G103" s="55"/>
      <c r="H103" s="55"/>
      <c r="I103" s="70"/>
      <c r="J103" s="55"/>
      <c r="K103" s="55"/>
      <c r="L103" s="80"/>
      <c r="M103" s="80"/>
      <c r="N103" s="69">
        <f t="shared" si="14"/>
        <v>96</v>
      </c>
      <c r="O103" s="69">
        <f t="shared" si="13"/>
        <v>2.64</v>
      </c>
      <c r="P103" s="58">
        <f t="shared" si="11"/>
        <v>0</v>
      </c>
      <c r="Q103" s="85"/>
      <c r="R103" s="59">
        <f t="shared" si="12"/>
        <v>0</v>
      </c>
    </row>
    <row r="104" spans="1:18" ht="15.75" customHeight="1" x14ac:dyDescent="0.35">
      <c r="A104" s="54" t="s">
        <v>108</v>
      </c>
      <c r="B104" s="55" t="s">
        <v>28</v>
      </c>
      <c r="C104" s="55" t="s">
        <v>136</v>
      </c>
      <c r="D104" s="55"/>
      <c r="E104" s="55">
        <v>98</v>
      </c>
      <c r="F104" s="55"/>
      <c r="G104" s="55"/>
      <c r="H104" s="55"/>
      <c r="I104" s="70"/>
      <c r="J104" s="55"/>
      <c r="K104" s="55"/>
      <c r="L104" s="80"/>
      <c r="M104" s="80"/>
      <c r="N104" s="69">
        <f t="shared" si="14"/>
        <v>98</v>
      </c>
      <c r="O104" s="69">
        <f t="shared" si="13"/>
        <v>1.32</v>
      </c>
      <c r="P104" s="58">
        <f t="shared" si="11"/>
        <v>0</v>
      </c>
      <c r="Q104" s="85"/>
      <c r="R104" s="59">
        <f t="shared" si="12"/>
        <v>0</v>
      </c>
    </row>
    <row r="105" spans="1:18" ht="15.75" customHeight="1" x14ac:dyDescent="0.3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84"/>
      <c r="M105" s="84"/>
      <c r="N105" s="30"/>
      <c r="O105" s="39"/>
      <c r="P105" s="30"/>
      <c r="Q105" s="50"/>
      <c r="R105" s="49"/>
    </row>
    <row r="106" spans="1:18" ht="15.75" customHeight="1" x14ac:dyDescent="0.3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84"/>
      <c r="M106" s="84"/>
      <c r="N106" s="30"/>
      <c r="O106" s="39"/>
      <c r="P106" s="30"/>
      <c r="Q106" s="50"/>
      <c r="R106" s="49"/>
    </row>
    <row r="107" spans="1:18" ht="15.75" customHeight="1" x14ac:dyDescent="0.3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84"/>
      <c r="M107" s="84"/>
      <c r="N107" s="30"/>
      <c r="O107" s="39"/>
      <c r="P107" s="30"/>
      <c r="Q107" s="50"/>
      <c r="R107" s="49"/>
    </row>
    <row r="108" spans="1:18" ht="15.75" customHeight="1" x14ac:dyDescent="0.3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84"/>
      <c r="M108" s="84"/>
      <c r="N108" s="30"/>
      <c r="O108" s="39"/>
      <c r="P108" s="30"/>
      <c r="Q108" s="50"/>
      <c r="R108" s="49"/>
    </row>
    <row r="109" spans="1:18" ht="15.75" customHeight="1" x14ac:dyDescent="0.3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84"/>
      <c r="M109" s="84"/>
      <c r="N109" s="30"/>
      <c r="O109" s="39"/>
      <c r="P109" s="30"/>
      <c r="Q109" s="50"/>
      <c r="R109" s="49"/>
    </row>
    <row r="110" spans="1:18" ht="15.75" customHeight="1" x14ac:dyDescent="0.3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84"/>
      <c r="M110" s="84"/>
      <c r="N110" s="30"/>
      <c r="O110" s="39"/>
      <c r="P110" s="30"/>
      <c r="Q110" s="50"/>
      <c r="R110" s="49"/>
    </row>
    <row r="111" spans="1:18" ht="15.75" customHeight="1" x14ac:dyDescent="0.3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84"/>
      <c r="M111" s="84"/>
      <c r="N111" s="30"/>
      <c r="O111" s="39"/>
      <c r="P111" s="30"/>
      <c r="Q111" s="50"/>
      <c r="R111" s="49"/>
    </row>
    <row r="112" spans="1:18" ht="15.75" customHeight="1" x14ac:dyDescent="0.3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84"/>
      <c r="M112" s="84"/>
      <c r="N112" s="30"/>
      <c r="O112" s="39"/>
      <c r="P112" s="30"/>
      <c r="Q112" s="50"/>
      <c r="R112" s="49"/>
    </row>
    <row r="113" spans="1:18" ht="15.75" customHeight="1" x14ac:dyDescent="0.3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84"/>
      <c r="M113" s="84"/>
      <c r="N113" s="30"/>
      <c r="O113" s="39"/>
      <c r="P113" s="30"/>
      <c r="Q113" s="50"/>
      <c r="R113" s="49"/>
    </row>
    <row r="114" spans="1:18" ht="15.75" customHeight="1" x14ac:dyDescent="0.3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84"/>
      <c r="M114" s="84"/>
      <c r="N114" s="30"/>
      <c r="O114" s="39"/>
      <c r="P114" s="30"/>
      <c r="Q114" s="50"/>
      <c r="R114" s="49"/>
    </row>
    <row r="115" spans="1:18" ht="15.75" customHeight="1" x14ac:dyDescent="0.3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84"/>
      <c r="M115" s="84"/>
      <c r="N115" s="30"/>
      <c r="O115" s="39"/>
      <c r="P115" s="30"/>
      <c r="Q115" s="50"/>
      <c r="R115" s="49"/>
    </row>
    <row r="116" spans="1:18" ht="15.75" customHeight="1" x14ac:dyDescent="0.3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84"/>
      <c r="M116" s="84"/>
      <c r="N116" s="30"/>
      <c r="O116" s="39"/>
      <c r="P116" s="30"/>
      <c r="Q116" s="50"/>
      <c r="R116" s="49"/>
    </row>
    <row r="117" spans="1:18" ht="15.75" customHeight="1" x14ac:dyDescent="0.3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84"/>
      <c r="M117" s="84"/>
      <c r="N117" s="30"/>
      <c r="O117" s="39"/>
      <c r="P117" s="30"/>
      <c r="Q117" s="50"/>
      <c r="R117" s="49"/>
    </row>
    <row r="118" spans="1:18" ht="15.75" customHeight="1" x14ac:dyDescent="0.3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84"/>
      <c r="M118" s="84"/>
      <c r="N118" s="30"/>
      <c r="O118" s="39"/>
      <c r="P118" s="30"/>
      <c r="Q118" s="50"/>
      <c r="R118" s="49"/>
    </row>
    <row r="119" spans="1:18" ht="15.75" customHeight="1" x14ac:dyDescent="0.3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84"/>
      <c r="M119" s="84"/>
      <c r="N119" s="30"/>
      <c r="O119" s="39"/>
      <c r="P119" s="30"/>
      <c r="Q119" s="50"/>
      <c r="R119" s="49"/>
    </row>
    <row r="120" spans="1:18" ht="15.75" customHeight="1" x14ac:dyDescent="0.3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84"/>
      <c r="M120" s="84"/>
      <c r="N120" s="30"/>
      <c r="O120" s="39"/>
      <c r="P120" s="30"/>
      <c r="Q120" s="50"/>
      <c r="R120" s="49"/>
    </row>
    <row r="121" spans="1:18" ht="15.75" customHeight="1" x14ac:dyDescent="0.3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84"/>
      <c r="M121" s="84"/>
      <c r="N121" s="30"/>
      <c r="O121" s="39"/>
      <c r="P121" s="30"/>
      <c r="Q121" s="50"/>
      <c r="R121" s="49"/>
    </row>
    <row r="122" spans="1:18" ht="15.75" customHeight="1" x14ac:dyDescent="0.3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84"/>
      <c r="M122" s="84"/>
      <c r="N122" s="30"/>
      <c r="O122" s="39"/>
      <c r="P122" s="30"/>
      <c r="Q122" s="50"/>
      <c r="R122" s="49"/>
    </row>
    <row r="123" spans="1:18" ht="15.75" customHeight="1" x14ac:dyDescent="0.3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84"/>
      <c r="M123" s="84"/>
      <c r="N123" s="30"/>
      <c r="O123" s="39"/>
      <c r="P123" s="30"/>
      <c r="Q123" s="50"/>
      <c r="R123" s="49"/>
    </row>
    <row r="124" spans="1:18" ht="15.75" customHeight="1" x14ac:dyDescent="0.3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84"/>
      <c r="M124" s="84"/>
      <c r="N124" s="30"/>
      <c r="O124" s="39"/>
      <c r="P124" s="30"/>
      <c r="Q124" s="50"/>
      <c r="R124" s="49"/>
    </row>
    <row r="125" spans="1:18" ht="15.75" customHeight="1" x14ac:dyDescent="0.3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84"/>
      <c r="M125" s="84"/>
      <c r="N125" s="30"/>
      <c r="O125" s="39"/>
      <c r="P125" s="30"/>
      <c r="Q125" s="50"/>
      <c r="R125" s="49"/>
    </row>
    <row r="126" spans="1:18" ht="15.75" customHeight="1" x14ac:dyDescent="0.3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84"/>
      <c r="M126" s="84"/>
      <c r="N126" s="30"/>
      <c r="O126" s="39"/>
      <c r="P126" s="30"/>
      <c r="Q126" s="50"/>
      <c r="R126" s="49"/>
    </row>
    <row r="127" spans="1:18" ht="15.75" customHeight="1" x14ac:dyDescent="0.3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84"/>
      <c r="M127" s="84"/>
      <c r="N127" s="30"/>
      <c r="O127" s="39"/>
      <c r="P127" s="30"/>
      <c r="Q127" s="50"/>
      <c r="R127" s="49"/>
    </row>
    <row r="128" spans="1:18" ht="15.75" customHeight="1" x14ac:dyDescent="0.3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84"/>
      <c r="M128" s="84"/>
      <c r="N128" s="30"/>
      <c r="O128" s="39"/>
      <c r="P128" s="30"/>
      <c r="Q128" s="50"/>
      <c r="R128" s="49"/>
    </row>
    <row r="129" spans="1:18" ht="15.75" customHeight="1" x14ac:dyDescent="0.3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84"/>
      <c r="M129" s="84"/>
      <c r="N129" s="30"/>
      <c r="O129" s="39"/>
      <c r="P129" s="30"/>
      <c r="Q129" s="50"/>
      <c r="R129" s="49"/>
    </row>
    <row r="130" spans="1:18" ht="15.75" customHeight="1" x14ac:dyDescent="0.3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84"/>
      <c r="M130" s="84"/>
      <c r="N130" s="30"/>
      <c r="O130" s="39"/>
      <c r="P130" s="30"/>
      <c r="Q130" s="50"/>
      <c r="R130" s="49"/>
    </row>
    <row r="131" spans="1:18" ht="15.75" customHeight="1" x14ac:dyDescent="0.3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84"/>
      <c r="M131" s="84"/>
      <c r="N131" s="30"/>
      <c r="O131" s="39"/>
      <c r="P131" s="30"/>
      <c r="Q131" s="50"/>
      <c r="R131" s="49"/>
    </row>
    <row r="132" spans="1:18" ht="15.75" customHeight="1" x14ac:dyDescent="0.3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84"/>
      <c r="M132" s="84"/>
      <c r="N132" s="30"/>
      <c r="O132" s="39"/>
      <c r="P132" s="30"/>
      <c r="Q132" s="50"/>
      <c r="R132" s="49"/>
    </row>
    <row r="133" spans="1:18" ht="15.75" customHeight="1" x14ac:dyDescent="0.3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84"/>
      <c r="M133" s="84"/>
      <c r="N133" s="30"/>
      <c r="O133" s="39"/>
      <c r="P133" s="30"/>
      <c r="Q133" s="50"/>
      <c r="R133" s="49"/>
    </row>
    <row r="134" spans="1:18" ht="15.75" customHeight="1" x14ac:dyDescent="0.3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84"/>
      <c r="M134" s="84"/>
      <c r="N134" s="30"/>
      <c r="O134" s="39"/>
      <c r="P134" s="30"/>
      <c r="Q134" s="50"/>
      <c r="R134" s="49"/>
    </row>
    <row r="135" spans="1:18" ht="15.75" customHeight="1" x14ac:dyDescent="0.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84"/>
      <c r="M135" s="84"/>
      <c r="N135" s="30"/>
      <c r="O135" s="39"/>
      <c r="P135" s="30"/>
      <c r="Q135" s="50"/>
      <c r="R135" s="49"/>
    </row>
    <row r="136" spans="1:18" ht="15.75" customHeight="1" x14ac:dyDescent="0.3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84"/>
      <c r="M136" s="84"/>
      <c r="N136" s="30"/>
      <c r="O136" s="39"/>
      <c r="P136" s="30"/>
      <c r="Q136" s="50"/>
      <c r="R136" s="49"/>
    </row>
    <row r="137" spans="1:18" ht="15.75" customHeight="1" x14ac:dyDescent="0.3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84"/>
      <c r="M137" s="84"/>
      <c r="N137" s="30"/>
      <c r="O137" s="39"/>
      <c r="P137" s="30"/>
      <c r="Q137" s="50"/>
      <c r="R137" s="49"/>
    </row>
    <row r="138" spans="1:18" ht="15.75" customHeight="1" x14ac:dyDescent="0.3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84"/>
      <c r="M138" s="84"/>
      <c r="N138" s="30"/>
      <c r="O138" s="39"/>
      <c r="P138" s="30"/>
      <c r="Q138" s="50"/>
      <c r="R138" s="49"/>
    </row>
    <row r="139" spans="1:18" ht="15.75" customHeight="1" x14ac:dyDescent="0.3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84"/>
      <c r="M139" s="84"/>
      <c r="N139" s="30"/>
      <c r="O139" s="39"/>
      <c r="P139" s="30"/>
      <c r="Q139" s="50"/>
      <c r="R139" s="49"/>
    </row>
    <row r="140" spans="1:18" ht="15.75" customHeight="1" x14ac:dyDescent="0.3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84"/>
      <c r="M140" s="84"/>
      <c r="N140" s="30"/>
      <c r="O140" s="39"/>
      <c r="P140" s="30"/>
      <c r="Q140" s="50"/>
      <c r="R140" s="49"/>
    </row>
    <row r="141" spans="1:18" ht="15.75" customHeight="1" x14ac:dyDescent="0.3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84"/>
      <c r="M141" s="84"/>
      <c r="N141" s="30"/>
      <c r="O141" s="39"/>
      <c r="P141" s="30"/>
      <c r="Q141" s="50"/>
      <c r="R141" s="49"/>
    </row>
    <row r="142" spans="1:18" ht="15.75" customHeight="1" x14ac:dyDescent="0.3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84"/>
      <c r="M142" s="84"/>
      <c r="N142" s="30"/>
      <c r="O142" s="39"/>
      <c r="P142" s="30"/>
      <c r="Q142" s="50"/>
      <c r="R142" s="49"/>
    </row>
    <row r="143" spans="1:18" ht="15.75" customHeight="1" x14ac:dyDescent="0.3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84"/>
      <c r="M143" s="84"/>
      <c r="N143" s="30"/>
      <c r="O143" s="39"/>
      <c r="P143" s="30"/>
      <c r="Q143" s="50"/>
      <c r="R143" s="49"/>
    </row>
    <row r="144" spans="1:18" ht="15.75" customHeight="1" x14ac:dyDescent="0.3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84"/>
      <c r="M144" s="84"/>
      <c r="N144" s="30"/>
      <c r="O144" s="39"/>
      <c r="P144" s="30"/>
      <c r="Q144" s="50"/>
      <c r="R144" s="49"/>
    </row>
    <row r="145" spans="1:18" ht="15.75" customHeight="1" x14ac:dyDescent="0.3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84"/>
      <c r="M145" s="84"/>
      <c r="N145" s="30"/>
      <c r="O145" s="39"/>
      <c r="P145" s="30"/>
      <c r="Q145" s="50"/>
      <c r="R145" s="49"/>
    </row>
    <row r="146" spans="1:18" ht="15.75" customHeight="1" x14ac:dyDescent="0.3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84"/>
      <c r="M146" s="84"/>
      <c r="N146" s="30"/>
      <c r="O146" s="39"/>
      <c r="P146" s="30"/>
      <c r="Q146" s="50"/>
      <c r="R146" s="49"/>
    </row>
    <row r="147" spans="1:18" ht="15.75" customHeight="1" x14ac:dyDescent="0.3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84"/>
      <c r="M147" s="84"/>
      <c r="N147" s="30"/>
      <c r="O147" s="39"/>
      <c r="P147" s="30"/>
      <c r="Q147" s="50"/>
      <c r="R147" s="49"/>
    </row>
    <row r="148" spans="1:18" ht="15.75" customHeight="1" x14ac:dyDescent="0.3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84"/>
      <c r="M148" s="84"/>
      <c r="N148" s="30"/>
      <c r="O148" s="39"/>
      <c r="P148" s="30"/>
      <c r="Q148" s="50"/>
      <c r="R148" s="49"/>
    </row>
    <row r="149" spans="1:18" ht="15.75" customHeight="1" x14ac:dyDescent="0.3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84"/>
      <c r="M149" s="84"/>
      <c r="N149" s="30"/>
      <c r="O149" s="39"/>
      <c r="P149" s="30"/>
      <c r="Q149" s="50"/>
      <c r="R149" s="49"/>
    </row>
    <row r="150" spans="1:18" ht="15.75" customHeight="1" x14ac:dyDescent="0.3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84"/>
      <c r="M150" s="84"/>
      <c r="N150" s="30"/>
      <c r="O150" s="39"/>
      <c r="P150" s="30"/>
      <c r="Q150" s="50"/>
      <c r="R150" s="49"/>
    </row>
    <row r="151" spans="1:18" ht="15.75" customHeight="1" x14ac:dyDescent="0.3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84"/>
      <c r="M151" s="84"/>
      <c r="N151" s="30"/>
      <c r="O151" s="39"/>
      <c r="P151" s="30"/>
      <c r="Q151" s="50"/>
      <c r="R151" s="49"/>
    </row>
    <row r="152" spans="1:18" ht="15.75" customHeight="1" x14ac:dyDescent="0.3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84"/>
      <c r="M152" s="84"/>
      <c r="N152" s="30"/>
      <c r="O152" s="39"/>
      <c r="P152" s="30"/>
      <c r="Q152" s="50"/>
      <c r="R152" s="49"/>
    </row>
    <row r="153" spans="1:18" ht="15.75" customHeight="1" x14ac:dyDescent="0.3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84"/>
      <c r="M153" s="84"/>
      <c r="N153" s="30"/>
      <c r="O153" s="39"/>
      <c r="P153" s="30"/>
      <c r="Q153" s="50"/>
      <c r="R153" s="49"/>
    </row>
    <row r="154" spans="1:18" ht="15.75" customHeight="1" x14ac:dyDescent="0.3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84"/>
      <c r="M154" s="84"/>
      <c r="N154" s="30"/>
      <c r="O154" s="39"/>
      <c r="P154" s="30"/>
      <c r="Q154" s="50"/>
      <c r="R154" s="49"/>
    </row>
    <row r="155" spans="1:18" ht="15.75" customHeight="1" x14ac:dyDescent="0.3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84"/>
      <c r="M155" s="84"/>
      <c r="N155" s="30"/>
      <c r="O155" s="39"/>
      <c r="P155" s="30"/>
      <c r="Q155" s="50"/>
      <c r="R155" s="49"/>
    </row>
    <row r="156" spans="1:18" ht="15.75" customHeight="1" x14ac:dyDescent="0.3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84"/>
      <c r="M156" s="84"/>
      <c r="N156" s="30"/>
      <c r="O156" s="39"/>
      <c r="P156" s="30"/>
      <c r="Q156" s="50"/>
      <c r="R156" s="49"/>
    </row>
    <row r="157" spans="1:18" ht="15.75" customHeight="1" x14ac:dyDescent="0.3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84"/>
      <c r="M157" s="84"/>
      <c r="N157" s="30"/>
      <c r="O157" s="39"/>
      <c r="P157" s="30"/>
      <c r="Q157" s="50"/>
      <c r="R157" s="49"/>
    </row>
    <row r="158" spans="1:18" ht="15.75" customHeight="1" x14ac:dyDescent="0.3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84"/>
      <c r="M158" s="84"/>
      <c r="N158" s="30"/>
      <c r="O158" s="39"/>
      <c r="P158" s="30"/>
      <c r="Q158" s="50"/>
      <c r="R158" s="49"/>
    </row>
    <row r="159" spans="1:18" ht="15.75" customHeight="1" x14ac:dyDescent="0.3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84"/>
      <c r="M159" s="84"/>
      <c r="N159" s="30"/>
      <c r="O159" s="39"/>
      <c r="P159" s="30"/>
      <c r="Q159" s="50"/>
      <c r="R159" s="49"/>
    </row>
    <row r="160" spans="1:18" ht="15.75" customHeight="1" x14ac:dyDescent="0.3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84"/>
      <c r="M160" s="84"/>
      <c r="N160" s="30"/>
      <c r="O160" s="39"/>
      <c r="P160" s="30"/>
      <c r="Q160" s="50"/>
      <c r="R160" s="49"/>
    </row>
    <row r="161" spans="1:18" ht="15.75" customHeight="1" x14ac:dyDescent="0.3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84"/>
      <c r="M161" s="84"/>
      <c r="N161" s="30"/>
      <c r="O161" s="39"/>
      <c r="P161" s="30"/>
      <c r="Q161" s="50"/>
      <c r="R161" s="49"/>
    </row>
    <row r="162" spans="1:18" ht="15.75" customHeight="1" x14ac:dyDescent="0.3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84"/>
      <c r="M162" s="84"/>
      <c r="N162" s="30"/>
      <c r="O162" s="39"/>
      <c r="P162" s="30"/>
      <c r="Q162" s="50"/>
      <c r="R162" s="49"/>
    </row>
    <row r="163" spans="1:18" ht="15.75" customHeight="1" x14ac:dyDescent="0.3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84"/>
      <c r="M163" s="84"/>
      <c r="N163" s="30"/>
      <c r="O163" s="39"/>
      <c r="P163" s="30"/>
      <c r="Q163" s="50"/>
      <c r="R163" s="49"/>
    </row>
    <row r="164" spans="1:18" ht="15.75" customHeight="1" x14ac:dyDescent="0.3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84"/>
      <c r="M164" s="84"/>
      <c r="N164" s="30"/>
      <c r="O164" s="39"/>
      <c r="P164" s="30"/>
      <c r="Q164" s="50"/>
      <c r="R164" s="49"/>
    </row>
    <row r="165" spans="1:18" ht="15.75" customHeight="1" x14ac:dyDescent="0.3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84"/>
      <c r="M165" s="84"/>
      <c r="N165" s="30"/>
      <c r="O165" s="39"/>
      <c r="P165" s="30"/>
      <c r="Q165" s="50"/>
      <c r="R165" s="49"/>
    </row>
    <row r="166" spans="1:18" ht="15.75" customHeight="1" x14ac:dyDescent="0.3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84"/>
      <c r="M166" s="84"/>
      <c r="N166" s="30"/>
      <c r="O166" s="39"/>
      <c r="P166" s="30"/>
      <c r="Q166" s="50"/>
      <c r="R166" s="49"/>
    </row>
    <row r="167" spans="1:18" ht="15.75" customHeight="1" x14ac:dyDescent="0.3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84"/>
      <c r="M167" s="84"/>
      <c r="N167" s="30"/>
      <c r="O167" s="39"/>
      <c r="P167" s="30"/>
      <c r="Q167" s="50"/>
      <c r="R167" s="49"/>
    </row>
    <row r="168" spans="1:18" ht="15.75" customHeight="1" x14ac:dyDescent="0.3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84"/>
      <c r="M168" s="84"/>
      <c r="N168" s="30"/>
      <c r="O168" s="39"/>
      <c r="P168" s="30"/>
      <c r="Q168" s="50"/>
      <c r="R168" s="49"/>
    </row>
    <row r="169" spans="1:18" ht="15.75" customHeight="1" x14ac:dyDescent="0.3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84"/>
      <c r="M169" s="84"/>
      <c r="N169" s="30"/>
      <c r="O169" s="39"/>
      <c r="P169" s="30"/>
      <c r="Q169" s="50"/>
      <c r="R169" s="49"/>
    </row>
    <row r="170" spans="1:18" ht="15.75" customHeight="1" x14ac:dyDescent="0.3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84"/>
      <c r="M170" s="84"/>
      <c r="N170" s="30"/>
      <c r="O170" s="39"/>
      <c r="P170" s="30"/>
      <c r="Q170" s="50"/>
      <c r="R170" s="49"/>
    </row>
    <row r="171" spans="1:18" ht="15.75" customHeight="1" x14ac:dyDescent="0.3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84"/>
      <c r="M171" s="84"/>
      <c r="N171" s="30"/>
      <c r="O171" s="39"/>
      <c r="P171" s="30"/>
      <c r="Q171" s="50"/>
      <c r="R171" s="49"/>
    </row>
    <row r="172" spans="1:18" ht="15.75" customHeight="1" x14ac:dyDescent="0.3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84"/>
      <c r="M172" s="84"/>
      <c r="N172" s="30"/>
      <c r="O172" s="39"/>
      <c r="P172" s="30"/>
      <c r="Q172" s="50"/>
      <c r="R172" s="49"/>
    </row>
    <row r="173" spans="1:18" ht="15.75" customHeight="1" x14ac:dyDescent="0.3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84"/>
      <c r="M173" s="84"/>
      <c r="N173" s="30"/>
      <c r="O173" s="39"/>
      <c r="P173" s="30"/>
      <c r="Q173" s="50"/>
      <c r="R173" s="49"/>
    </row>
    <row r="174" spans="1:18" ht="15.75" customHeight="1" x14ac:dyDescent="0.3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84"/>
      <c r="M174" s="84"/>
      <c r="N174" s="30"/>
      <c r="O174" s="39"/>
      <c r="P174" s="30"/>
      <c r="Q174" s="50"/>
      <c r="R174" s="49"/>
    </row>
    <row r="175" spans="1:18" ht="15.75" customHeight="1" x14ac:dyDescent="0.3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84"/>
      <c r="M175" s="84"/>
      <c r="N175" s="30"/>
      <c r="O175" s="39"/>
      <c r="P175" s="30"/>
      <c r="Q175" s="50"/>
      <c r="R175" s="49"/>
    </row>
    <row r="176" spans="1:18" ht="15.75" customHeight="1" x14ac:dyDescent="0.3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84"/>
      <c r="M176" s="84"/>
      <c r="N176" s="30"/>
      <c r="O176" s="39"/>
      <c r="P176" s="30"/>
      <c r="Q176" s="50"/>
      <c r="R176" s="49"/>
    </row>
    <row r="177" spans="1:18" ht="15.75" customHeight="1" x14ac:dyDescent="0.3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84"/>
      <c r="M177" s="84"/>
      <c r="N177" s="30"/>
      <c r="O177" s="39"/>
      <c r="P177" s="30"/>
      <c r="Q177" s="50"/>
      <c r="R177" s="49"/>
    </row>
    <row r="178" spans="1:18" ht="15.75" customHeight="1" x14ac:dyDescent="0.3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84"/>
      <c r="M178" s="84"/>
      <c r="N178" s="30"/>
      <c r="O178" s="39"/>
      <c r="P178" s="30"/>
      <c r="Q178" s="50"/>
      <c r="R178" s="49"/>
    </row>
    <row r="179" spans="1:18" ht="15.75" customHeight="1" x14ac:dyDescent="0.3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84"/>
      <c r="M179" s="84"/>
      <c r="N179" s="30"/>
      <c r="O179" s="39"/>
      <c r="P179" s="30"/>
      <c r="Q179" s="50"/>
      <c r="R179" s="49"/>
    </row>
    <row r="180" spans="1:18" ht="15.75" customHeight="1" x14ac:dyDescent="0.3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84"/>
      <c r="M180" s="84"/>
      <c r="N180" s="30"/>
      <c r="O180" s="39"/>
      <c r="P180" s="30"/>
      <c r="Q180" s="50"/>
      <c r="R180" s="49"/>
    </row>
    <row r="181" spans="1:18" ht="15.75" customHeight="1" x14ac:dyDescent="0.3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84"/>
      <c r="M181" s="84"/>
      <c r="N181" s="30"/>
      <c r="O181" s="39"/>
      <c r="P181" s="30"/>
      <c r="Q181" s="50"/>
      <c r="R181" s="49"/>
    </row>
    <row r="182" spans="1:18" ht="15.75" customHeight="1" x14ac:dyDescent="0.3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84"/>
      <c r="M182" s="84"/>
      <c r="N182" s="30"/>
      <c r="O182" s="39"/>
      <c r="P182" s="30"/>
      <c r="Q182" s="50"/>
      <c r="R182" s="49"/>
    </row>
    <row r="183" spans="1:18" ht="15.75" customHeight="1" x14ac:dyDescent="0.3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84"/>
      <c r="M183" s="84"/>
      <c r="N183" s="30"/>
      <c r="O183" s="39"/>
      <c r="P183" s="30"/>
      <c r="Q183" s="50"/>
      <c r="R183" s="49"/>
    </row>
    <row r="184" spans="1:18" ht="15.75" customHeight="1" x14ac:dyDescent="0.3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84"/>
      <c r="M184" s="84"/>
      <c r="N184" s="30"/>
      <c r="O184" s="39"/>
      <c r="P184" s="30"/>
      <c r="Q184" s="50"/>
      <c r="R184" s="49"/>
    </row>
    <row r="185" spans="1:18" ht="15.75" customHeight="1" x14ac:dyDescent="0.3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84"/>
      <c r="M185" s="84"/>
      <c r="N185" s="30"/>
      <c r="O185" s="39"/>
      <c r="P185" s="30"/>
      <c r="Q185" s="50"/>
      <c r="R185" s="49"/>
    </row>
    <row r="186" spans="1:18" ht="15.75" customHeight="1" x14ac:dyDescent="0.3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84"/>
      <c r="M186" s="84"/>
      <c r="N186" s="30"/>
      <c r="O186" s="39"/>
      <c r="P186" s="30"/>
      <c r="Q186" s="50"/>
      <c r="R186" s="49"/>
    </row>
    <row r="187" spans="1:18" ht="15.75" customHeight="1" x14ac:dyDescent="0.3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84"/>
      <c r="M187" s="84"/>
      <c r="N187" s="30"/>
      <c r="O187" s="39"/>
      <c r="P187" s="30"/>
      <c r="Q187" s="50"/>
      <c r="R187" s="49"/>
    </row>
    <row r="188" spans="1:18" ht="15.75" customHeight="1" x14ac:dyDescent="0.3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84"/>
      <c r="M188" s="84"/>
      <c r="N188" s="30"/>
      <c r="O188" s="39"/>
      <c r="P188" s="30"/>
      <c r="Q188" s="50"/>
      <c r="R188" s="49"/>
    </row>
    <row r="189" spans="1:18" ht="15.75" customHeight="1" x14ac:dyDescent="0.3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84"/>
      <c r="M189" s="84"/>
      <c r="N189" s="30"/>
      <c r="O189" s="39"/>
      <c r="P189" s="30"/>
      <c r="Q189" s="50"/>
      <c r="R189" s="49"/>
    </row>
    <row r="190" spans="1:18" ht="15.75" customHeight="1" x14ac:dyDescent="0.3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84"/>
      <c r="M190" s="84"/>
      <c r="N190" s="30"/>
      <c r="O190" s="39"/>
      <c r="P190" s="30"/>
      <c r="Q190" s="50"/>
      <c r="R190" s="49"/>
    </row>
    <row r="191" spans="1:18" ht="15.75" customHeight="1" x14ac:dyDescent="0.3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84"/>
      <c r="M191" s="84"/>
      <c r="N191" s="30"/>
      <c r="O191" s="39"/>
      <c r="P191" s="30"/>
      <c r="Q191" s="50"/>
      <c r="R191" s="49"/>
    </row>
    <row r="192" spans="1:18" ht="15.75" customHeight="1" x14ac:dyDescent="0.3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84"/>
      <c r="M192" s="84"/>
      <c r="N192" s="30"/>
      <c r="O192" s="39"/>
      <c r="P192" s="30"/>
      <c r="Q192" s="50"/>
      <c r="R192" s="49"/>
    </row>
    <row r="193" spans="1:18" ht="15.75" customHeight="1" x14ac:dyDescent="0.3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84"/>
      <c r="M193" s="84"/>
      <c r="N193" s="30"/>
      <c r="O193" s="39"/>
      <c r="P193" s="30"/>
      <c r="Q193" s="50"/>
      <c r="R193" s="49"/>
    </row>
    <row r="194" spans="1:18" ht="15.75" customHeight="1" x14ac:dyDescent="0.3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84"/>
      <c r="M194" s="84"/>
      <c r="N194" s="30"/>
      <c r="O194" s="39"/>
      <c r="P194" s="30"/>
      <c r="Q194" s="50"/>
      <c r="R194" s="49"/>
    </row>
    <row r="195" spans="1:18" ht="15.75" customHeight="1" x14ac:dyDescent="0.3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84"/>
      <c r="M195" s="84"/>
      <c r="N195" s="30"/>
      <c r="O195" s="39"/>
      <c r="P195" s="30"/>
      <c r="Q195" s="50"/>
      <c r="R195" s="49"/>
    </row>
    <row r="196" spans="1:18" ht="15.75" customHeight="1" x14ac:dyDescent="0.3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84"/>
      <c r="M196" s="84"/>
      <c r="N196" s="30"/>
      <c r="O196" s="39"/>
      <c r="P196" s="30"/>
      <c r="Q196" s="50"/>
      <c r="R196" s="49"/>
    </row>
    <row r="197" spans="1:18" ht="15.75" customHeight="1" x14ac:dyDescent="0.3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84"/>
      <c r="M197" s="84"/>
      <c r="N197" s="30"/>
      <c r="O197" s="39"/>
      <c r="P197" s="30"/>
      <c r="Q197" s="50"/>
      <c r="R197" s="49"/>
    </row>
    <row r="198" spans="1:18" ht="15.75" customHeight="1" x14ac:dyDescent="0.3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84"/>
      <c r="M198" s="84"/>
      <c r="N198" s="30"/>
      <c r="O198" s="39"/>
      <c r="P198" s="30"/>
      <c r="Q198" s="50"/>
      <c r="R198" s="49"/>
    </row>
    <row r="199" spans="1:18" ht="15.75" customHeight="1" x14ac:dyDescent="0.3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84"/>
      <c r="M199" s="84"/>
      <c r="N199" s="30"/>
      <c r="O199" s="39"/>
      <c r="P199" s="30"/>
      <c r="Q199" s="50"/>
      <c r="R199" s="49"/>
    </row>
    <row r="200" spans="1:18" ht="15.75" customHeight="1" x14ac:dyDescent="0.3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84"/>
      <c r="M200" s="84"/>
      <c r="N200" s="30"/>
      <c r="O200" s="39"/>
      <c r="P200" s="30"/>
      <c r="Q200" s="50"/>
      <c r="R200" s="49"/>
    </row>
    <row r="201" spans="1:18" ht="15.75" customHeight="1" x14ac:dyDescent="0.3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84"/>
      <c r="M201" s="84"/>
      <c r="N201" s="30"/>
      <c r="O201" s="39"/>
      <c r="P201" s="30"/>
      <c r="Q201" s="50"/>
      <c r="R201" s="49"/>
    </row>
    <row r="202" spans="1:18" ht="15.75" customHeight="1" x14ac:dyDescent="0.3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84"/>
      <c r="M202" s="84"/>
      <c r="N202" s="30"/>
      <c r="O202" s="39"/>
      <c r="P202" s="30"/>
      <c r="Q202" s="50"/>
      <c r="R202" s="49"/>
    </row>
    <row r="203" spans="1:18" ht="15.75" customHeight="1" x14ac:dyDescent="0.3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84"/>
      <c r="M203" s="84"/>
      <c r="N203" s="30"/>
      <c r="O203" s="39"/>
      <c r="P203" s="30"/>
      <c r="Q203" s="50"/>
      <c r="R203" s="49"/>
    </row>
    <row r="204" spans="1:18" ht="15.75" customHeight="1" x14ac:dyDescent="0.3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84"/>
      <c r="M204" s="84"/>
      <c r="N204" s="30"/>
      <c r="O204" s="39"/>
      <c r="P204" s="30"/>
      <c r="Q204" s="50"/>
      <c r="R204" s="49"/>
    </row>
    <row r="205" spans="1:18" ht="15.75" customHeight="1" x14ac:dyDescent="0.3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84"/>
      <c r="M205" s="84"/>
      <c r="N205" s="30"/>
      <c r="O205" s="39"/>
      <c r="P205" s="30"/>
      <c r="Q205" s="50"/>
      <c r="R205" s="49"/>
    </row>
    <row r="206" spans="1:18" ht="15.75" customHeight="1" x14ac:dyDescent="0.3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84"/>
      <c r="M206" s="84"/>
      <c r="N206" s="30"/>
      <c r="O206" s="39"/>
      <c r="P206" s="30"/>
      <c r="Q206" s="50"/>
      <c r="R206" s="49"/>
    </row>
    <row r="207" spans="1:18" ht="15.75" customHeight="1" x14ac:dyDescent="0.3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84"/>
      <c r="M207" s="84"/>
      <c r="N207" s="30"/>
      <c r="O207" s="39"/>
      <c r="P207" s="30"/>
      <c r="Q207" s="50"/>
      <c r="R207" s="49"/>
    </row>
    <row r="208" spans="1:18" ht="15.75" customHeight="1" x14ac:dyDescent="0.3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84"/>
      <c r="M208" s="84"/>
      <c r="N208" s="30"/>
      <c r="O208" s="39"/>
      <c r="P208" s="30"/>
      <c r="Q208" s="50"/>
      <c r="R208" s="49"/>
    </row>
    <row r="209" spans="1:18" ht="15.75" customHeight="1" x14ac:dyDescent="0.3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84"/>
      <c r="M209" s="84"/>
      <c r="N209" s="30"/>
      <c r="O209" s="39"/>
      <c r="P209" s="30"/>
      <c r="Q209" s="50"/>
      <c r="R209" s="49"/>
    </row>
    <row r="210" spans="1:18" ht="15.75" customHeight="1" x14ac:dyDescent="0.3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84"/>
      <c r="M210" s="84"/>
      <c r="N210" s="30"/>
      <c r="O210" s="39"/>
      <c r="P210" s="30"/>
      <c r="Q210" s="50"/>
      <c r="R210" s="49"/>
    </row>
    <row r="211" spans="1:18" ht="15.75" customHeight="1" x14ac:dyDescent="0.3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84"/>
      <c r="M211" s="84"/>
      <c r="N211" s="30"/>
      <c r="O211" s="39"/>
      <c r="P211" s="30"/>
      <c r="Q211" s="50"/>
      <c r="R211" s="49"/>
    </row>
    <row r="212" spans="1:18" ht="15.75" customHeight="1" x14ac:dyDescent="0.3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84"/>
      <c r="M212" s="84"/>
      <c r="N212" s="30"/>
      <c r="O212" s="39"/>
      <c r="P212" s="30"/>
      <c r="Q212" s="50"/>
      <c r="R212" s="49"/>
    </row>
    <row r="213" spans="1:18" ht="15.75" customHeight="1" x14ac:dyDescent="0.3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84"/>
      <c r="M213" s="84"/>
      <c r="N213" s="30"/>
      <c r="O213" s="39"/>
      <c r="P213" s="30"/>
      <c r="Q213" s="50"/>
      <c r="R213" s="49"/>
    </row>
    <row r="214" spans="1:18" ht="15.75" customHeight="1" x14ac:dyDescent="0.3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84"/>
      <c r="M214" s="84"/>
      <c r="N214" s="30"/>
      <c r="O214" s="39"/>
      <c r="P214" s="30"/>
      <c r="Q214" s="50"/>
      <c r="R214" s="49"/>
    </row>
    <row r="215" spans="1:18" ht="15.75" customHeight="1" x14ac:dyDescent="0.3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84"/>
      <c r="M215" s="84"/>
      <c r="N215" s="30"/>
      <c r="O215" s="39"/>
      <c r="P215" s="30"/>
      <c r="Q215" s="50"/>
      <c r="R215" s="49"/>
    </row>
    <row r="216" spans="1:18" ht="15.75" customHeight="1" x14ac:dyDescent="0.3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84"/>
      <c r="M216" s="84"/>
      <c r="N216" s="30"/>
      <c r="O216" s="39"/>
      <c r="P216" s="30"/>
      <c r="Q216" s="50"/>
      <c r="R216" s="49"/>
    </row>
    <row r="217" spans="1:18" ht="15.75" customHeight="1" x14ac:dyDescent="0.3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84"/>
      <c r="M217" s="84"/>
      <c r="N217" s="30"/>
      <c r="O217" s="39"/>
      <c r="P217" s="30"/>
      <c r="Q217" s="50"/>
      <c r="R217" s="49"/>
    </row>
    <row r="218" spans="1:18" ht="15.75" customHeight="1" x14ac:dyDescent="0.3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84"/>
      <c r="M218" s="84"/>
      <c r="N218" s="30"/>
      <c r="O218" s="39"/>
      <c r="P218" s="30"/>
      <c r="Q218" s="50"/>
      <c r="R218" s="49"/>
    </row>
    <row r="219" spans="1:18" ht="15.75" customHeight="1" x14ac:dyDescent="0.3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84"/>
      <c r="M219" s="84"/>
      <c r="N219" s="30"/>
      <c r="O219" s="39"/>
      <c r="P219" s="30"/>
      <c r="Q219" s="50"/>
      <c r="R219" s="49"/>
    </row>
    <row r="220" spans="1:18" ht="15.75" customHeight="1" x14ac:dyDescent="0.3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84"/>
      <c r="M220" s="84"/>
      <c r="N220" s="30"/>
      <c r="O220" s="39"/>
      <c r="P220" s="30"/>
      <c r="Q220" s="50"/>
      <c r="R220" s="49"/>
    </row>
    <row r="221" spans="1:18" ht="15.75" customHeight="1" x14ac:dyDescent="0.3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84"/>
      <c r="M221" s="84"/>
      <c r="N221" s="30"/>
      <c r="O221" s="39"/>
      <c r="P221" s="30"/>
      <c r="Q221" s="50"/>
      <c r="R221" s="49"/>
    </row>
    <row r="222" spans="1:18" ht="15.75" customHeight="1" x14ac:dyDescent="0.3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84"/>
      <c r="M222" s="84"/>
      <c r="N222" s="30"/>
      <c r="O222" s="39"/>
      <c r="P222" s="30"/>
      <c r="Q222" s="50"/>
      <c r="R222" s="49"/>
    </row>
    <row r="223" spans="1:18" ht="15.75" customHeight="1" x14ac:dyDescent="0.3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84"/>
      <c r="M223" s="84"/>
      <c r="N223" s="30"/>
      <c r="O223" s="39"/>
      <c r="P223" s="30"/>
      <c r="Q223" s="50"/>
      <c r="R223" s="49"/>
    </row>
    <row r="224" spans="1:18" ht="15.75" customHeight="1" x14ac:dyDescent="0.3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84"/>
      <c r="M224" s="84"/>
      <c r="N224" s="30"/>
      <c r="O224" s="39"/>
      <c r="P224" s="30"/>
      <c r="Q224" s="50"/>
      <c r="R224" s="49"/>
    </row>
    <row r="225" spans="1:18" ht="15.75" customHeight="1" x14ac:dyDescent="0.3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84"/>
      <c r="M225" s="84"/>
      <c r="N225" s="30"/>
      <c r="O225" s="39"/>
      <c r="P225" s="30"/>
      <c r="Q225" s="50"/>
      <c r="R225" s="49"/>
    </row>
    <row r="226" spans="1:18" ht="15.75" customHeight="1" x14ac:dyDescent="0.3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84"/>
      <c r="M226" s="84"/>
      <c r="N226" s="30"/>
      <c r="O226" s="39"/>
      <c r="P226" s="30"/>
      <c r="Q226" s="50"/>
      <c r="R226" s="49"/>
    </row>
    <row r="227" spans="1:18" ht="15.75" customHeight="1" x14ac:dyDescent="0.3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84"/>
      <c r="M227" s="84"/>
      <c r="N227" s="30"/>
      <c r="O227" s="39"/>
      <c r="P227" s="30"/>
      <c r="Q227" s="50"/>
      <c r="R227" s="49"/>
    </row>
    <row r="228" spans="1:18" ht="15.75" customHeight="1" x14ac:dyDescent="0.3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84"/>
      <c r="M228" s="84"/>
      <c r="N228" s="30"/>
      <c r="O228" s="39"/>
      <c r="P228" s="30"/>
      <c r="Q228" s="50"/>
      <c r="R228" s="49"/>
    </row>
    <row r="229" spans="1:18" ht="15.75" customHeight="1" x14ac:dyDescent="0.3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84"/>
      <c r="M229" s="84"/>
      <c r="N229" s="30"/>
      <c r="O229" s="39"/>
      <c r="P229" s="30"/>
      <c r="Q229" s="50"/>
      <c r="R229" s="49"/>
    </row>
    <row r="230" spans="1:18" ht="15.75" customHeight="1" x14ac:dyDescent="0.3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84"/>
      <c r="M230" s="84"/>
      <c r="N230" s="30"/>
      <c r="O230" s="39"/>
      <c r="P230" s="30"/>
      <c r="Q230" s="50"/>
      <c r="R230" s="49"/>
    </row>
    <row r="231" spans="1:18" ht="15.75" customHeight="1" x14ac:dyDescent="0.3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84"/>
      <c r="M231" s="84"/>
      <c r="N231" s="30"/>
      <c r="O231" s="39"/>
      <c r="P231" s="30"/>
      <c r="Q231" s="50"/>
      <c r="R231" s="49"/>
    </row>
    <row r="232" spans="1:18" ht="15.75" customHeight="1" x14ac:dyDescent="0.3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84"/>
      <c r="M232" s="84"/>
      <c r="N232" s="30"/>
      <c r="O232" s="39"/>
      <c r="P232" s="30"/>
      <c r="Q232" s="50"/>
      <c r="R232" s="49"/>
    </row>
    <row r="233" spans="1:18" ht="15.75" customHeight="1" x14ac:dyDescent="0.3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84"/>
      <c r="M233" s="84"/>
      <c r="N233" s="30"/>
      <c r="O233" s="39"/>
      <c r="P233" s="30"/>
      <c r="Q233" s="50"/>
      <c r="R233" s="49"/>
    </row>
    <row r="234" spans="1:18" ht="15.75" customHeight="1" x14ac:dyDescent="0.3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84"/>
      <c r="M234" s="84"/>
      <c r="N234" s="30"/>
      <c r="O234" s="39"/>
      <c r="P234" s="30"/>
      <c r="Q234" s="50"/>
      <c r="R234" s="49"/>
    </row>
    <row r="235" spans="1:18" ht="15.75" customHeight="1" x14ac:dyDescent="0.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84"/>
      <c r="M235" s="84"/>
      <c r="N235" s="30"/>
      <c r="O235" s="39"/>
      <c r="P235" s="30"/>
      <c r="Q235" s="50"/>
      <c r="R235" s="49"/>
    </row>
    <row r="236" spans="1:18" ht="15.75" customHeight="1" x14ac:dyDescent="0.3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84"/>
      <c r="M236" s="84"/>
      <c r="N236" s="30"/>
      <c r="O236" s="39"/>
      <c r="P236" s="30"/>
      <c r="Q236" s="50"/>
      <c r="R236" s="49"/>
    </row>
    <row r="237" spans="1:18" ht="15.75" customHeight="1" x14ac:dyDescent="0.3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84"/>
      <c r="M237" s="84"/>
      <c r="N237" s="30"/>
      <c r="O237" s="39"/>
      <c r="P237" s="30"/>
      <c r="Q237" s="50"/>
      <c r="R237" s="49"/>
    </row>
    <row r="238" spans="1:18" ht="15.75" customHeight="1" x14ac:dyDescent="0.3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84"/>
      <c r="M238" s="84"/>
      <c r="N238" s="30"/>
      <c r="O238" s="39"/>
      <c r="P238" s="30"/>
      <c r="Q238" s="50"/>
      <c r="R238" s="49"/>
    </row>
    <row r="239" spans="1:18" ht="15.75" customHeight="1" x14ac:dyDescent="0.3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84"/>
      <c r="M239" s="84"/>
      <c r="N239" s="30"/>
      <c r="O239" s="39"/>
      <c r="P239" s="30"/>
      <c r="Q239" s="50"/>
      <c r="R239" s="49"/>
    </row>
    <row r="240" spans="1:18" ht="15.75" customHeight="1" x14ac:dyDescent="0.3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84"/>
      <c r="M240" s="84"/>
      <c r="N240" s="30"/>
      <c r="O240" s="39"/>
      <c r="P240" s="30"/>
      <c r="Q240" s="50"/>
      <c r="R240" s="49"/>
    </row>
    <row r="241" spans="1:18" ht="15.75" customHeight="1" x14ac:dyDescent="0.3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84"/>
      <c r="M241" s="84"/>
      <c r="N241" s="30"/>
      <c r="O241" s="39"/>
      <c r="P241" s="30"/>
      <c r="Q241" s="50"/>
      <c r="R241" s="49"/>
    </row>
    <row r="242" spans="1:18" ht="15.75" customHeight="1" x14ac:dyDescent="0.3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84"/>
      <c r="M242" s="84"/>
      <c r="N242" s="30"/>
      <c r="O242" s="39"/>
      <c r="P242" s="30"/>
      <c r="Q242" s="50"/>
      <c r="R242" s="49"/>
    </row>
    <row r="243" spans="1:18" ht="15.75" customHeight="1" x14ac:dyDescent="0.3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84"/>
      <c r="M243" s="84"/>
      <c r="N243" s="30"/>
      <c r="O243" s="39"/>
      <c r="P243" s="30"/>
      <c r="Q243" s="50"/>
      <c r="R243" s="49"/>
    </row>
    <row r="244" spans="1:18" ht="15.75" customHeight="1" x14ac:dyDescent="0.3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84"/>
      <c r="M244" s="84"/>
      <c r="N244" s="30"/>
      <c r="O244" s="39"/>
      <c r="P244" s="30"/>
      <c r="Q244" s="50"/>
      <c r="R244" s="49"/>
    </row>
    <row r="245" spans="1:18" ht="15.75" customHeight="1" x14ac:dyDescent="0.3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84"/>
      <c r="M245" s="84"/>
      <c r="N245" s="30"/>
      <c r="O245" s="39"/>
      <c r="P245" s="30"/>
      <c r="Q245" s="50"/>
      <c r="R245" s="49"/>
    </row>
    <row r="246" spans="1:18" ht="15.75" customHeight="1" x14ac:dyDescent="0.3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84"/>
      <c r="M246" s="84"/>
      <c r="N246" s="30"/>
      <c r="O246" s="39"/>
      <c r="P246" s="30"/>
      <c r="Q246" s="50"/>
      <c r="R246" s="49"/>
    </row>
    <row r="247" spans="1:18" ht="15.75" customHeight="1" x14ac:dyDescent="0.3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84"/>
      <c r="M247" s="84"/>
      <c r="N247" s="30"/>
      <c r="O247" s="39"/>
      <c r="P247" s="30"/>
      <c r="Q247" s="50"/>
      <c r="R247" s="49"/>
    </row>
    <row r="248" spans="1:18" ht="15.75" customHeight="1" x14ac:dyDescent="0.3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84"/>
      <c r="M248" s="84"/>
      <c r="N248" s="30"/>
      <c r="O248" s="39"/>
      <c r="P248" s="30"/>
      <c r="Q248" s="50"/>
      <c r="R248" s="49"/>
    </row>
    <row r="249" spans="1:18" ht="15.75" customHeight="1" x14ac:dyDescent="0.3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84"/>
      <c r="M249" s="84"/>
      <c r="N249" s="30"/>
      <c r="O249" s="39"/>
      <c r="P249" s="30"/>
      <c r="Q249" s="50"/>
      <c r="R249" s="49"/>
    </row>
    <row r="250" spans="1:18" ht="15.75" customHeight="1" x14ac:dyDescent="0.3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84"/>
      <c r="M250" s="84"/>
      <c r="N250" s="30"/>
      <c r="O250" s="39"/>
      <c r="P250" s="30"/>
      <c r="Q250" s="50"/>
      <c r="R250" s="49"/>
    </row>
    <row r="251" spans="1:18" ht="15.75" customHeight="1" x14ac:dyDescent="0.3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84"/>
      <c r="M251" s="84"/>
      <c r="N251" s="30"/>
      <c r="O251" s="39"/>
      <c r="P251" s="30"/>
      <c r="Q251" s="50"/>
      <c r="R251" s="49"/>
    </row>
    <row r="252" spans="1:18" ht="15.75" customHeight="1" x14ac:dyDescent="0.3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84"/>
      <c r="M252" s="84"/>
      <c r="N252" s="30"/>
      <c r="O252" s="39"/>
      <c r="P252" s="30"/>
      <c r="Q252" s="50"/>
      <c r="R252" s="49"/>
    </row>
    <row r="253" spans="1:18" ht="15.75" customHeight="1" x14ac:dyDescent="0.3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84"/>
      <c r="M253" s="84"/>
      <c r="N253" s="30"/>
      <c r="O253" s="39"/>
      <c r="P253" s="30"/>
      <c r="Q253" s="50"/>
      <c r="R253" s="49"/>
    </row>
    <row r="254" spans="1:18" ht="15.75" customHeight="1" x14ac:dyDescent="0.3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84"/>
      <c r="M254" s="84"/>
      <c r="N254" s="30"/>
      <c r="O254" s="39"/>
      <c r="P254" s="30"/>
      <c r="Q254" s="50"/>
      <c r="R254" s="49"/>
    </row>
    <row r="255" spans="1:18" ht="15.75" customHeight="1" x14ac:dyDescent="0.3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84"/>
      <c r="M255" s="84"/>
      <c r="N255" s="30"/>
      <c r="O255" s="39"/>
      <c r="P255" s="30"/>
      <c r="Q255" s="50"/>
      <c r="R255" s="49"/>
    </row>
    <row r="256" spans="1:18" ht="15.75" customHeight="1" x14ac:dyDescent="0.3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84"/>
      <c r="M256" s="84"/>
      <c r="N256" s="30"/>
      <c r="O256" s="39"/>
      <c r="P256" s="30"/>
      <c r="Q256" s="50"/>
      <c r="R256" s="49"/>
    </row>
    <row r="257" spans="1:18" ht="15.75" customHeight="1" x14ac:dyDescent="0.3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84"/>
      <c r="M257" s="84"/>
      <c r="N257" s="30"/>
      <c r="O257" s="39"/>
      <c r="P257" s="30"/>
      <c r="Q257" s="50"/>
      <c r="R257" s="49"/>
    </row>
    <row r="258" spans="1:18" ht="15.75" customHeight="1" x14ac:dyDescent="0.3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84"/>
      <c r="M258" s="84"/>
      <c r="N258" s="30"/>
      <c r="O258" s="39"/>
      <c r="P258" s="30"/>
      <c r="Q258" s="50"/>
      <c r="R258" s="49"/>
    </row>
    <row r="259" spans="1:18" ht="15.75" customHeight="1" x14ac:dyDescent="0.3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84"/>
      <c r="M259" s="84"/>
      <c r="N259" s="30"/>
      <c r="O259" s="39"/>
      <c r="P259" s="30"/>
      <c r="Q259" s="50"/>
      <c r="R259" s="49"/>
    </row>
    <row r="260" spans="1:18" ht="15.75" customHeight="1" x14ac:dyDescent="0.3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84"/>
      <c r="M260" s="84"/>
      <c r="N260" s="30"/>
      <c r="O260" s="39"/>
      <c r="P260" s="30"/>
      <c r="Q260" s="50"/>
      <c r="R260" s="49"/>
    </row>
    <row r="261" spans="1:18" ht="15.75" customHeight="1" x14ac:dyDescent="0.3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84"/>
      <c r="M261" s="84"/>
      <c r="N261" s="30"/>
      <c r="O261" s="39"/>
      <c r="P261" s="30"/>
      <c r="Q261" s="50"/>
      <c r="R261" s="49"/>
    </row>
    <row r="262" spans="1:18" ht="15.75" customHeight="1" x14ac:dyDescent="0.3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84"/>
      <c r="M262" s="84"/>
      <c r="N262" s="30"/>
      <c r="O262" s="39"/>
      <c r="P262" s="30"/>
      <c r="Q262" s="50"/>
      <c r="R262" s="49"/>
    </row>
    <row r="263" spans="1:18" ht="15.75" customHeight="1" x14ac:dyDescent="0.3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84"/>
      <c r="M263" s="84"/>
      <c r="N263" s="30"/>
      <c r="O263" s="39"/>
      <c r="P263" s="30"/>
      <c r="Q263" s="50"/>
      <c r="R263" s="49"/>
    </row>
    <row r="264" spans="1:18" ht="15.75" customHeight="1" x14ac:dyDescent="0.3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84"/>
      <c r="M264" s="84"/>
      <c r="N264" s="30"/>
      <c r="O264" s="39"/>
      <c r="P264" s="30"/>
      <c r="Q264" s="50"/>
      <c r="R264" s="49"/>
    </row>
    <row r="265" spans="1:18" ht="15.75" customHeight="1" x14ac:dyDescent="0.3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84"/>
      <c r="M265" s="84"/>
      <c r="N265" s="30"/>
      <c r="O265" s="39"/>
      <c r="P265" s="30"/>
      <c r="Q265" s="50"/>
      <c r="R265" s="49"/>
    </row>
    <row r="266" spans="1:18" ht="15.75" customHeight="1" x14ac:dyDescent="0.3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84"/>
      <c r="M266" s="84"/>
      <c r="N266" s="30"/>
      <c r="O266" s="39"/>
      <c r="P266" s="30"/>
      <c r="Q266" s="50"/>
      <c r="R266" s="49"/>
    </row>
    <row r="267" spans="1:18" ht="15.75" customHeight="1" x14ac:dyDescent="0.3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84"/>
      <c r="M267" s="84"/>
      <c r="N267" s="30"/>
      <c r="O267" s="39"/>
      <c r="P267" s="30"/>
      <c r="Q267" s="50"/>
      <c r="R267" s="49"/>
    </row>
    <row r="268" spans="1:18" ht="15.75" customHeight="1" x14ac:dyDescent="0.3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84"/>
      <c r="M268" s="84"/>
      <c r="N268" s="30"/>
      <c r="O268" s="39"/>
      <c r="P268" s="30"/>
      <c r="Q268" s="50"/>
      <c r="R268" s="49"/>
    </row>
    <row r="269" spans="1:18" ht="15.75" customHeight="1" x14ac:dyDescent="0.3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84"/>
      <c r="M269" s="84"/>
      <c r="N269" s="30"/>
      <c r="O269" s="39"/>
      <c r="P269" s="30"/>
      <c r="Q269" s="50"/>
      <c r="R269" s="49"/>
    </row>
    <row r="270" spans="1:18" ht="15.75" customHeight="1" x14ac:dyDescent="0.3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84"/>
      <c r="M270" s="84"/>
      <c r="N270" s="30"/>
      <c r="O270" s="39"/>
      <c r="P270" s="30"/>
      <c r="Q270" s="50"/>
      <c r="R270" s="49"/>
    </row>
    <row r="271" spans="1:18" ht="15.75" customHeight="1" x14ac:dyDescent="0.3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84"/>
      <c r="M271" s="84"/>
      <c r="N271" s="30"/>
      <c r="O271" s="39"/>
      <c r="P271" s="30"/>
      <c r="Q271" s="50"/>
      <c r="R271" s="49"/>
    </row>
    <row r="272" spans="1:18" ht="15.75" customHeight="1" x14ac:dyDescent="0.3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84"/>
      <c r="M272" s="84"/>
      <c r="N272" s="30"/>
      <c r="O272" s="39"/>
      <c r="P272" s="30"/>
      <c r="Q272" s="50"/>
      <c r="R272" s="49"/>
    </row>
    <row r="273" spans="1:18" ht="15.75" customHeight="1" x14ac:dyDescent="0.3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84"/>
      <c r="M273" s="84"/>
      <c r="N273" s="30"/>
      <c r="O273" s="39"/>
      <c r="P273" s="30"/>
      <c r="Q273" s="50"/>
      <c r="R273" s="49"/>
    </row>
    <row r="274" spans="1:18" ht="15.75" customHeight="1" x14ac:dyDescent="0.3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84"/>
      <c r="M274" s="84"/>
      <c r="N274" s="30"/>
      <c r="O274" s="39"/>
      <c r="P274" s="30"/>
      <c r="Q274" s="50"/>
      <c r="R274" s="49"/>
    </row>
    <row r="275" spans="1:18" ht="15.75" customHeight="1" x14ac:dyDescent="0.3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84"/>
      <c r="M275" s="84"/>
      <c r="N275" s="30"/>
      <c r="O275" s="39"/>
      <c r="P275" s="30"/>
      <c r="Q275" s="50"/>
      <c r="R275" s="49"/>
    </row>
    <row r="276" spans="1:18" ht="15.75" customHeight="1" x14ac:dyDescent="0.3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84"/>
      <c r="M276" s="84"/>
      <c r="N276" s="30"/>
      <c r="O276" s="39"/>
      <c r="P276" s="30"/>
      <c r="Q276" s="50"/>
      <c r="R276" s="49"/>
    </row>
    <row r="277" spans="1:18" ht="15.75" customHeight="1" x14ac:dyDescent="0.3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84"/>
      <c r="M277" s="84"/>
      <c r="N277" s="30"/>
      <c r="O277" s="39"/>
      <c r="P277" s="30"/>
      <c r="Q277" s="50"/>
      <c r="R277" s="49"/>
    </row>
    <row r="278" spans="1:18" ht="15.75" customHeight="1" x14ac:dyDescent="0.3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84"/>
      <c r="M278" s="84"/>
      <c r="N278" s="30"/>
      <c r="O278" s="39"/>
      <c r="P278" s="30"/>
      <c r="Q278" s="50"/>
      <c r="R278" s="49"/>
    </row>
    <row r="279" spans="1:18" ht="15.75" customHeight="1" x14ac:dyDescent="0.3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84"/>
      <c r="M279" s="84"/>
      <c r="N279" s="30"/>
      <c r="O279" s="39"/>
      <c r="P279" s="30"/>
      <c r="Q279" s="50"/>
      <c r="R279" s="49"/>
    </row>
    <row r="280" spans="1:18" ht="15.75" customHeight="1" x14ac:dyDescent="0.3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84"/>
      <c r="M280" s="84"/>
      <c r="N280" s="30"/>
      <c r="O280" s="39"/>
      <c r="P280" s="30"/>
      <c r="Q280" s="50"/>
      <c r="R280" s="49"/>
    </row>
    <row r="281" spans="1:18" ht="15.75" customHeight="1" x14ac:dyDescent="0.3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84"/>
      <c r="M281" s="84"/>
      <c r="N281" s="30"/>
      <c r="O281" s="39"/>
      <c r="P281" s="30"/>
      <c r="Q281" s="50"/>
      <c r="R281" s="49"/>
    </row>
    <row r="282" spans="1:18" ht="15.75" customHeight="1" x14ac:dyDescent="0.3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84"/>
      <c r="M282" s="84"/>
      <c r="N282" s="30"/>
      <c r="O282" s="39"/>
      <c r="P282" s="30"/>
      <c r="Q282" s="50"/>
      <c r="R282" s="49"/>
    </row>
    <row r="283" spans="1:18" ht="15.75" customHeight="1" x14ac:dyDescent="0.3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84"/>
      <c r="M283" s="84"/>
      <c r="N283" s="30"/>
      <c r="O283" s="39"/>
      <c r="P283" s="30"/>
      <c r="Q283" s="50"/>
      <c r="R283" s="49"/>
    </row>
    <row r="284" spans="1:18" ht="15.75" customHeight="1" x14ac:dyDescent="0.3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84"/>
      <c r="M284" s="84"/>
      <c r="N284" s="30"/>
      <c r="O284" s="39"/>
      <c r="P284" s="30"/>
      <c r="Q284" s="50"/>
      <c r="R284" s="49"/>
    </row>
    <row r="285" spans="1:18" ht="15.75" customHeight="1" x14ac:dyDescent="0.3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84"/>
      <c r="M285" s="84"/>
      <c r="N285" s="30"/>
      <c r="O285" s="39"/>
      <c r="P285" s="30"/>
      <c r="Q285" s="50"/>
      <c r="R285" s="49"/>
    </row>
    <row r="286" spans="1:18" ht="15.75" customHeight="1" x14ac:dyDescent="0.3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84"/>
      <c r="M286" s="84"/>
      <c r="N286" s="30"/>
      <c r="O286" s="39"/>
      <c r="P286" s="30"/>
      <c r="Q286" s="50"/>
      <c r="R286" s="49"/>
    </row>
    <row r="287" spans="1:18" ht="15.75" customHeight="1" x14ac:dyDescent="0.3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84"/>
      <c r="M287" s="84"/>
      <c r="N287" s="30"/>
      <c r="O287" s="39"/>
      <c r="P287" s="30"/>
      <c r="Q287" s="50"/>
      <c r="R287" s="49"/>
    </row>
    <row r="288" spans="1:18" ht="15.75" customHeight="1" x14ac:dyDescent="0.3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84"/>
      <c r="M288" s="84"/>
      <c r="N288" s="30"/>
      <c r="O288" s="39"/>
      <c r="P288" s="30"/>
      <c r="Q288" s="50"/>
      <c r="R288" s="49"/>
    </row>
    <row r="289" spans="1:18" ht="15.75" customHeight="1" x14ac:dyDescent="0.3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84"/>
      <c r="M289" s="84"/>
      <c r="N289" s="30"/>
      <c r="O289" s="39"/>
      <c r="P289" s="30"/>
      <c r="Q289" s="50"/>
      <c r="R289" s="49"/>
    </row>
    <row r="290" spans="1:18" ht="15.75" customHeight="1" x14ac:dyDescent="0.3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84"/>
      <c r="M290" s="84"/>
      <c r="N290" s="30"/>
      <c r="O290" s="39"/>
      <c r="P290" s="30"/>
      <c r="Q290" s="50"/>
      <c r="R290" s="49"/>
    </row>
    <row r="291" spans="1:18" ht="15.75" customHeight="1" x14ac:dyDescent="0.3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84"/>
      <c r="M291" s="84"/>
      <c r="N291" s="30"/>
      <c r="O291" s="39"/>
      <c r="P291" s="30"/>
      <c r="Q291" s="50"/>
      <c r="R291" s="49"/>
    </row>
    <row r="292" spans="1:18" ht="15.75" customHeight="1" x14ac:dyDescent="0.3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84"/>
      <c r="M292" s="84"/>
      <c r="N292" s="30"/>
      <c r="O292" s="39"/>
      <c r="P292" s="30"/>
      <c r="Q292" s="50"/>
      <c r="R292" s="49"/>
    </row>
    <row r="293" spans="1:18" ht="15.75" customHeight="1" x14ac:dyDescent="0.3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84"/>
      <c r="M293" s="84"/>
      <c r="N293" s="30"/>
      <c r="O293" s="39"/>
      <c r="P293" s="30"/>
      <c r="Q293" s="50"/>
      <c r="R293" s="49"/>
    </row>
    <row r="294" spans="1:18" ht="15.75" customHeight="1" x14ac:dyDescent="0.3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84"/>
      <c r="M294" s="84"/>
      <c r="N294" s="30"/>
      <c r="O294" s="39"/>
      <c r="P294" s="30"/>
      <c r="Q294" s="50"/>
      <c r="R294" s="49"/>
    </row>
    <row r="295" spans="1:18" ht="15.75" customHeight="1" x14ac:dyDescent="0.3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84"/>
      <c r="M295" s="84"/>
      <c r="N295" s="30"/>
      <c r="O295" s="39"/>
      <c r="P295" s="30"/>
      <c r="Q295" s="50"/>
      <c r="R295" s="49"/>
    </row>
    <row r="296" spans="1:18" ht="15.75" customHeight="1" x14ac:dyDescent="0.3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84"/>
      <c r="M296" s="84"/>
      <c r="N296" s="30"/>
      <c r="O296" s="39"/>
      <c r="P296" s="30"/>
      <c r="Q296" s="50"/>
      <c r="R296" s="49"/>
    </row>
    <row r="297" spans="1:18" ht="15.75" customHeight="1" x14ac:dyDescent="0.3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84"/>
      <c r="M297" s="84"/>
      <c r="N297" s="30"/>
      <c r="O297" s="39"/>
      <c r="P297" s="30"/>
      <c r="Q297" s="50"/>
      <c r="R297" s="49"/>
    </row>
    <row r="298" spans="1:18" ht="15.75" customHeight="1" x14ac:dyDescent="0.3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84"/>
      <c r="M298" s="84"/>
      <c r="N298" s="30"/>
      <c r="O298" s="39"/>
      <c r="P298" s="30"/>
      <c r="Q298" s="50"/>
      <c r="R298" s="49"/>
    </row>
    <row r="299" spans="1:18" ht="15.75" customHeight="1" x14ac:dyDescent="0.3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84"/>
      <c r="M299" s="84"/>
      <c r="N299" s="30"/>
      <c r="O299" s="39"/>
      <c r="P299" s="30"/>
      <c r="Q299" s="50"/>
      <c r="R299" s="49"/>
    </row>
    <row r="300" spans="1:18" ht="15.75" customHeight="1" x14ac:dyDescent="0.3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84"/>
      <c r="M300" s="84"/>
      <c r="N300" s="30"/>
      <c r="O300" s="39"/>
      <c r="P300" s="30"/>
      <c r="Q300" s="50"/>
      <c r="R300" s="49"/>
    </row>
    <row r="301" spans="1:18" ht="15.75" customHeight="1" x14ac:dyDescent="0.3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84"/>
      <c r="M301" s="84"/>
      <c r="N301" s="30"/>
      <c r="O301" s="39"/>
      <c r="P301" s="30"/>
      <c r="Q301" s="50"/>
      <c r="R301" s="49"/>
    </row>
    <row r="302" spans="1:18" ht="15.75" customHeight="1" x14ac:dyDescent="0.3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84"/>
      <c r="M302" s="84"/>
      <c r="N302" s="30"/>
      <c r="O302" s="39"/>
      <c r="P302" s="30"/>
      <c r="Q302" s="50"/>
      <c r="R302" s="49"/>
    </row>
    <row r="303" spans="1:18" ht="15.75" customHeight="1" x14ac:dyDescent="0.3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84"/>
      <c r="M303" s="84"/>
      <c r="N303" s="30"/>
      <c r="O303" s="39"/>
      <c r="P303" s="30"/>
      <c r="Q303" s="50"/>
      <c r="R303" s="49"/>
    </row>
    <row r="304" spans="1:18" ht="15.75" customHeight="1" x14ac:dyDescent="0.3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84"/>
      <c r="M304" s="84"/>
      <c r="N304" s="30"/>
      <c r="O304" s="39"/>
      <c r="P304" s="30"/>
      <c r="Q304" s="50"/>
      <c r="R304" s="49"/>
    </row>
    <row r="305" spans="1:18" ht="15.75" customHeight="1" x14ac:dyDescent="0.3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84"/>
      <c r="M305" s="84"/>
      <c r="N305" s="30"/>
      <c r="O305" s="39"/>
      <c r="P305" s="30"/>
      <c r="Q305" s="50"/>
      <c r="R305" s="49"/>
    </row>
    <row r="306" spans="1:18" ht="15.75" customHeight="1" x14ac:dyDescent="0.3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84"/>
      <c r="M306" s="84"/>
      <c r="N306" s="30"/>
      <c r="O306" s="39"/>
      <c r="P306" s="30"/>
      <c r="Q306" s="50"/>
      <c r="R306" s="49"/>
    </row>
    <row r="307" spans="1:18" ht="15.75" customHeight="1" x14ac:dyDescent="0.3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84"/>
      <c r="M307" s="84"/>
      <c r="N307" s="30"/>
      <c r="O307" s="39"/>
      <c r="P307" s="30"/>
      <c r="Q307" s="50"/>
      <c r="R307" s="49"/>
    </row>
    <row r="308" spans="1:18" ht="15.75" customHeight="1" x14ac:dyDescent="0.3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84"/>
      <c r="M308" s="84"/>
      <c r="N308" s="30"/>
      <c r="O308" s="39"/>
      <c r="P308" s="30"/>
      <c r="Q308" s="50"/>
      <c r="R308" s="49"/>
    </row>
    <row r="309" spans="1:18" ht="15.75" customHeight="1" x14ac:dyDescent="0.3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84"/>
      <c r="M309" s="84"/>
      <c r="N309" s="30"/>
      <c r="O309" s="39"/>
      <c r="P309" s="30"/>
      <c r="Q309" s="50"/>
      <c r="R309" s="49"/>
    </row>
    <row r="310" spans="1:18" ht="15.75" customHeight="1" x14ac:dyDescent="0.3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84"/>
      <c r="M310" s="84"/>
      <c r="N310" s="30"/>
      <c r="O310" s="39"/>
      <c r="P310" s="30"/>
      <c r="Q310" s="50"/>
      <c r="R310" s="49"/>
    </row>
    <row r="311" spans="1:18" ht="15.75" customHeight="1" x14ac:dyDescent="0.3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84"/>
      <c r="M311" s="84"/>
      <c r="N311" s="30"/>
      <c r="O311" s="39"/>
      <c r="P311" s="30"/>
      <c r="Q311" s="50"/>
      <c r="R311" s="49"/>
    </row>
    <row r="312" spans="1:18" ht="15.75" customHeight="1" x14ac:dyDescent="0.3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84"/>
      <c r="M312" s="84"/>
      <c r="N312" s="30"/>
      <c r="O312" s="39"/>
      <c r="P312" s="30"/>
      <c r="Q312" s="50"/>
      <c r="R312" s="49"/>
    </row>
    <row r="313" spans="1:18" ht="15.75" customHeight="1" x14ac:dyDescent="0.3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84"/>
      <c r="M313" s="84"/>
      <c r="N313" s="30"/>
      <c r="O313" s="39"/>
      <c r="P313" s="30"/>
      <c r="Q313" s="50"/>
      <c r="R313" s="49"/>
    </row>
    <row r="314" spans="1:18" ht="15.75" customHeight="1" x14ac:dyDescent="0.3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84"/>
      <c r="M314" s="84"/>
      <c r="N314" s="30"/>
      <c r="O314" s="39"/>
      <c r="P314" s="30"/>
      <c r="Q314" s="50"/>
      <c r="R314" s="49"/>
    </row>
    <row r="315" spans="1:18" ht="15.75" customHeight="1" x14ac:dyDescent="0.3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84"/>
      <c r="M315" s="84"/>
      <c r="N315" s="30"/>
      <c r="O315" s="39"/>
      <c r="P315" s="30"/>
      <c r="Q315" s="50"/>
      <c r="R315" s="49"/>
    </row>
    <row r="316" spans="1:18" ht="15.75" customHeight="1" x14ac:dyDescent="0.3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84"/>
      <c r="M316" s="84"/>
      <c r="N316" s="30"/>
      <c r="O316" s="39"/>
      <c r="P316" s="30"/>
      <c r="Q316" s="50"/>
      <c r="R316" s="49"/>
    </row>
    <row r="317" spans="1:18" ht="15.75" customHeight="1" x14ac:dyDescent="0.3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84"/>
      <c r="M317" s="84"/>
      <c r="N317" s="30"/>
      <c r="O317" s="39"/>
      <c r="P317" s="30"/>
      <c r="Q317" s="50"/>
      <c r="R317" s="49"/>
    </row>
    <row r="318" spans="1:18" ht="15.75" customHeight="1" x14ac:dyDescent="0.3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84"/>
      <c r="M318" s="84"/>
      <c r="N318" s="30"/>
      <c r="O318" s="39"/>
      <c r="P318" s="30"/>
      <c r="Q318" s="50"/>
      <c r="R318" s="49"/>
    </row>
    <row r="319" spans="1:18" ht="15.75" customHeight="1" x14ac:dyDescent="0.3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84"/>
      <c r="M319" s="84"/>
      <c r="N319" s="30"/>
      <c r="O319" s="39"/>
      <c r="P319" s="30"/>
      <c r="Q319" s="50"/>
      <c r="R319" s="49"/>
    </row>
    <row r="320" spans="1:18" ht="15.75" customHeight="1" x14ac:dyDescent="0.3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84"/>
      <c r="M320" s="84"/>
      <c r="N320" s="30"/>
      <c r="O320" s="39"/>
      <c r="P320" s="30"/>
      <c r="Q320" s="50"/>
      <c r="R320" s="49"/>
    </row>
    <row r="321" spans="1:18" ht="15.75" customHeight="1" x14ac:dyDescent="0.3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84"/>
      <c r="M321" s="84"/>
      <c r="N321" s="30"/>
      <c r="O321" s="39"/>
      <c r="P321" s="30"/>
      <c r="Q321" s="50"/>
      <c r="R321" s="49"/>
    </row>
    <row r="322" spans="1:18" ht="15.75" customHeight="1" x14ac:dyDescent="0.3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84"/>
      <c r="M322" s="84"/>
      <c r="N322" s="30"/>
      <c r="O322" s="39"/>
      <c r="P322" s="30"/>
      <c r="Q322" s="50"/>
      <c r="R322" s="49"/>
    </row>
    <row r="323" spans="1:18" ht="15.75" customHeight="1" x14ac:dyDescent="0.3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84"/>
      <c r="M323" s="84"/>
      <c r="N323" s="30"/>
      <c r="O323" s="39"/>
      <c r="P323" s="30"/>
      <c r="Q323" s="50"/>
      <c r="R323" s="49"/>
    </row>
    <row r="324" spans="1:18" ht="15.75" customHeight="1" x14ac:dyDescent="0.3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84"/>
      <c r="M324" s="84"/>
      <c r="N324" s="30"/>
      <c r="O324" s="39"/>
      <c r="P324" s="30"/>
      <c r="Q324" s="50"/>
      <c r="R324" s="49"/>
    </row>
    <row r="325" spans="1:18" ht="15.75" customHeight="1" x14ac:dyDescent="0.3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84"/>
      <c r="M325" s="84"/>
      <c r="N325" s="30"/>
      <c r="O325" s="39"/>
      <c r="P325" s="30"/>
      <c r="Q325" s="50"/>
      <c r="R325" s="49"/>
    </row>
    <row r="326" spans="1:18" ht="15.75" customHeight="1" x14ac:dyDescent="0.3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84"/>
      <c r="M326" s="84"/>
      <c r="N326" s="30"/>
      <c r="O326" s="39"/>
      <c r="P326" s="30"/>
      <c r="Q326" s="50"/>
      <c r="R326" s="49"/>
    </row>
    <row r="327" spans="1:18" ht="15.75" customHeight="1" x14ac:dyDescent="0.3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84"/>
      <c r="M327" s="84"/>
      <c r="N327" s="30"/>
      <c r="O327" s="39"/>
      <c r="P327" s="30"/>
      <c r="Q327" s="50"/>
      <c r="R327" s="49"/>
    </row>
    <row r="328" spans="1:18" ht="15.75" customHeight="1" x14ac:dyDescent="0.3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84"/>
      <c r="M328" s="84"/>
      <c r="N328" s="30"/>
      <c r="O328" s="39"/>
      <c r="P328" s="30"/>
      <c r="Q328" s="50"/>
      <c r="R328" s="49"/>
    </row>
    <row r="329" spans="1:18" ht="15.75" customHeight="1" x14ac:dyDescent="0.3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84"/>
      <c r="M329" s="84"/>
      <c r="N329" s="30"/>
      <c r="O329" s="39"/>
      <c r="P329" s="30"/>
      <c r="Q329" s="50"/>
      <c r="R329" s="49"/>
    </row>
    <row r="330" spans="1:18" ht="15.75" customHeight="1" x14ac:dyDescent="0.3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84"/>
      <c r="M330" s="84"/>
      <c r="N330" s="30"/>
      <c r="O330" s="39"/>
      <c r="P330" s="30"/>
      <c r="Q330" s="50"/>
      <c r="R330" s="49"/>
    </row>
    <row r="331" spans="1:18" ht="15.75" customHeight="1" x14ac:dyDescent="0.3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84"/>
      <c r="M331" s="84"/>
      <c r="N331" s="30"/>
      <c r="O331" s="39"/>
      <c r="P331" s="30"/>
      <c r="Q331" s="50"/>
      <c r="R331" s="49"/>
    </row>
    <row r="332" spans="1:18" ht="15.75" customHeight="1" x14ac:dyDescent="0.3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84"/>
      <c r="M332" s="84"/>
      <c r="N332" s="30"/>
      <c r="O332" s="39"/>
      <c r="P332" s="30"/>
      <c r="Q332" s="50"/>
      <c r="R332" s="49"/>
    </row>
    <row r="333" spans="1:18" ht="15.75" customHeight="1" x14ac:dyDescent="0.3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84"/>
      <c r="M333" s="84"/>
      <c r="N333" s="30"/>
      <c r="O333" s="39"/>
      <c r="P333" s="30"/>
      <c r="Q333" s="50"/>
      <c r="R333" s="49"/>
    </row>
    <row r="334" spans="1:18" ht="15.75" customHeight="1" x14ac:dyDescent="0.3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84"/>
      <c r="M334" s="84"/>
      <c r="N334" s="30"/>
      <c r="O334" s="39"/>
      <c r="P334" s="30"/>
      <c r="Q334" s="50"/>
      <c r="R334" s="49"/>
    </row>
    <row r="335" spans="1:18" ht="15.75" customHeight="1" x14ac:dyDescent="0.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84"/>
      <c r="M335" s="84"/>
      <c r="N335" s="30"/>
      <c r="O335" s="39"/>
      <c r="P335" s="30"/>
      <c r="Q335" s="50"/>
      <c r="R335" s="49"/>
    </row>
    <row r="336" spans="1:18" ht="15.75" customHeight="1" x14ac:dyDescent="0.3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84"/>
      <c r="M336" s="84"/>
      <c r="N336" s="30"/>
      <c r="O336" s="39"/>
      <c r="P336" s="30"/>
      <c r="Q336" s="50"/>
      <c r="R336" s="49"/>
    </row>
    <row r="337" spans="1:18" ht="15.75" customHeight="1" x14ac:dyDescent="0.3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84"/>
      <c r="M337" s="84"/>
      <c r="N337" s="30"/>
      <c r="O337" s="39"/>
      <c r="P337" s="30"/>
      <c r="Q337" s="50"/>
      <c r="R337" s="49"/>
    </row>
    <row r="338" spans="1:18" ht="15.75" customHeight="1" x14ac:dyDescent="0.3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84"/>
      <c r="M338" s="84"/>
      <c r="N338" s="30"/>
      <c r="O338" s="39"/>
      <c r="P338" s="30"/>
      <c r="Q338" s="50"/>
      <c r="R338" s="49"/>
    </row>
    <row r="339" spans="1:18" ht="15.75" customHeight="1" x14ac:dyDescent="0.3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84"/>
      <c r="M339" s="84"/>
      <c r="N339" s="30"/>
      <c r="O339" s="39"/>
      <c r="P339" s="30"/>
      <c r="Q339" s="50"/>
      <c r="R339" s="49"/>
    </row>
    <row r="340" spans="1:18" ht="15.75" customHeight="1" x14ac:dyDescent="0.3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84"/>
      <c r="M340" s="84"/>
      <c r="N340" s="30"/>
      <c r="O340" s="39"/>
      <c r="P340" s="30"/>
      <c r="Q340" s="50"/>
      <c r="R340" s="49"/>
    </row>
    <row r="341" spans="1:18" ht="15.75" customHeight="1" x14ac:dyDescent="0.3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84"/>
      <c r="M341" s="84"/>
      <c r="N341" s="30"/>
      <c r="O341" s="39"/>
      <c r="P341" s="30"/>
      <c r="Q341" s="50"/>
      <c r="R341" s="49"/>
    </row>
    <row r="342" spans="1:18" ht="15.75" customHeight="1" x14ac:dyDescent="0.3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84"/>
      <c r="M342" s="84"/>
      <c r="N342" s="30"/>
      <c r="O342" s="39"/>
      <c r="P342" s="30"/>
      <c r="Q342" s="50"/>
      <c r="R342" s="49"/>
    </row>
    <row r="343" spans="1:18" ht="15.75" customHeight="1" x14ac:dyDescent="0.3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84"/>
      <c r="M343" s="84"/>
      <c r="N343" s="30"/>
      <c r="O343" s="39"/>
      <c r="P343" s="30"/>
      <c r="Q343" s="50"/>
      <c r="R343" s="49"/>
    </row>
    <row r="344" spans="1:18" ht="15.75" customHeight="1" x14ac:dyDescent="0.3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84"/>
      <c r="M344" s="84"/>
      <c r="N344" s="30"/>
      <c r="O344" s="39"/>
      <c r="P344" s="30"/>
      <c r="Q344" s="50"/>
      <c r="R344" s="49"/>
    </row>
    <row r="345" spans="1:18" ht="15.75" customHeight="1" x14ac:dyDescent="0.3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84"/>
      <c r="M345" s="84"/>
      <c r="N345" s="30"/>
      <c r="O345" s="39"/>
      <c r="P345" s="30"/>
      <c r="Q345" s="50"/>
      <c r="R345" s="49"/>
    </row>
    <row r="346" spans="1:18" ht="15.75" customHeight="1" x14ac:dyDescent="0.3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84"/>
      <c r="M346" s="84"/>
      <c r="N346" s="30"/>
      <c r="O346" s="39"/>
      <c r="P346" s="30"/>
      <c r="Q346" s="50"/>
      <c r="R346" s="49"/>
    </row>
    <row r="347" spans="1:18" ht="15.75" customHeight="1" x14ac:dyDescent="0.3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84"/>
      <c r="M347" s="84"/>
      <c r="N347" s="30"/>
      <c r="O347" s="39"/>
      <c r="P347" s="30"/>
      <c r="Q347" s="50"/>
      <c r="R347" s="49"/>
    </row>
    <row r="348" spans="1:18" ht="15.75" customHeight="1" x14ac:dyDescent="0.3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84"/>
      <c r="M348" s="84"/>
      <c r="N348" s="30"/>
      <c r="O348" s="39"/>
      <c r="P348" s="30"/>
      <c r="Q348" s="50"/>
      <c r="R348" s="49"/>
    </row>
    <row r="349" spans="1:18" ht="15.75" customHeight="1" x14ac:dyDescent="0.3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84"/>
      <c r="M349" s="84"/>
      <c r="N349" s="30"/>
      <c r="O349" s="39"/>
      <c r="P349" s="30"/>
      <c r="Q349" s="50"/>
      <c r="R349" s="49"/>
    </row>
    <row r="350" spans="1:18" ht="15.75" customHeight="1" x14ac:dyDescent="0.3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84"/>
      <c r="M350" s="84"/>
      <c r="N350" s="30"/>
      <c r="O350" s="39"/>
      <c r="P350" s="30"/>
      <c r="Q350" s="50"/>
      <c r="R350" s="49"/>
    </row>
    <row r="351" spans="1:18" ht="15.75" customHeight="1" x14ac:dyDescent="0.3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84"/>
      <c r="M351" s="84"/>
      <c r="N351" s="30"/>
      <c r="O351" s="39"/>
      <c r="P351" s="30"/>
      <c r="Q351" s="50"/>
      <c r="R351" s="49"/>
    </row>
    <row r="352" spans="1:18" ht="15.75" customHeight="1" x14ac:dyDescent="0.3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84"/>
      <c r="M352" s="84"/>
      <c r="N352" s="30"/>
      <c r="O352" s="39"/>
      <c r="P352" s="30"/>
      <c r="Q352" s="50"/>
      <c r="R352" s="49"/>
    </row>
    <row r="353" spans="1:18" ht="15.75" customHeight="1" x14ac:dyDescent="0.3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84"/>
      <c r="M353" s="84"/>
      <c r="N353" s="30"/>
      <c r="O353" s="39"/>
      <c r="P353" s="30"/>
      <c r="Q353" s="50"/>
      <c r="R353" s="49"/>
    </row>
    <row r="354" spans="1:18" ht="15.75" customHeight="1" x14ac:dyDescent="0.3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84"/>
      <c r="M354" s="84"/>
      <c r="N354" s="30"/>
      <c r="O354" s="39"/>
      <c r="P354" s="30"/>
      <c r="Q354" s="50"/>
      <c r="R354" s="49"/>
    </row>
    <row r="355" spans="1:18" ht="15.75" customHeight="1" x14ac:dyDescent="0.3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84"/>
      <c r="M355" s="84"/>
      <c r="N355" s="30"/>
      <c r="O355" s="39"/>
      <c r="P355" s="30"/>
      <c r="Q355" s="50"/>
      <c r="R355" s="49"/>
    </row>
    <row r="356" spans="1:18" ht="15.75" customHeight="1" x14ac:dyDescent="0.3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84"/>
      <c r="M356" s="84"/>
      <c r="N356" s="30"/>
      <c r="O356" s="39"/>
      <c r="P356" s="30"/>
      <c r="Q356" s="50"/>
      <c r="R356" s="49"/>
    </row>
    <row r="357" spans="1:18" ht="15.75" customHeight="1" x14ac:dyDescent="0.3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84"/>
      <c r="M357" s="84"/>
      <c r="N357" s="30"/>
      <c r="O357" s="39"/>
      <c r="P357" s="30"/>
      <c r="Q357" s="50"/>
      <c r="R357" s="49"/>
    </row>
    <row r="358" spans="1:18" ht="15.75" customHeight="1" x14ac:dyDescent="0.3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84"/>
      <c r="M358" s="84"/>
      <c r="N358" s="30"/>
      <c r="O358" s="39"/>
      <c r="P358" s="30"/>
      <c r="Q358" s="50"/>
      <c r="R358" s="49"/>
    </row>
    <row r="359" spans="1:18" ht="15.75" customHeight="1" x14ac:dyDescent="0.3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84"/>
      <c r="M359" s="84"/>
      <c r="N359" s="30"/>
      <c r="O359" s="39"/>
      <c r="P359" s="30"/>
      <c r="Q359" s="50"/>
      <c r="R359" s="49"/>
    </row>
    <row r="360" spans="1:18" ht="15.75" customHeight="1" x14ac:dyDescent="0.3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84"/>
      <c r="M360" s="84"/>
      <c r="N360" s="30"/>
      <c r="O360" s="39"/>
      <c r="P360" s="30"/>
      <c r="Q360" s="50"/>
      <c r="R360" s="49"/>
    </row>
    <row r="361" spans="1:18" ht="15.75" customHeight="1" x14ac:dyDescent="0.3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84"/>
      <c r="M361" s="84"/>
      <c r="N361" s="30"/>
      <c r="O361" s="39"/>
      <c r="P361" s="30"/>
      <c r="Q361" s="50"/>
      <c r="R361" s="49"/>
    </row>
    <row r="362" spans="1:18" ht="15.75" customHeight="1" x14ac:dyDescent="0.3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84"/>
      <c r="M362" s="84"/>
      <c r="N362" s="30"/>
      <c r="O362" s="39"/>
      <c r="P362" s="30"/>
      <c r="Q362" s="50"/>
      <c r="R362" s="49"/>
    </row>
    <row r="363" spans="1:18" ht="15.75" customHeight="1" x14ac:dyDescent="0.3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84"/>
      <c r="M363" s="84"/>
      <c r="N363" s="30"/>
      <c r="O363" s="39"/>
      <c r="P363" s="30"/>
      <c r="Q363" s="50"/>
      <c r="R363" s="49"/>
    </row>
    <row r="364" spans="1:18" ht="15.75" customHeight="1" x14ac:dyDescent="0.3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84"/>
      <c r="M364" s="84"/>
      <c r="N364" s="30"/>
      <c r="O364" s="39"/>
      <c r="P364" s="30"/>
      <c r="Q364" s="50"/>
      <c r="R364" s="49"/>
    </row>
    <row r="365" spans="1:18" ht="15.75" customHeight="1" x14ac:dyDescent="0.3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84"/>
      <c r="M365" s="84"/>
      <c r="N365" s="30"/>
      <c r="O365" s="39"/>
      <c r="P365" s="30"/>
      <c r="Q365" s="50"/>
      <c r="R365" s="49"/>
    </row>
    <row r="366" spans="1:18" ht="15.75" customHeight="1" x14ac:dyDescent="0.3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84"/>
      <c r="M366" s="84"/>
      <c r="N366" s="30"/>
      <c r="O366" s="39"/>
      <c r="P366" s="30"/>
      <c r="Q366" s="50"/>
      <c r="R366" s="49"/>
    </row>
    <row r="367" spans="1:18" ht="15.75" customHeight="1" x14ac:dyDescent="0.3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84"/>
      <c r="M367" s="84"/>
      <c r="N367" s="30"/>
      <c r="O367" s="39"/>
      <c r="P367" s="30"/>
      <c r="Q367" s="50"/>
      <c r="R367" s="49"/>
    </row>
    <row r="368" spans="1:18" ht="15.75" customHeight="1" x14ac:dyDescent="0.3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84"/>
      <c r="M368" s="84"/>
      <c r="N368" s="30"/>
      <c r="O368" s="39"/>
      <c r="P368" s="30"/>
      <c r="Q368" s="50"/>
      <c r="R368" s="49"/>
    </row>
    <row r="369" spans="1:18" ht="15.75" customHeight="1" x14ac:dyDescent="0.3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84"/>
      <c r="M369" s="84"/>
      <c r="N369" s="30"/>
      <c r="O369" s="39"/>
      <c r="P369" s="30"/>
      <c r="Q369" s="50"/>
      <c r="R369" s="49"/>
    </row>
    <row r="370" spans="1:18" ht="15.75" customHeight="1" x14ac:dyDescent="0.3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84"/>
      <c r="M370" s="84"/>
      <c r="N370" s="30"/>
      <c r="O370" s="39"/>
      <c r="P370" s="30"/>
      <c r="Q370" s="50"/>
      <c r="R370" s="49"/>
    </row>
    <row r="371" spans="1:18" ht="15.75" customHeight="1" x14ac:dyDescent="0.3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84"/>
      <c r="M371" s="84"/>
      <c r="N371" s="30"/>
      <c r="O371" s="39"/>
      <c r="P371" s="30"/>
      <c r="Q371" s="50"/>
      <c r="R371" s="49"/>
    </row>
    <row r="372" spans="1:18" ht="15.75" customHeight="1" x14ac:dyDescent="0.3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84"/>
      <c r="M372" s="84"/>
      <c r="N372" s="30"/>
      <c r="O372" s="39"/>
      <c r="P372" s="30"/>
      <c r="Q372" s="50"/>
      <c r="R372" s="49"/>
    </row>
    <row r="373" spans="1:18" ht="15.75" customHeight="1" x14ac:dyDescent="0.3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84"/>
      <c r="M373" s="84"/>
      <c r="N373" s="30"/>
      <c r="O373" s="39"/>
      <c r="P373" s="30"/>
      <c r="Q373" s="50"/>
      <c r="R373" s="49"/>
    </row>
    <row r="374" spans="1:18" ht="15.75" customHeight="1" x14ac:dyDescent="0.3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84"/>
      <c r="M374" s="84"/>
      <c r="N374" s="30"/>
      <c r="O374" s="39"/>
      <c r="P374" s="30"/>
      <c r="Q374" s="50"/>
      <c r="R374" s="49"/>
    </row>
    <row r="375" spans="1:18" ht="15.75" customHeight="1" x14ac:dyDescent="0.3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84"/>
      <c r="M375" s="84"/>
      <c r="N375" s="30"/>
      <c r="O375" s="39"/>
      <c r="P375" s="30"/>
      <c r="Q375" s="50"/>
      <c r="R375" s="49"/>
    </row>
    <row r="376" spans="1:18" ht="15.75" customHeight="1" x14ac:dyDescent="0.3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84"/>
      <c r="M376" s="84"/>
      <c r="N376" s="30"/>
      <c r="O376" s="39"/>
      <c r="P376" s="30"/>
      <c r="Q376" s="50"/>
      <c r="R376" s="49"/>
    </row>
    <row r="377" spans="1:18" ht="15.75" customHeight="1" x14ac:dyDescent="0.3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84"/>
      <c r="M377" s="84"/>
      <c r="N377" s="30"/>
      <c r="O377" s="39"/>
      <c r="P377" s="30"/>
      <c r="Q377" s="50"/>
      <c r="R377" s="49"/>
    </row>
    <row r="378" spans="1:18" ht="15.75" customHeight="1" x14ac:dyDescent="0.3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84"/>
      <c r="M378" s="84"/>
      <c r="N378" s="30"/>
      <c r="O378" s="39"/>
      <c r="P378" s="30"/>
      <c r="Q378" s="50"/>
      <c r="R378" s="49"/>
    </row>
    <row r="379" spans="1:18" ht="15.75" customHeight="1" x14ac:dyDescent="0.3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84"/>
      <c r="M379" s="84"/>
      <c r="N379" s="30"/>
      <c r="O379" s="39"/>
      <c r="P379" s="30"/>
      <c r="Q379" s="50"/>
      <c r="R379" s="49"/>
    </row>
    <row r="380" spans="1:18" ht="15.75" customHeight="1" x14ac:dyDescent="0.3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84"/>
      <c r="M380" s="84"/>
      <c r="N380" s="30"/>
      <c r="O380" s="39"/>
      <c r="P380" s="30"/>
      <c r="Q380" s="50"/>
      <c r="R380" s="49"/>
    </row>
    <row r="381" spans="1:18" ht="15.75" customHeight="1" x14ac:dyDescent="0.3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84"/>
      <c r="M381" s="84"/>
      <c r="N381" s="30"/>
      <c r="O381" s="39"/>
      <c r="P381" s="30"/>
      <c r="Q381" s="50"/>
      <c r="R381" s="49"/>
    </row>
    <row r="382" spans="1:18" ht="15.75" customHeight="1" x14ac:dyDescent="0.3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84"/>
      <c r="M382" s="84"/>
      <c r="N382" s="30"/>
      <c r="O382" s="39"/>
      <c r="P382" s="30"/>
      <c r="Q382" s="50"/>
      <c r="R382" s="49"/>
    </row>
    <row r="383" spans="1:18" ht="15.75" customHeight="1" x14ac:dyDescent="0.3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84"/>
      <c r="M383" s="84"/>
      <c r="N383" s="30"/>
      <c r="O383" s="39"/>
      <c r="P383" s="30"/>
      <c r="Q383" s="50"/>
      <c r="R383" s="49"/>
    </row>
    <row r="384" spans="1:18" ht="15.75" customHeight="1" x14ac:dyDescent="0.3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84"/>
      <c r="M384" s="84"/>
      <c r="N384" s="30"/>
      <c r="O384" s="39"/>
      <c r="P384" s="30"/>
      <c r="Q384" s="50"/>
      <c r="R384" s="49"/>
    </row>
    <row r="385" spans="1:18" ht="15.75" customHeight="1" x14ac:dyDescent="0.3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84"/>
      <c r="M385" s="84"/>
      <c r="N385" s="30"/>
      <c r="O385" s="39"/>
      <c r="P385" s="30"/>
      <c r="Q385" s="50"/>
      <c r="R385" s="49"/>
    </row>
    <row r="386" spans="1:18" ht="15.75" customHeight="1" x14ac:dyDescent="0.3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84"/>
      <c r="M386" s="84"/>
      <c r="N386" s="30"/>
      <c r="O386" s="39"/>
      <c r="P386" s="30"/>
      <c r="Q386" s="50"/>
      <c r="R386" s="49"/>
    </row>
    <row r="387" spans="1:18" ht="15.75" customHeight="1" x14ac:dyDescent="0.3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84"/>
      <c r="M387" s="84"/>
      <c r="N387" s="30"/>
      <c r="O387" s="39"/>
      <c r="P387" s="30"/>
      <c r="Q387" s="50"/>
      <c r="R387" s="49"/>
    </row>
    <row r="388" spans="1:18" ht="15.75" customHeight="1" x14ac:dyDescent="0.3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84"/>
      <c r="M388" s="84"/>
      <c r="N388" s="30"/>
      <c r="O388" s="39"/>
      <c r="P388" s="30"/>
      <c r="Q388" s="50"/>
      <c r="R388" s="49"/>
    </row>
    <row r="389" spans="1:18" ht="15.75" customHeight="1" x14ac:dyDescent="0.3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84"/>
      <c r="M389" s="84"/>
      <c r="N389" s="30"/>
      <c r="O389" s="39"/>
      <c r="P389" s="30"/>
      <c r="Q389" s="50"/>
      <c r="R389" s="49"/>
    </row>
    <row r="390" spans="1:18" ht="15.75" customHeight="1" x14ac:dyDescent="0.3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84"/>
      <c r="M390" s="84"/>
      <c r="N390" s="30"/>
      <c r="O390" s="39"/>
      <c r="P390" s="30"/>
      <c r="Q390" s="50"/>
      <c r="R390" s="49"/>
    </row>
    <row r="391" spans="1:18" ht="15.75" customHeight="1" x14ac:dyDescent="0.3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84"/>
      <c r="M391" s="84"/>
      <c r="N391" s="30"/>
      <c r="O391" s="39"/>
      <c r="P391" s="30"/>
      <c r="Q391" s="50"/>
      <c r="R391" s="49"/>
    </row>
    <row r="392" spans="1:18" ht="15.75" customHeight="1" x14ac:dyDescent="0.3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84"/>
      <c r="M392" s="84"/>
      <c r="N392" s="30"/>
      <c r="O392" s="39"/>
      <c r="P392" s="30"/>
      <c r="Q392" s="50"/>
      <c r="R392" s="49"/>
    </row>
    <row r="393" spans="1:18" ht="15.75" customHeight="1" x14ac:dyDescent="0.3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84"/>
      <c r="M393" s="84"/>
      <c r="N393" s="30"/>
      <c r="O393" s="39"/>
      <c r="P393" s="30"/>
      <c r="Q393" s="50"/>
      <c r="R393" s="49"/>
    </row>
    <row r="394" spans="1:18" ht="15.75" customHeight="1" x14ac:dyDescent="0.3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84"/>
      <c r="M394" s="84"/>
      <c r="N394" s="30"/>
      <c r="O394" s="39"/>
      <c r="P394" s="30"/>
      <c r="Q394" s="50"/>
      <c r="R394" s="49"/>
    </row>
    <row r="395" spans="1:18" ht="15.75" customHeight="1" x14ac:dyDescent="0.3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84"/>
      <c r="M395" s="84"/>
      <c r="N395" s="30"/>
      <c r="O395" s="39"/>
      <c r="P395" s="30"/>
      <c r="Q395" s="50"/>
      <c r="R395" s="49"/>
    </row>
    <row r="396" spans="1:18" ht="15.75" customHeight="1" x14ac:dyDescent="0.3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84"/>
      <c r="M396" s="84"/>
      <c r="N396" s="30"/>
      <c r="O396" s="39"/>
      <c r="P396" s="30"/>
      <c r="Q396" s="50"/>
      <c r="R396" s="49"/>
    </row>
    <row r="397" spans="1:18" ht="15.75" customHeight="1" x14ac:dyDescent="0.3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84"/>
      <c r="M397" s="84"/>
      <c r="N397" s="30"/>
      <c r="O397" s="39"/>
      <c r="P397" s="30"/>
      <c r="Q397" s="50"/>
      <c r="R397" s="49"/>
    </row>
    <row r="398" spans="1:18" ht="15.75" customHeight="1" x14ac:dyDescent="0.3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84"/>
      <c r="M398" s="84"/>
      <c r="N398" s="30"/>
      <c r="O398" s="39"/>
      <c r="P398" s="30"/>
      <c r="Q398" s="50"/>
      <c r="R398" s="49"/>
    </row>
    <row r="399" spans="1:18" ht="15.75" customHeight="1" x14ac:dyDescent="0.3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84"/>
      <c r="M399" s="84"/>
      <c r="N399" s="30"/>
      <c r="O399" s="39"/>
      <c r="P399" s="30"/>
      <c r="Q399" s="50"/>
      <c r="R399" s="49"/>
    </row>
    <row r="400" spans="1:18" ht="15.75" customHeight="1" x14ac:dyDescent="0.3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84"/>
      <c r="M400" s="84"/>
      <c r="N400" s="30"/>
      <c r="O400" s="39"/>
      <c r="P400" s="30"/>
      <c r="Q400" s="50"/>
      <c r="R400" s="49"/>
    </row>
    <row r="401" spans="1:18" ht="15.75" customHeight="1" x14ac:dyDescent="0.3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84"/>
      <c r="M401" s="84"/>
      <c r="N401" s="30"/>
      <c r="O401" s="39"/>
      <c r="P401" s="30"/>
      <c r="Q401" s="50"/>
      <c r="R401" s="49"/>
    </row>
    <row r="402" spans="1:18" ht="15.75" customHeight="1" x14ac:dyDescent="0.3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84"/>
      <c r="M402" s="84"/>
      <c r="N402" s="30"/>
      <c r="O402" s="39"/>
      <c r="P402" s="30"/>
      <c r="Q402" s="50"/>
      <c r="R402" s="49"/>
    </row>
    <row r="403" spans="1:18" ht="15.75" customHeight="1" x14ac:dyDescent="0.3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84"/>
      <c r="M403" s="84"/>
      <c r="N403" s="30"/>
      <c r="O403" s="39"/>
      <c r="P403" s="30"/>
      <c r="Q403" s="50"/>
      <c r="R403" s="49"/>
    </row>
    <row r="404" spans="1:18" ht="15.75" customHeight="1" x14ac:dyDescent="0.3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84"/>
      <c r="M404" s="84"/>
      <c r="N404" s="30"/>
      <c r="O404" s="39"/>
      <c r="P404" s="30"/>
      <c r="Q404" s="50"/>
      <c r="R404" s="49"/>
    </row>
    <row r="405" spans="1:18" ht="15.75" customHeight="1" x14ac:dyDescent="0.3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84"/>
      <c r="M405" s="84"/>
      <c r="N405" s="30"/>
      <c r="O405" s="39"/>
      <c r="P405" s="30"/>
      <c r="Q405" s="50"/>
      <c r="R405" s="49"/>
    </row>
    <row r="406" spans="1:18" ht="15.75" customHeight="1" x14ac:dyDescent="0.3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84"/>
      <c r="M406" s="84"/>
      <c r="N406" s="30"/>
      <c r="O406" s="39"/>
      <c r="P406" s="30"/>
      <c r="Q406" s="50"/>
      <c r="R406" s="49"/>
    </row>
    <row r="407" spans="1:18" ht="15.75" customHeight="1" x14ac:dyDescent="0.3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84"/>
      <c r="M407" s="84"/>
      <c r="N407" s="30"/>
      <c r="O407" s="39"/>
      <c r="P407" s="30"/>
      <c r="Q407" s="50"/>
      <c r="R407" s="49"/>
    </row>
    <row r="408" spans="1:18" ht="15.75" customHeight="1" x14ac:dyDescent="0.3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84"/>
      <c r="M408" s="84"/>
      <c r="N408" s="30"/>
      <c r="O408" s="39"/>
      <c r="P408" s="30"/>
      <c r="Q408" s="50"/>
      <c r="R408" s="49"/>
    </row>
    <row r="409" spans="1:18" ht="15.75" customHeight="1" x14ac:dyDescent="0.3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84"/>
      <c r="M409" s="84"/>
      <c r="N409" s="30"/>
      <c r="O409" s="39"/>
      <c r="P409" s="30"/>
      <c r="Q409" s="50"/>
      <c r="R409" s="49"/>
    </row>
    <row r="410" spans="1:18" ht="15.75" customHeight="1" x14ac:dyDescent="0.3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84"/>
      <c r="M410" s="84"/>
      <c r="N410" s="30"/>
      <c r="O410" s="39"/>
      <c r="P410" s="30"/>
      <c r="Q410" s="50"/>
      <c r="R410" s="49"/>
    </row>
    <row r="411" spans="1:18" ht="15.75" customHeight="1" x14ac:dyDescent="0.3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84"/>
      <c r="M411" s="84"/>
      <c r="N411" s="30"/>
      <c r="O411" s="39"/>
      <c r="P411" s="30"/>
      <c r="Q411" s="50"/>
      <c r="R411" s="49"/>
    </row>
    <row r="412" spans="1:18" ht="15.75" customHeight="1" x14ac:dyDescent="0.3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84"/>
      <c r="M412" s="84"/>
      <c r="N412" s="30"/>
      <c r="O412" s="39"/>
      <c r="P412" s="30"/>
      <c r="Q412" s="50"/>
      <c r="R412" s="49"/>
    </row>
    <row r="413" spans="1:18" ht="15.75" customHeight="1" x14ac:dyDescent="0.3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84"/>
      <c r="M413" s="84"/>
      <c r="N413" s="30"/>
      <c r="O413" s="39"/>
      <c r="P413" s="30"/>
      <c r="Q413" s="50"/>
      <c r="R413" s="49"/>
    </row>
    <row r="414" spans="1:18" ht="15.75" customHeight="1" x14ac:dyDescent="0.3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84"/>
      <c r="M414" s="84"/>
      <c r="N414" s="30"/>
      <c r="O414" s="39"/>
      <c r="P414" s="30"/>
      <c r="Q414" s="50"/>
      <c r="R414" s="49"/>
    </row>
    <row r="415" spans="1:18" ht="15.75" customHeight="1" x14ac:dyDescent="0.3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84"/>
      <c r="M415" s="84"/>
      <c r="N415" s="30"/>
      <c r="O415" s="39"/>
      <c r="P415" s="30"/>
      <c r="Q415" s="50"/>
      <c r="R415" s="49"/>
    </row>
    <row r="416" spans="1:18" ht="15.75" customHeight="1" x14ac:dyDescent="0.3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84"/>
      <c r="M416" s="84"/>
      <c r="N416" s="30"/>
      <c r="O416" s="39"/>
      <c r="P416" s="30"/>
      <c r="Q416" s="50"/>
      <c r="R416" s="49"/>
    </row>
    <row r="417" spans="1:18" ht="15.75" customHeight="1" x14ac:dyDescent="0.3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84"/>
      <c r="M417" s="84"/>
      <c r="N417" s="30"/>
      <c r="O417" s="39"/>
      <c r="P417" s="30"/>
      <c r="Q417" s="50"/>
      <c r="R417" s="49"/>
    </row>
    <row r="418" spans="1:18" ht="15.75" customHeight="1" x14ac:dyDescent="0.3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84"/>
      <c r="M418" s="84"/>
      <c r="N418" s="30"/>
      <c r="O418" s="39"/>
      <c r="P418" s="30"/>
      <c r="Q418" s="50"/>
      <c r="R418" s="49"/>
    </row>
    <row r="419" spans="1:18" ht="15.75" customHeight="1" x14ac:dyDescent="0.3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84"/>
      <c r="M419" s="84"/>
      <c r="N419" s="30"/>
      <c r="O419" s="39"/>
      <c r="P419" s="30"/>
      <c r="Q419" s="50"/>
      <c r="R419" s="49"/>
    </row>
    <row r="420" spans="1:18" ht="15.75" customHeight="1" x14ac:dyDescent="0.3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84"/>
      <c r="M420" s="84"/>
      <c r="N420" s="30"/>
      <c r="O420" s="39"/>
      <c r="P420" s="30"/>
      <c r="Q420" s="50"/>
      <c r="R420" s="49"/>
    </row>
    <row r="421" spans="1:18" ht="15.75" customHeight="1" x14ac:dyDescent="0.3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84"/>
      <c r="M421" s="84"/>
      <c r="N421" s="30"/>
      <c r="O421" s="39"/>
      <c r="P421" s="30"/>
      <c r="Q421" s="50"/>
      <c r="R421" s="49"/>
    </row>
    <row r="422" spans="1:18" ht="15.75" customHeight="1" x14ac:dyDescent="0.3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84"/>
      <c r="M422" s="84"/>
      <c r="N422" s="30"/>
      <c r="O422" s="39"/>
      <c r="P422" s="30"/>
      <c r="Q422" s="50"/>
      <c r="R422" s="49"/>
    </row>
    <row r="423" spans="1:18" ht="15.75" customHeight="1" x14ac:dyDescent="0.3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84"/>
      <c r="M423" s="84"/>
      <c r="N423" s="30"/>
      <c r="O423" s="39"/>
      <c r="P423" s="30"/>
      <c r="Q423" s="50"/>
      <c r="R423" s="49"/>
    </row>
    <row r="424" spans="1:18" ht="15.75" customHeight="1" x14ac:dyDescent="0.3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84"/>
      <c r="M424" s="84"/>
      <c r="N424" s="30"/>
      <c r="O424" s="39"/>
      <c r="P424" s="30"/>
      <c r="Q424" s="50"/>
      <c r="R424" s="49"/>
    </row>
    <row r="425" spans="1:18" ht="15.75" customHeight="1" x14ac:dyDescent="0.3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84"/>
      <c r="M425" s="84"/>
      <c r="N425" s="30"/>
      <c r="O425" s="39"/>
      <c r="P425" s="30"/>
      <c r="Q425" s="50"/>
      <c r="R425" s="49"/>
    </row>
    <row r="426" spans="1:18" ht="15.75" customHeight="1" x14ac:dyDescent="0.3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84"/>
      <c r="M426" s="84"/>
      <c r="N426" s="30"/>
      <c r="O426" s="39"/>
      <c r="P426" s="30"/>
      <c r="Q426" s="50"/>
      <c r="R426" s="49"/>
    </row>
    <row r="427" spans="1:18" ht="15.75" customHeight="1" x14ac:dyDescent="0.3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84"/>
      <c r="M427" s="84"/>
      <c r="N427" s="30"/>
      <c r="O427" s="39"/>
      <c r="P427" s="30"/>
      <c r="Q427" s="50"/>
      <c r="R427" s="49"/>
    </row>
    <row r="428" spans="1:18" ht="15.75" customHeight="1" x14ac:dyDescent="0.3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84"/>
      <c r="M428" s="84"/>
      <c r="N428" s="30"/>
      <c r="O428" s="39"/>
      <c r="P428" s="30"/>
      <c r="Q428" s="50"/>
      <c r="R428" s="49"/>
    </row>
    <row r="429" spans="1:18" ht="15.75" customHeight="1" x14ac:dyDescent="0.3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84"/>
      <c r="M429" s="84"/>
      <c r="N429" s="30"/>
      <c r="O429" s="39"/>
      <c r="P429" s="30"/>
      <c r="Q429" s="50"/>
      <c r="R429" s="49"/>
    </row>
    <row r="430" spans="1:18" ht="15.75" customHeight="1" x14ac:dyDescent="0.3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84"/>
      <c r="M430" s="84"/>
      <c r="N430" s="30"/>
      <c r="O430" s="39"/>
      <c r="P430" s="30"/>
      <c r="Q430" s="50"/>
      <c r="R430" s="49"/>
    </row>
    <row r="431" spans="1:18" ht="15.75" customHeight="1" x14ac:dyDescent="0.3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84"/>
      <c r="M431" s="84"/>
      <c r="N431" s="30"/>
      <c r="O431" s="39"/>
      <c r="P431" s="30"/>
      <c r="Q431" s="50"/>
      <c r="R431" s="49"/>
    </row>
    <row r="432" spans="1:18" ht="15.75" customHeight="1" x14ac:dyDescent="0.3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84"/>
      <c r="M432" s="84"/>
      <c r="N432" s="30"/>
      <c r="O432" s="39"/>
      <c r="P432" s="30"/>
      <c r="Q432" s="50"/>
      <c r="R432" s="49"/>
    </row>
    <row r="433" spans="1:18" ht="15.75" customHeight="1" x14ac:dyDescent="0.3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84"/>
      <c r="M433" s="84"/>
      <c r="N433" s="30"/>
      <c r="O433" s="39"/>
      <c r="P433" s="30"/>
      <c r="Q433" s="50"/>
      <c r="R433" s="49"/>
    </row>
    <row r="434" spans="1:18" ht="15.75" customHeight="1" x14ac:dyDescent="0.3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84"/>
      <c r="M434" s="84"/>
      <c r="N434" s="30"/>
      <c r="O434" s="39"/>
      <c r="P434" s="30"/>
      <c r="Q434" s="50"/>
      <c r="R434" s="49"/>
    </row>
    <row r="435" spans="1:18" ht="15.75" customHeight="1" x14ac:dyDescent="0.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84"/>
      <c r="M435" s="84"/>
      <c r="N435" s="30"/>
      <c r="O435" s="39"/>
      <c r="P435" s="30"/>
      <c r="Q435" s="50"/>
      <c r="R435" s="49"/>
    </row>
    <row r="436" spans="1:18" ht="15.75" customHeight="1" x14ac:dyDescent="0.3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84"/>
      <c r="M436" s="84"/>
      <c r="N436" s="30"/>
      <c r="O436" s="39"/>
      <c r="P436" s="30"/>
      <c r="Q436" s="50"/>
      <c r="R436" s="49"/>
    </row>
    <row r="437" spans="1:18" ht="15.75" customHeight="1" x14ac:dyDescent="0.3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84"/>
      <c r="M437" s="84"/>
      <c r="N437" s="30"/>
      <c r="O437" s="39"/>
      <c r="P437" s="30"/>
      <c r="Q437" s="50"/>
      <c r="R437" s="49"/>
    </row>
    <row r="438" spans="1:18" ht="15.75" customHeight="1" x14ac:dyDescent="0.3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84"/>
      <c r="M438" s="84"/>
      <c r="N438" s="30"/>
      <c r="O438" s="39"/>
      <c r="P438" s="30"/>
      <c r="Q438" s="50"/>
      <c r="R438" s="49"/>
    </row>
    <row r="439" spans="1:18" ht="15.75" customHeight="1" x14ac:dyDescent="0.3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84"/>
      <c r="M439" s="84"/>
      <c r="N439" s="30"/>
      <c r="O439" s="39"/>
      <c r="P439" s="30"/>
      <c r="Q439" s="50"/>
      <c r="R439" s="49"/>
    </row>
    <row r="440" spans="1:18" ht="15.75" customHeight="1" x14ac:dyDescent="0.3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84"/>
      <c r="M440" s="84"/>
      <c r="N440" s="30"/>
      <c r="O440" s="39"/>
      <c r="P440" s="30"/>
      <c r="Q440" s="50"/>
      <c r="R440" s="49"/>
    </row>
    <row r="441" spans="1:18" ht="15.75" customHeight="1" x14ac:dyDescent="0.3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84"/>
      <c r="M441" s="84"/>
      <c r="N441" s="30"/>
      <c r="O441" s="39"/>
      <c r="P441" s="30"/>
      <c r="Q441" s="50"/>
      <c r="R441" s="49"/>
    </row>
    <row r="442" spans="1:18" ht="15.75" customHeight="1" x14ac:dyDescent="0.3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84"/>
      <c r="M442" s="84"/>
      <c r="N442" s="30"/>
      <c r="O442" s="39"/>
      <c r="P442" s="30"/>
      <c r="Q442" s="50"/>
      <c r="R442" s="49"/>
    </row>
    <row r="443" spans="1:18" ht="15.75" customHeight="1" x14ac:dyDescent="0.3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84"/>
      <c r="M443" s="84"/>
      <c r="N443" s="30"/>
      <c r="O443" s="39"/>
      <c r="P443" s="30"/>
      <c r="Q443" s="50"/>
      <c r="R443" s="49"/>
    </row>
    <row r="444" spans="1:18" ht="15.75" customHeight="1" x14ac:dyDescent="0.3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84"/>
      <c r="M444" s="84"/>
      <c r="N444" s="30"/>
      <c r="O444" s="39"/>
      <c r="P444" s="30"/>
      <c r="Q444" s="50"/>
      <c r="R444" s="49"/>
    </row>
    <row r="445" spans="1:18" ht="15.75" customHeight="1" x14ac:dyDescent="0.3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84"/>
      <c r="M445" s="84"/>
      <c r="N445" s="30"/>
      <c r="O445" s="39"/>
      <c r="P445" s="30"/>
      <c r="Q445" s="50"/>
      <c r="R445" s="49"/>
    </row>
    <row r="446" spans="1:18" ht="15.75" customHeight="1" x14ac:dyDescent="0.3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84"/>
      <c r="M446" s="84"/>
      <c r="N446" s="30"/>
      <c r="O446" s="39"/>
      <c r="P446" s="30"/>
      <c r="Q446" s="50"/>
      <c r="R446" s="49"/>
    </row>
    <row r="447" spans="1:18" ht="15.75" customHeight="1" x14ac:dyDescent="0.3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84"/>
      <c r="M447" s="84"/>
      <c r="N447" s="30"/>
      <c r="O447" s="39"/>
      <c r="P447" s="30"/>
      <c r="Q447" s="50"/>
      <c r="R447" s="49"/>
    </row>
    <row r="448" spans="1:18" ht="15.75" customHeight="1" x14ac:dyDescent="0.3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84"/>
      <c r="M448" s="84"/>
      <c r="N448" s="30"/>
      <c r="O448" s="39"/>
      <c r="P448" s="30"/>
      <c r="Q448" s="50"/>
      <c r="R448" s="49"/>
    </row>
    <row r="449" spans="1:18" ht="15.75" customHeight="1" x14ac:dyDescent="0.3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84"/>
      <c r="M449" s="84"/>
      <c r="N449" s="30"/>
      <c r="O449" s="39"/>
      <c r="P449" s="30"/>
      <c r="Q449" s="50"/>
      <c r="R449" s="49"/>
    </row>
    <row r="450" spans="1:18" ht="15.75" customHeight="1" x14ac:dyDescent="0.3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84"/>
      <c r="M450" s="84"/>
      <c r="N450" s="30"/>
      <c r="O450" s="39"/>
      <c r="P450" s="30"/>
      <c r="Q450" s="50"/>
      <c r="R450" s="49"/>
    </row>
    <row r="451" spans="1:18" ht="15.75" customHeight="1" x14ac:dyDescent="0.3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84"/>
      <c r="M451" s="84"/>
      <c r="N451" s="30"/>
      <c r="O451" s="39"/>
      <c r="P451" s="30"/>
      <c r="Q451" s="50"/>
      <c r="R451" s="49"/>
    </row>
    <row r="452" spans="1:18" ht="15.75" customHeight="1" x14ac:dyDescent="0.3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84"/>
      <c r="M452" s="84"/>
      <c r="N452" s="30"/>
      <c r="O452" s="39"/>
      <c r="P452" s="30"/>
      <c r="Q452" s="50"/>
      <c r="R452" s="49"/>
    </row>
    <row r="453" spans="1:18" ht="15.75" customHeight="1" x14ac:dyDescent="0.3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84"/>
      <c r="M453" s="84"/>
      <c r="N453" s="30"/>
      <c r="O453" s="39"/>
      <c r="P453" s="30"/>
      <c r="Q453" s="50"/>
      <c r="R453" s="49"/>
    </row>
    <row r="454" spans="1:18" ht="15.75" customHeight="1" x14ac:dyDescent="0.3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84"/>
      <c r="M454" s="84"/>
      <c r="N454" s="30"/>
      <c r="O454" s="39"/>
      <c r="P454" s="30"/>
      <c r="Q454" s="50"/>
      <c r="R454" s="49"/>
    </row>
    <row r="455" spans="1:18" ht="15.75" customHeight="1" x14ac:dyDescent="0.3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84"/>
      <c r="M455" s="84"/>
      <c r="N455" s="30"/>
      <c r="O455" s="39"/>
      <c r="P455" s="30"/>
      <c r="Q455" s="50"/>
      <c r="R455" s="49"/>
    </row>
    <row r="456" spans="1:18" ht="15.75" customHeight="1" x14ac:dyDescent="0.3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84"/>
      <c r="M456" s="84"/>
      <c r="N456" s="30"/>
      <c r="O456" s="39"/>
      <c r="P456" s="30"/>
      <c r="Q456" s="50"/>
      <c r="R456" s="49"/>
    </row>
    <row r="457" spans="1:18" ht="15.75" customHeight="1" x14ac:dyDescent="0.3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84"/>
      <c r="M457" s="84"/>
      <c r="N457" s="30"/>
      <c r="O457" s="39"/>
      <c r="P457" s="30"/>
      <c r="Q457" s="50"/>
      <c r="R457" s="49"/>
    </row>
    <row r="458" spans="1:18" ht="15.75" customHeight="1" x14ac:dyDescent="0.3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84"/>
      <c r="M458" s="84"/>
      <c r="N458" s="30"/>
      <c r="O458" s="39"/>
      <c r="P458" s="30"/>
      <c r="Q458" s="50"/>
      <c r="R458" s="49"/>
    </row>
    <row r="459" spans="1:18" ht="15.75" customHeight="1" x14ac:dyDescent="0.3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84"/>
      <c r="M459" s="84"/>
      <c r="N459" s="30"/>
      <c r="O459" s="39"/>
      <c r="P459" s="30"/>
      <c r="Q459" s="50"/>
      <c r="R459" s="49"/>
    </row>
    <row r="460" spans="1:18" ht="15.75" customHeight="1" x14ac:dyDescent="0.3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84"/>
      <c r="M460" s="84"/>
      <c r="N460" s="30"/>
      <c r="O460" s="39"/>
      <c r="P460" s="30"/>
      <c r="Q460" s="50"/>
      <c r="R460" s="49"/>
    </row>
    <row r="461" spans="1:18" ht="15.75" customHeight="1" x14ac:dyDescent="0.3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84"/>
      <c r="M461" s="84"/>
      <c r="N461" s="30"/>
      <c r="O461" s="39"/>
      <c r="P461" s="30"/>
      <c r="Q461" s="50"/>
      <c r="R461" s="49"/>
    </row>
    <row r="462" spans="1:18" ht="15.75" customHeight="1" x14ac:dyDescent="0.3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84"/>
      <c r="M462" s="84"/>
      <c r="N462" s="30"/>
      <c r="O462" s="39"/>
      <c r="P462" s="30"/>
      <c r="Q462" s="50"/>
      <c r="R462" s="49"/>
    </row>
    <row r="463" spans="1:18" ht="15.75" customHeight="1" x14ac:dyDescent="0.3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84"/>
      <c r="M463" s="84"/>
      <c r="N463" s="30"/>
      <c r="O463" s="39"/>
      <c r="P463" s="30"/>
      <c r="Q463" s="50"/>
      <c r="R463" s="49"/>
    </row>
    <row r="464" spans="1:18" ht="15.75" customHeight="1" x14ac:dyDescent="0.3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84"/>
      <c r="M464" s="84"/>
      <c r="N464" s="30"/>
      <c r="O464" s="39"/>
      <c r="P464" s="30"/>
      <c r="Q464" s="50"/>
      <c r="R464" s="49"/>
    </row>
    <row r="465" spans="1:18" ht="15.75" customHeight="1" x14ac:dyDescent="0.3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84"/>
      <c r="M465" s="84"/>
      <c r="N465" s="30"/>
      <c r="O465" s="39"/>
      <c r="P465" s="30"/>
      <c r="Q465" s="50"/>
      <c r="R465" s="49"/>
    </row>
    <row r="466" spans="1:18" ht="15.75" customHeight="1" x14ac:dyDescent="0.3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84"/>
      <c r="M466" s="84"/>
      <c r="N466" s="30"/>
      <c r="O466" s="39"/>
      <c r="P466" s="30"/>
      <c r="Q466" s="50"/>
      <c r="R466" s="49"/>
    </row>
    <row r="467" spans="1:18" ht="15.75" customHeight="1" x14ac:dyDescent="0.3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84"/>
      <c r="M467" s="84"/>
      <c r="N467" s="30"/>
      <c r="O467" s="39"/>
      <c r="P467" s="30"/>
      <c r="Q467" s="50"/>
      <c r="R467" s="49"/>
    </row>
    <row r="468" spans="1:18" ht="15.75" customHeight="1" x14ac:dyDescent="0.3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84"/>
      <c r="M468" s="84"/>
      <c r="N468" s="30"/>
      <c r="O468" s="39"/>
      <c r="P468" s="30"/>
      <c r="Q468" s="50"/>
      <c r="R468" s="49"/>
    </row>
    <row r="469" spans="1:18" ht="15.75" customHeight="1" x14ac:dyDescent="0.3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84"/>
      <c r="M469" s="84"/>
      <c r="N469" s="30"/>
      <c r="O469" s="39"/>
      <c r="P469" s="30"/>
      <c r="Q469" s="50"/>
      <c r="R469" s="49"/>
    </row>
    <row r="470" spans="1:18" ht="15.75" customHeight="1" x14ac:dyDescent="0.3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84"/>
      <c r="M470" s="84"/>
      <c r="N470" s="30"/>
      <c r="O470" s="39"/>
      <c r="P470" s="30"/>
      <c r="Q470" s="50"/>
      <c r="R470" s="49"/>
    </row>
    <row r="471" spans="1:18" ht="15.75" customHeight="1" x14ac:dyDescent="0.3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84"/>
      <c r="M471" s="84"/>
      <c r="N471" s="30"/>
      <c r="O471" s="39"/>
      <c r="P471" s="30"/>
      <c r="Q471" s="50"/>
      <c r="R471" s="49"/>
    </row>
    <row r="472" spans="1:18" ht="15.75" customHeight="1" x14ac:dyDescent="0.3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84"/>
      <c r="M472" s="84"/>
      <c r="N472" s="30"/>
      <c r="O472" s="39"/>
      <c r="P472" s="30"/>
      <c r="Q472" s="50"/>
      <c r="R472" s="49"/>
    </row>
    <row r="473" spans="1:18" ht="15.75" customHeight="1" x14ac:dyDescent="0.3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84"/>
      <c r="M473" s="84"/>
      <c r="N473" s="30"/>
      <c r="O473" s="39"/>
      <c r="P473" s="30"/>
      <c r="Q473" s="50"/>
      <c r="R473" s="49"/>
    </row>
    <row r="474" spans="1:18" ht="15.75" customHeight="1" x14ac:dyDescent="0.3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84"/>
      <c r="M474" s="84"/>
      <c r="N474" s="30"/>
      <c r="O474" s="39"/>
      <c r="P474" s="30"/>
      <c r="Q474" s="50"/>
      <c r="R474" s="49"/>
    </row>
    <row r="475" spans="1:18" ht="15.75" customHeight="1" x14ac:dyDescent="0.3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84"/>
      <c r="M475" s="84"/>
      <c r="N475" s="30"/>
      <c r="O475" s="39"/>
      <c r="P475" s="30"/>
      <c r="Q475" s="50"/>
      <c r="R475" s="49"/>
    </row>
    <row r="476" spans="1:18" ht="15.75" customHeight="1" x14ac:dyDescent="0.3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84"/>
      <c r="M476" s="84"/>
      <c r="N476" s="30"/>
      <c r="O476" s="39"/>
      <c r="P476" s="30"/>
      <c r="Q476" s="50"/>
      <c r="R476" s="49"/>
    </row>
    <row r="477" spans="1:18" ht="15.75" customHeight="1" x14ac:dyDescent="0.3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84"/>
      <c r="M477" s="84"/>
      <c r="N477" s="30"/>
      <c r="O477" s="39"/>
      <c r="P477" s="30"/>
      <c r="Q477" s="50"/>
      <c r="R477" s="49"/>
    </row>
    <row r="478" spans="1:18" ht="15.75" customHeight="1" x14ac:dyDescent="0.3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84"/>
      <c r="M478" s="84"/>
      <c r="N478" s="30"/>
      <c r="O478" s="39"/>
      <c r="P478" s="30"/>
      <c r="Q478" s="50"/>
      <c r="R478" s="49"/>
    </row>
    <row r="479" spans="1:18" ht="15.75" customHeight="1" x14ac:dyDescent="0.3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84"/>
      <c r="M479" s="84"/>
      <c r="N479" s="30"/>
      <c r="O479" s="39"/>
      <c r="P479" s="30"/>
      <c r="Q479" s="50"/>
      <c r="R479" s="49"/>
    </row>
    <row r="480" spans="1:18" ht="15.75" customHeight="1" x14ac:dyDescent="0.3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84"/>
      <c r="M480" s="84"/>
      <c r="N480" s="30"/>
      <c r="O480" s="39"/>
      <c r="P480" s="30"/>
      <c r="Q480" s="50"/>
      <c r="R480" s="49"/>
    </row>
    <row r="481" spans="1:18" ht="15.75" customHeight="1" x14ac:dyDescent="0.3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84"/>
      <c r="M481" s="84"/>
      <c r="N481" s="30"/>
      <c r="O481" s="39"/>
      <c r="P481" s="30"/>
      <c r="Q481" s="50"/>
      <c r="R481" s="49"/>
    </row>
    <row r="482" spans="1:18" ht="15.75" customHeight="1" x14ac:dyDescent="0.3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84"/>
      <c r="M482" s="84"/>
      <c r="N482" s="30"/>
      <c r="O482" s="39"/>
      <c r="P482" s="30"/>
      <c r="Q482" s="50"/>
      <c r="R482" s="49"/>
    </row>
    <row r="483" spans="1:18" ht="15.75" customHeight="1" x14ac:dyDescent="0.3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84"/>
      <c r="M483" s="84"/>
      <c r="N483" s="30"/>
      <c r="O483" s="39"/>
      <c r="P483" s="30"/>
      <c r="Q483" s="50"/>
      <c r="R483" s="49"/>
    </row>
    <row r="484" spans="1:18" ht="15.75" customHeight="1" x14ac:dyDescent="0.3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84"/>
      <c r="M484" s="84"/>
      <c r="N484" s="30"/>
      <c r="O484" s="39"/>
      <c r="P484" s="30"/>
      <c r="Q484" s="50"/>
      <c r="R484" s="49"/>
    </row>
    <row r="485" spans="1:18" ht="15.75" customHeight="1" x14ac:dyDescent="0.3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84"/>
      <c r="M485" s="84"/>
      <c r="N485" s="30"/>
      <c r="O485" s="39"/>
      <c r="P485" s="30"/>
      <c r="Q485" s="50"/>
      <c r="R485" s="49"/>
    </row>
    <row r="486" spans="1:18" ht="15.75" customHeight="1" x14ac:dyDescent="0.3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84"/>
      <c r="M486" s="84"/>
      <c r="N486" s="30"/>
      <c r="O486" s="39"/>
      <c r="P486" s="30"/>
      <c r="Q486" s="50"/>
      <c r="R486" s="49"/>
    </row>
    <row r="487" spans="1:18" ht="15.75" customHeight="1" x14ac:dyDescent="0.3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84"/>
      <c r="M487" s="84"/>
      <c r="N487" s="30"/>
      <c r="O487" s="39"/>
      <c r="P487" s="30"/>
      <c r="Q487" s="50"/>
      <c r="R487" s="49"/>
    </row>
    <row r="488" spans="1:18" ht="15.75" customHeight="1" x14ac:dyDescent="0.3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84"/>
      <c r="M488" s="84"/>
      <c r="N488" s="30"/>
      <c r="O488" s="39"/>
      <c r="P488" s="30"/>
      <c r="Q488" s="50"/>
      <c r="R488" s="49"/>
    </row>
    <row r="489" spans="1:18" ht="15.75" customHeight="1" x14ac:dyDescent="0.3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84"/>
      <c r="M489" s="84"/>
      <c r="N489" s="30"/>
      <c r="O489" s="39"/>
      <c r="P489" s="30"/>
      <c r="Q489" s="50"/>
      <c r="R489" s="49"/>
    </row>
    <row r="490" spans="1:18" ht="15.75" customHeight="1" x14ac:dyDescent="0.3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84"/>
      <c r="M490" s="84"/>
      <c r="N490" s="30"/>
      <c r="O490" s="39"/>
      <c r="P490" s="30"/>
      <c r="Q490" s="50"/>
      <c r="R490" s="49"/>
    </row>
    <row r="491" spans="1:18" ht="15.75" customHeight="1" x14ac:dyDescent="0.3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84"/>
      <c r="M491" s="84"/>
      <c r="N491" s="30"/>
      <c r="O491" s="39"/>
      <c r="P491" s="30"/>
      <c r="Q491" s="50"/>
      <c r="R491" s="49"/>
    </row>
    <row r="492" spans="1:18" ht="15.75" customHeight="1" x14ac:dyDescent="0.3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84"/>
      <c r="M492" s="84"/>
      <c r="N492" s="30"/>
      <c r="O492" s="39"/>
      <c r="P492" s="30"/>
      <c r="Q492" s="50"/>
      <c r="R492" s="49"/>
    </row>
    <row r="493" spans="1:18" ht="15.75" customHeight="1" x14ac:dyDescent="0.3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84"/>
      <c r="M493" s="84"/>
      <c r="N493" s="30"/>
      <c r="O493" s="39"/>
      <c r="P493" s="30"/>
      <c r="Q493" s="50"/>
      <c r="R493" s="49"/>
    </row>
    <row r="494" spans="1:18" ht="15.75" customHeight="1" x14ac:dyDescent="0.3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84"/>
      <c r="M494" s="84"/>
      <c r="N494" s="30"/>
      <c r="O494" s="39"/>
      <c r="P494" s="30"/>
      <c r="Q494" s="50"/>
      <c r="R494" s="49"/>
    </row>
    <row r="495" spans="1:18" ht="15.75" customHeight="1" x14ac:dyDescent="0.3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84"/>
      <c r="M495" s="84"/>
      <c r="N495" s="30"/>
      <c r="O495" s="39"/>
      <c r="P495" s="30"/>
      <c r="Q495" s="50"/>
      <c r="R495" s="49"/>
    </row>
    <row r="496" spans="1:18" ht="15.75" customHeight="1" x14ac:dyDescent="0.3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84"/>
      <c r="M496" s="84"/>
      <c r="N496" s="30"/>
      <c r="O496" s="39"/>
      <c r="P496" s="30"/>
      <c r="Q496" s="50"/>
      <c r="R496" s="49"/>
    </row>
    <row r="497" spans="1:18" ht="15.75" customHeight="1" x14ac:dyDescent="0.3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84"/>
      <c r="M497" s="84"/>
      <c r="N497" s="30"/>
      <c r="O497" s="39"/>
      <c r="P497" s="30"/>
      <c r="Q497" s="50"/>
      <c r="R497" s="49"/>
    </row>
    <row r="498" spans="1:18" ht="15.75" customHeight="1" x14ac:dyDescent="0.3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84"/>
      <c r="M498" s="84"/>
      <c r="N498" s="30"/>
      <c r="O498" s="39"/>
      <c r="P498" s="30"/>
      <c r="Q498" s="50"/>
      <c r="R498" s="49"/>
    </row>
    <row r="499" spans="1:18" ht="15.75" customHeight="1" x14ac:dyDescent="0.3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84"/>
      <c r="M499" s="84"/>
      <c r="N499" s="30"/>
      <c r="O499" s="39"/>
      <c r="P499" s="30"/>
      <c r="Q499" s="50"/>
      <c r="R499" s="49"/>
    </row>
    <row r="500" spans="1:18" ht="15.75" customHeight="1" x14ac:dyDescent="0.3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84"/>
      <c r="M500" s="84"/>
      <c r="N500" s="30"/>
      <c r="O500" s="39"/>
      <c r="P500" s="30"/>
      <c r="Q500" s="50"/>
      <c r="R500" s="49"/>
    </row>
    <row r="501" spans="1:18" ht="15.75" customHeight="1" x14ac:dyDescent="0.3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84"/>
      <c r="M501" s="84"/>
      <c r="N501" s="30"/>
      <c r="O501" s="39"/>
      <c r="P501" s="30"/>
      <c r="Q501" s="50"/>
      <c r="R501" s="49"/>
    </row>
    <row r="502" spans="1:18" ht="15.75" customHeight="1" x14ac:dyDescent="0.3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84"/>
      <c r="M502" s="84"/>
      <c r="N502" s="30"/>
      <c r="O502" s="39"/>
      <c r="P502" s="30"/>
      <c r="Q502" s="50"/>
      <c r="R502" s="49"/>
    </row>
    <row r="503" spans="1:18" ht="15.75" customHeight="1" x14ac:dyDescent="0.3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84"/>
      <c r="M503" s="84"/>
      <c r="N503" s="30"/>
      <c r="O503" s="39"/>
      <c r="P503" s="30"/>
      <c r="Q503" s="50"/>
      <c r="R503" s="49"/>
    </row>
    <row r="504" spans="1:18" ht="15.75" customHeight="1" x14ac:dyDescent="0.3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84"/>
      <c r="M504" s="84"/>
      <c r="N504" s="30"/>
      <c r="O504" s="39"/>
      <c r="P504" s="30"/>
      <c r="Q504" s="50"/>
      <c r="R504" s="49"/>
    </row>
    <row r="505" spans="1:18" ht="15.75" customHeight="1" x14ac:dyDescent="0.3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84"/>
      <c r="M505" s="84"/>
      <c r="N505" s="30"/>
      <c r="O505" s="39"/>
      <c r="P505" s="30"/>
      <c r="Q505" s="50"/>
      <c r="R505" s="49"/>
    </row>
    <row r="506" spans="1:18" ht="15.75" customHeight="1" x14ac:dyDescent="0.3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84"/>
      <c r="M506" s="84"/>
      <c r="N506" s="30"/>
      <c r="O506" s="39"/>
      <c r="P506" s="30"/>
      <c r="Q506" s="50"/>
      <c r="R506" s="49"/>
    </row>
    <row r="507" spans="1:18" ht="15.75" customHeight="1" x14ac:dyDescent="0.3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84"/>
      <c r="M507" s="84"/>
      <c r="N507" s="30"/>
      <c r="O507" s="39"/>
      <c r="P507" s="30"/>
      <c r="Q507" s="50"/>
      <c r="R507" s="49"/>
    </row>
    <row r="508" spans="1:18" ht="15.75" customHeight="1" x14ac:dyDescent="0.3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84"/>
      <c r="M508" s="84"/>
      <c r="N508" s="30"/>
      <c r="O508" s="39"/>
      <c r="P508" s="30"/>
      <c r="Q508" s="50"/>
      <c r="R508" s="49"/>
    </row>
    <row r="509" spans="1:18" ht="15.75" customHeight="1" x14ac:dyDescent="0.3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84"/>
      <c r="M509" s="84"/>
      <c r="N509" s="30"/>
      <c r="O509" s="39"/>
      <c r="P509" s="30"/>
      <c r="Q509" s="50"/>
      <c r="R509" s="49"/>
    </row>
    <row r="510" spans="1:18" ht="15.75" customHeight="1" x14ac:dyDescent="0.3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84"/>
      <c r="M510" s="84"/>
      <c r="N510" s="30"/>
      <c r="O510" s="39"/>
      <c r="P510" s="30"/>
      <c r="Q510" s="50"/>
      <c r="R510" s="49"/>
    </row>
    <row r="511" spans="1:18" ht="15.75" customHeight="1" x14ac:dyDescent="0.3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84"/>
      <c r="M511" s="84"/>
      <c r="N511" s="30"/>
      <c r="O511" s="39"/>
      <c r="P511" s="30"/>
      <c r="Q511" s="50"/>
      <c r="R511" s="49"/>
    </row>
    <row r="512" spans="1:18" ht="15.75" customHeight="1" x14ac:dyDescent="0.3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84"/>
      <c r="M512" s="84"/>
      <c r="N512" s="30"/>
      <c r="O512" s="39"/>
      <c r="P512" s="30"/>
      <c r="Q512" s="50"/>
      <c r="R512" s="49"/>
    </row>
    <row r="513" spans="1:18" ht="15.75" customHeight="1" x14ac:dyDescent="0.3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84"/>
      <c r="M513" s="84"/>
      <c r="N513" s="30"/>
      <c r="O513" s="39"/>
      <c r="P513" s="30"/>
      <c r="Q513" s="50"/>
      <c r="R513" s="49"/>
    </row>
    <row r="514" spans="1:18" ht="15.75" customHeight="1" x14ac:dyDescent="0.3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84"/>
      <c r="M514" s="84"/>
      <c r="N514" s="30"/>
      <c r="O514" s="39"/>
      <c r="P514" s="30"/>
      <c r="Q514" s="50"/>
      <c r="R514" s="49"/>
    </row>
    <row r="515" spans="1:18" ht="15.75" customHeight="1" x14ac:dyDescent="0.3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84"/>
      <c r="M515" s="84"/>
      <c r="N515" s="30"/>
      <c r="O515" s="39"/>
      <c r="P515" s="30"/>
      <c r="Q515" s="50"/>
      <c r="R515" s="49"/>
    </row>
    <row r="516" spans="1:18" ht="15.75" customHeight="1" x14ac:dyDescent="0.3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84"/>
      <c r="M516" s="84"/>
      <c r="N516" s="30"/>
      <c r="O516" s="39"/>
      <c r="P516" s="30"/>
      <c r="Q516" s="50"/>
      <c r="R516" s="49"/>
    </row>
    <row r="517" spans="1:18" ht="15.75" customHeight="1" x14ac:dyDescent="0.3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84"/>
      <c r="M517" s="84"/>
      <c r="N517" s="30"/>
      <c r="O517" s="39"/>
      <c r="P517" s="30"/>
      <c r="Q517" s="50"/>
      <c r="R517" s="49"/>
    </row>
    <row r="518" spans="1:18" ht="15.75" customHeight="1" x14ac:dyDescent="0.3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84"/>
      <c r="M518" s="84"/>
      <c r="N518" s="30"/>
      <c r="O518" s="39"/>
      <c r="P518" s="30"/>
      <c r="Q518" s="50"/>
      <c r="R518" s="49"/>
    </row>
    <row r="519" spans="1:18" ht="15.75" customHeight="1" x14ac:dyDescent="0.3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84"/>
      <c r="M519" s="84"/>
      <c r="N519" s="30"/>
      <c r="O519" s="39"/>
      <c r="P519" s="30"/>
      <c r="Q519" s="50"/>
      <c r="R519" s="49"/>
    </row>
    <row r="520" spans="1:18" ht="15.75" customHeight="1" x14ac:dyDescent="0.3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84"/>
      <c r="M520" s="84"/>
      <c r="N520" s="30"/>
      <c r="O520" s="39"/>
      <c r="P520" s="30"/>
      <c r="Q520" s="50"/>
      <c r="R520" s="49"/>
    </row>
    <row r="521" spans="1:18" ht="15.75" customHeight="1" x14ac:dyDescent="0.3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84"/>
      <c r="M521" s="84"/>
      <c r="N521" s="30"/>
      <c r="O521" s="39"/>
      <c r="P521" s="30"/>
      <c r="Q521" s="50"/>
      <c r="R521" s="49"/>
    </row>
    <row r="522" spans="1:18" ht="15.75" customHeight="1" x14ac:dyDescent="0.3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84"/>
      <c r="M522" s="84"/>
      <c r="N522" s="30"/>
      <c r="O522" s="39"/>
      <c r="P522" s="30"/>
      <c r="Q522" s="50"/>
      <c r="R522" s="49"/>
    </row>
    <row r="523" spans="1:18" ht="15.75" customHeight="1" x14ac:dyDescent="0.3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84"/>
      <c r="M523" s="84"/>
      <c r="N523" s="30"/>
      <c r="O523" s="39"/>
      <c r="P523" s="30"/>
      <c r="Q523" s="50"/>
      <c r="R523" s="49"/>
    </row>
    <row r="524" spans="1:18" ht="15.75" customHeight="1" x14ac:dyDescent="0.3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84"/>
      <c r="M524" s="84"/>
      <c r="N524" s="30"/>
      <c r="O524" s="39"/>
      <c r="P524" s="30"/>
      <c r="Q524" s="50"/>
      <c r="R524" s="49"/>
    </row>
    <row r="525" spans="1:18" ht="15.75" customHeight="1" x14ac:dyDescent="0.3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84"/>
      <c r="M525" s="84"/>
      <c r="N525" s="30"/>
      <c r="O525" s="39"/>
      <c r="P525" s="30"/>
      <c r="Q525" s="50"/>
      <c r="R525" s="49"/>
    </row>
    <row r="526" spans="1:18" ht="15.75" customHeight="1" x14ac:dyDescent="0.3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84"/>
      <c r="M526" s="84"/>
      <c r="N526" s="30"/>
      <c r="O526" s="39"/>
      <c r="P526" s="30"/>
      <c r="Q526" s="50"/>
      <c r="R526" s="49"/>
    </row>
    <row r="527" spans="1:18" ht="15.75" customHeight="1" x14ac:dyDescent="0.3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84"/>
      <c r="M527" s="84"/>
      <c r="N527" s="30"/>
      <c r="O527" s="39"/>
      <c r="P527" s="30"/>
      <c r="Q527" s="50"/>
      <c r="R527" s="49"/>
    </row>
    <row r="528" spans="1:18" ht="15.75" customHeight="1" x14ac:dyDescent="0.3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84"/>
      <c r="M528" s="84"/>
      <c r="N528" s="30"/>
      <c r="O528" s="39"/>
      <c r="P528" s="30"/>
      <c r="Q528" s="50"/>
      <c r="R528" s="49"/>
    </row>
    <row r="529" spans="1:18" ht="15.75" customHeight="1" x14ac:dyDescent="0.3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84"/>
      <c r="M529" s="84"/>
      <c r="N529" s="30"/>
      <c r="O529" s="39"/>
      <c r="P529" s="30"/>
      <c r="Q529" s="50"/>
      <c r="R529" s="49"/>
    </row>
    <row r="530" spans="1:18" ht="15.75" customHeight="1" x14ac:dyDescent="0.3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84"/>
      <c r="M530" s="84"/>
      <c r="N530" s="30"/>
      <c r="O530" s="39"/>
      <c r="P530" s="30"/>
      <c r="Q530" s="50"/>
      <c r="R530" s="49"/>
    </row>
    <row r="531" spans="1:18" ht="15.75" customHeight="1" x14ac:dyDescent="0.3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84"/>
      <c r="M531" s="84"/>
      <c r="N531" s="30"/>
      <c r="O531" s="39"/>
      <c r="P531" s="30"/>
      <c r="Q531" s="50"/>
      <c r="R531" s="49"/>
    </row>
    <row r="532" spans="1:18" ht="15.75" customHeight="1" x14ac:dyDescent="0.3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84"/>
      <c r="M532" s="84"/>
      <c r="N532" s="30"/>
      <c r="O532" s="39"/>
      <c r="P532" s="30"/>
      <c r="Q532" s="50"/>
      <c r="R532" s="49"/>
    </row>
    <row r="533" spans="1:18" ht="15.75" customHeight="1" x14ac:dyDescent="0.3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84"/>
      <c r="M533" s="84"/>
      <c r="N533" s="30"/>
      <c r="O533" s="39"/>
      <c r="P533" s="30"/>
      <c r="Q533" s="50"/>
      <c r="R533" s="49"/>
    </row>
    <row r="534" spans="1:18" ht="15.75" customHeight="1" x14ac:dyDescent="0.3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84"/>
      <c r="M534" s="84"/>
      <c r="N534" s="30"/>
      <c r="O534" s="39"/>
      <c r="P534" s="30"/>
      <c r="Q534" s="50"/>
      <c r="R534" s="49"/>
    </row>
    <row r="535" spans="1:18" ht="15.75" customHeight="1" x14ac:dyDescent="0.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84"/>
      <c r="M535" s="84"/>
      <c r="N535" s="30"/>
      <c r="O535" s="39"/>
      <c r="P535" s="30"/>
      <c r="Q535" s="50"/>
      <c r="R535" s="49"/>
    </row>
    <row r="536" spans="1:18" ht="15.75" customHeight="1" x14ac:dyDescent="0.3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84"/>
      <c r="M536" s="84"/>
      <c r="N536" s="30"/>
      <c r="O536" s="39"/>
      <c r="P536" s="30"/>
      <c r="Q536" s="50"/>
      <c r="R536" s="49"/>
    </row>
    <row r="537" spans="1:18" ht="15.75" customHeight="1" x14ac:dyDescent="0.3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84"/>
      <c r="M537" s="84"/>
      <c r="N537" s="30"/>
      <c r="O537" s="39"/>
      <c r="P537" s="30"/>
      <c r="Q537" s="50"/>
      <c r="R537" s="49"/>
    </row>
    <row r="538" spans="1:18" ht="15.75" customHeight="1" x14ac:dyDescent="0.3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84"/>
      <c r="M538" s="84"/>
      <c r="N538" s="30"/>
      <c r="O538" s="39"/>
      <c r="P538" s="30"/>
      <c r="Q538" s="50"/>
      <c r="R538" s="49"/>
    </row>
    <row r="539" spans="1:18" ht="15.75" customHeight="1" x14ac:dyDescent="0.3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84"/>
      <c r="M539" s="84"/>
      <c r="N539" s="30"/>
      <c r="O539" s="39"/>
      <c r="P539" s="30"/>
      <c r="Q539" s="50"/>
      <c r="R539" s="49"/>
    </row>
    <row r="540" spans="1:18" ht="15.75" customHeight="1" x14ac:dyDescent="0.3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84"/>
      <c r="M540" s="84"/>
      <c r="N540" s="30"/>
      <c r="O540" s="39"/>
      <c r="P540" s="30"/>
      <c r="Q540" s="50"/>
      <c r="R540" s="49"/>
    </row>
    <row r="541" spans="1:18" ht="15.75" customHeight="1" x14ac:dyDescent="0.3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84"/>
      <c r="M541" s="84"/>
      <c r="N541" s="30"/>
      <c r="O541" s="39"/>
      <c r="P541" s="30"/>
      <c r="Q541" s="50"/>
      <c r="R541" s="49"/>
    </row>
    <row r="542" spans="1:18" ht="15.75" customHeight="1" x14ac:dyDescent="0.3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84"/>
      <c r="M542" s="84"/>
      <c r="N542" s="30"/>
      <c r="O542" s="39"/>
      <c r="P542" s="30"/>
      <c r="Q542" s="50"/>
      <c r="R542" s="49"/>
    </row>
    <row r="543" spans="1:18" ht="15.75" customHeight="1" x14ac:dyDescent="0.3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84"/>
      <c r="M543" s="84"/>
      <c r="N543" s="30"/>
      <c r="O543" s="39"/>
      <c r="P543" s="30"/>
      <c r="Q543" s="50"/>
      <c r="R543" s="49"/>
    </row>
    <row r="544" spans="1:18" ht="15.75" customHeight="1" x14ac:dyDescent="0.3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84"/>
      <c r="M544" s="84"/>
      <c r="N544" s="30"/>
      <c r="O544" s="39"/>
      <c r="P544" s="30"/>
      <c r="Q544" s="50"/>
      <c r="R544" s="49"/>
    </row>
    <row r="545" spans="1:18" ht="15.75" customHeight="1" x14ac:dyDescent="0.3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84"/>
      <c r="M545" s="84"/>
      <c r="N545" s="30"/>
      <c r="O545" s="39"/>
      <c r="P545" s="30"/>
      <c r="Q545" s="50"/>
      <c r="R545" s="49"/>
    </row>
    <row r="546" spans="1:18" ht="15.75" customHeight="1" x14ac:dyDescent="0.3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84"/>
      <c r="M546" s="84"/>
      <c r="N546" s="30"/>
      <c r="O546" s="39"/>
      <c r="P546" s="30"/>
      <c r="Q546" s="50"/>
      <c r="R546" s="49"/>
    </row>
    <row r="547" spans="1:18" ht="15.75" customHeight="1" x14ac:dyDescent="0.3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84"/>
      <c r="M547" s="84"/>
      <c r="N547" s="30"/>
      <c r="O547" s="39"/>
      <c r="P547" s="30"/>
      <c r="Q547" s="50"/>
      <c r="R547" s="49"/>
    </row>
    <row r="548" spans="1:18" ht="15.75" customHeight="1" x14ac:dyDescent="0.3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84"/>
      <c r="M548" s="84"/>
      <c r="N548" s="30"/>
      <c r="O548" s="39"/>
      <c r="P548" s="30"/>
      <c r="Q548" s="50"/>
      <c r="R548" s="49"/>
    </row>
    <row r="549" spans="1:18" ht="15.75" customHeight="1" x14ac:dyDescent="0.3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84"/>
      <c r="M549" s="84"/>
      <c r="N549" s="30"/>
      <c r="O549" s="39"/>
      <c r="P549" s="30"/>
      <c r="Q549" s="50"/>
      <c r="R549" s="49"/>
    </row>
    <row r="550" spans="1:18" ht="15.75" customHeight="1" x14ac:dyDescent="0.3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84"/>
      <c r="M550" s="84"/>
      <c r="N550" s="30"/>
      <c r="O550" s="39"/>
      <c r="P550" s="30"/>
      <c r="Q550" s="50"/>
      <c r="R550" s="49"/>
    </row>
    <row r="551" spans="1:18" ht="15.75" customHeight="1" x14ac:dyDescent="0.3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84"/>
      <c r="M551" s="84"/>
      <c r="N551" s="30"/>
      <c r="O551" s="39"/>
      <c r="P551" s="30"/>
      <c r="Q551" s="50"/>
      <c r="R551" s="49"/>
    </row>
    <row r="552" spans="1:18" ht="15.75" customHeight="1" x14ac:dyDescent="0.3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84"/>
      <c r="M552" s="84"/>
      <c r="N552" s="30"/>
      <c r="O552" s="39"/>
      <c r="P552" s="30"/>
      <c r="Q552" s="50"/>
      <c r="R552" s="49"/>
    </row>
    <row r="553" spans="1:18" ht="15.75" customHeight="1" x14ac:dyDescent="0.3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84"/>
      <c r="M553" s="84"/>
      <c r="N553" s="30"/>
      <c r="O553" s="39"/>
      <c r="P553" s="30"/>
      <c r="Q553" s="50"/>
      <c r="R553" s="49"/>
    </row>
    <row r="554" spans="1:18" ht="15.75" customHeight="1" x14ac:dyDescent="0.3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84"/>
      <c r="M554" s="84"/>
      <c r="N554" s="30"/>
      <c r="O554" s="39"/>
      <c r="P554" s="30"/>
      <c r="Q554" s="50"/>
      <c r="R554" s="49"/>
    </row>
    <row r="555" spans="1:18" ht="15.75" customHeight="1" x14ac:dyDescent="0.3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84"/>
      <c r="M555" s="84"/>
      <c r="N555" s="30"/>
      <c r="O555" s="39"/>
      <c r="P555" s="30"/>
      <c r="Q555" s="50"/>
      <c r="R555" s="49"/>
    </row>
    <row r="556" spans="1:18" ht="15.75" customHeight="1" x14ac:dyDescent="0.3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84"/>
      <c r="M556" s="84"/>
      <c r="N556" s="30"/>
      <c r="O556" s="39"/>
      <c r="P556" s="30"/>
      <c r="Q556" s="50"/>
      <c r="R556" s="49"/>
    </row>
    <row r="557" spans="1:18" ht="15.75" customHeight="1" x14ac:dyDescent="0.3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84"/>
      <c r="M557" s="84"/>
      <c r="N557" s="30"/>
      <c r="O557" s="39"/>
      <c r="P557" s="30"/>
      <c r="Q557" s="50"/>
      <c r="R557" s="49"/>
    </row>
    <row r="558" spans="1:18" ht="15.75" customHeight="1" x14ac:dyDescent="0.3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84"/>
      <c r="M558" s="84"/>
      <c r="N558" s="30"/>
      <c r="O558" s="39"/>
      <c r="P558" s="30"/>
      <c r="Q558" s="50"/>
      <c r="R558" s="49"/>
    </row>
    <row r="559" spans="1:18" ht="15.75" customHeight="1" x14ac:dyDescent="0.3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84"/>
      <c r="M559" s="84"/>
      <c r="N559" s="30"/>
      <c r="O559" s="39"/>
      <c r="P559" s="30"/>
      <c r="Q559" s="50"/>
      <c r="R559" s="49"/>
    </row>
    <row r="560" spans="1:18" ht="15.75" customHeight="1" x14ac:dyDescent="0.3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84"/>
      <c r="M560" s="84"/>
      <c r="N560" s="30"/>
      <c r="O560" s="39"/>
      <c r="P560" s="30"/>
      <c r="Q560" s="50"/>
      <c r="R560" s="49"/>
    </row>
    <row r="561" spans="1:18" ht="15.75" customHeight="1" x14ac:dyDescent="0.3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84"/>
      <c r="M561" s="84"/>
      <c r="N561" s="30"/>
      <c r="O561" s="39"/>
      <c r="P561" s="30"/>
      <c r="Q561" s="50"/>
      <c r="R561" s="49"/>
    </row>
    <row r="562" spans="1:18" ht="15.75" customHeight="1" x14ac:dyDescent="0.3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84"/>
      <c r="M562" s="84"/>
      <c r="N562" s="30"/>
      <c r="O562" s="39"/>
      <c r="P562" s="30"/>
      <c r="Q562" s="50"/>
      <c r="R562" s="49"/>
    </row>
    <row r="563" spans="1:18" ht="15.75" customHeight="1" x14ac:dyDescent="0.3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84"/>
      <c r="M563" s="84"/>
      <c r="N563" s="30"/>
      <c r="O563" s="39"/>
      <c r="P563" s="30"/>
      <c r="Q563" s="50"/>
      <c r="R563" s="49"/>
    </row>
    <row r="564" spans="1:18" ht="15.75" customHeight="1" x14ac:dyDescent="0.3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84"/>
      <c r="M564" s="84"/>
      <c r="N564" s="30"/>
      <c r="O564" s="39"/>
      <c r="P564" s="30"/>
      <c r="Q564" s="50"/>
      <c r="R564" s="49"/>
    </row>
    <row r="565" spans="1:18" ht="15.75" customHeight="1" x14ac:dyDescent="0.3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84"/>
      <c r="M565" s="84"/>
      <c r="N565" s="30"/>
      <c r="O565" s="39"/>
      <c r="P565" s="30"/>
      <c r="Q565" s="50"/>
      <c r="R565" s="49"/>
    </row>
    <row r="566" spans="1:18" ht="15.75" customHeight="1" x14ac:dyDescent="0.3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84"/>
      <c r="M566" s="84"/>
      <c r="N566" s="30"/>
      <c r="O566" s="39"/>
      <c r="P566" s="30"/>
      <c r="Q566" s="50"/>
      <c r="R566" s="49"/>
    </row>
    <row r="567" spans="1:18" ht="15.75" customHeight="1" x14ac:dyDescent="0.3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84"/>
      <c r="M567" s="84"/>
      <c r="N567" s="30"/>
      <c r="O567" s="39"/>
      <c r="P567" s="30"/>
      <c r="Q567" s="50"/>
      <c r="R567" s="49"/>
    </row>
    <row r="568" spans="1:18" ht="15.75" customHeight="1" x14ac:dyDescent="0.3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84"/>
      <c r="M568" s="84"/>
      <c r="N568" s="30"/>
      <c r="O568" s="39"/>
      <c r="P568" s="30"/>
      <c r="Q568" s="50"/>
      <c r="R568" s="49"/>
    </row>
    <row r="569" spans="1:18" ht="15.75" customHeight="1" x14ac:dyDescent="0.3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84"/>
      <c r="M569" s="84"/>
      <c r="N569" s="30"/>
      <c r="O569" s="39"/>
      <c r="P569" s="30"/>
      <c r="Q569" s="50"/>
      <c r="R569" s="49"/>
    </row>
    <row r="570" spans="1:18" ht="15.75" customHeight="1" x14ac:dyDescent="0.3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84"/>
      <c r="M570" s="84"/>
      <c r="N570" s="30"/>
      <c r="O570" s="39"/>
      <c r="P570" s="30"/>
      <c r="Q570" s="50"/>
      <c r="R570" s="49"/>
    </row>
    <row r="571" spans="1:18" ht="15.75" customHeight="1" x14ac:dyDescent="0.3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84"/>
      <c r="M571" s="84"/>
      <c r="N571" s="30"/>
      <c r="O571" s="39"/>
      <c r="P571" s="30"/>
      <c r="Q571" s="50"/>
      <c r="R571" s="49"/>
    </row>
    <row r="572" spans="1:18" ht="15.75" customHeight="1" x14ac:dyDescent="0.3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84"/>
      <c r="M572" s="84"/>
      <c r="N572" s="30"/>
      <c r="O572" s="39"/>
      <c r="P572" s="30"/>
      <c r="Q572" s="50"/>
      <c r="R572" s="49"/>
    </row>
    <row r="573" spans="1:18" ht="15.75" customHeight="1" x14ac:dyDescent="0.3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84"/>
      <c r="M573" s="84"/>
      <c r="N573" s="30"/>
      <c r="O573" s="39"/>
      <c r="P573" s="30"/>
      <c r="Q573" s="50"/>
      <c r="R573" s="49"/>
    </row>
    <row r="574" spans="1:18" ht="15.75" customHeight="1" x14ac:dyDescent="0.3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84"/>
      <c r="M574" s="84"/>
      <c r="N574" s="30"/>
      <c r="O574" s="39"/>
      <c r="P574" s="30"/>
      <c r="Q574" s="50"/>
      <c r="R574" s="49"/>
    </row>
    <row r="575" spans="1:18" ht="15.75" customHeight="1" x14ac:dyDescent="0.3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84"/>
      <c r="M575" s="84"/>
      <c r="N575" s="30"/>
      <c r="O575" s="39"/>
      <c r="P575" s="30"/>
      <c r="Q575" s="50"/>
      <c r="R575" s="49"/>
    </row>
    <row r="576" spans="1:18" ht="15.75" customHeight="1" x14ac:dyDescent="0.3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84"/>
      <c r="M576" s="84"/>
      <c r="N576" s="30"/>
      <c r="O576" s="39"/>
      <c r="P576" s="30"/>
      <c r="Q576" s="50"/>
      <c r="R576" s="49"/>
    </row>
    <row r="577" spans="1:18" ht="15.75" customHeight="1" x14ac:dyDescent="0.3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84"/>
      <c r="M577" s="84"/>
      <c r="N577" s="30"/>
      <c r="O577" s="39"/>
      <c r="P577" s="30"/>
      <c r="Q577" s="50"/>
      <c r="R577" s="49"/>
    </row>
    <row r="578" spans="1:18" ht="15.75" customHeight="1" x14ac:dyDescent="0.3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84"/>
      <c r="M578" s="84"/>
      <c r="N578" s="30"/>
      <c r="O578" s="39"/>
      <c r="P578" s="30"/>
      <c r="Q578" s="50"/>
      <c r="R578" s="49"/>
    </row>
    <row r="579" spans="1:18" ht="15.75" customHeight="1" x14ac:dyDescent="0.3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84"/>
      <c r="M579" s="84"/>
      <c r="N579" s="30"/>
      <c r="O579" s="39"/>
      <c r="P579" s="30"/>
      <c r="Q579" s="50"/>
      <c r="R579" s="49"/>
    </row>
    <row r="580" spans="1:18" ht="15.75" customHeight="1" x14ac:dyDescent="0.3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84"/>
      <c r="M580" s="84"/>
      <c r="N580" s="30"/>
      <c r="O580" s="39"/>
      <c r="P580" s="30"/>
      <c r="Q580" s="50"/>
      <c r="R580" s="49"/>
    </row>
    <row r="581" spans="1:18" ht="15.75" customHeight="1" x14ac:dyDescent="0.3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84"/>
      <c r="M581" s="84"/>
      <c r="N581" s="30"/>
      <c r="O581" s="39"/>
      <c r="P581" s="30"/>
      <c r="Q581" s="50"/>
      <c r="R581" s="49"/>
    </row>
    <row r="582" spans="1:18" ht="15.75" customHeight="1" x14ac:dyDescent="0.3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84"/>
      <c r="M582" s="84"/>
      <c r="N582" s="30"/>
      <c r="O582" s="39"/>
      <c r="P582" s="30"/>
      <c r="Q582" s="50"/>
      <c r="R582" s="49"/>
    </row>
    <row r="583" spans="1:18" ht="15.75" customHeight="1" x14ac:dyDescent="0.3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84"/>
      <c r="M583" s="84"/>
      <c r="N583" s="30"/>
      <c r="O583" s="39"/>
      <c r="P583" s="30"/>
      <c r="Q583" s="50"/>
      <c r="R583" s="49"/>
    </row>
    <row r="584" spans="1:18" ht="15.75" customHeight="1" x14ac:dyDescent="0.3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84"/>
      <c r="M584" s="84"/>
      <c r="N584" s="30"/>
      <c r="O584" s="39"/>
      <c r="P584" s="30"/>
      <c r="Q584" s="50"/>
      <c r="R584" s="49"/>
    </row>
    <row r="585" spans="1:18" ht="15.75" customHeight="1" x14ac:dyDescent="0.3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84"/>
      <c r="M585" s="84"/>
      <c r="N585" s="30"/>
      <c r="O585" s="39"/>
      <c r="P585" s="30"/>
      <c r="Q585" s="50"/>
      <c r="R585" s="49"/>
    </row>
    <row r="586" spans="1:18" ht="15.75" customHeight="1" x14ac:dyDescent="0.3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84"/>
      <c r="M586" s="84"/>
      <c r="N586" s="30"/>
      <c r="O586" s="39"/>
      <c r="P586" s="30"/>
      <c r="Q586" s="50"/>
      <c r="R586" s="49"/>
    </row>
    <row r="587" spans="1:18" ht="15.75" customHeight="1" x14ac:dyDescent="0.3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84"/>
      <c r="M587" s="84"/>
      <c r="N587" s="30"/>
      <c r="O587" s="39"/>
      <c r="P587" s="30"/>
      <c r="Q587" s="50"/>
      <c r="R587" s="49"/>
    </row>
    <row r="588" spans="1:18" ht="15.75" customHeight="1" x14ac:dyDescent="0.3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84"/>
      <c r="M588" s="84"/>
      <c r="N588" s="30"/>
      <c r="O588" s="39"/>
      <c r="P588" s="30"/>
      <c r="Q588" s="50"/>
      <c r="R588" s="49"/>
    </row>
    <row r="589" spans="1:18" ht="15.75" customHeight="1" x14ac:dyDescent="0.3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84"/>
      <c r="M589" s="84"/>
      <c r="N589" s="30"/>
      <c r="O589" s="39"/>
      <c r="P589" s="30"/>
      <c r="Q589" s="50"/>
      <c r="R589" s="49"/>
    </row>
    <row r="590" spans="1:18" ht="15.75" customHeight="1" x14ac:dyDescent="0.3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84"/>
      <c r="M590" s="84"/>
      <c r="N590" s="30"/>
      <c r="O590" s="39"/>
      <c r="P590" s="30"/>
      <c r="Q590" s="50"/>
      <c r="R590" s="49"/>
    </row>
    <row r="591" spans="1:18" ht="15.75" customHeight="1" x14ac:dyDescent="0.3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84"/>
      <c r="M591" s="84"/>
      <c r="N591" s="30"/>
      <c r="O591" s="39"/>
      <c r="P591" s="30"/>
      <c r="Q591" s="50"/>
      <c r="R591" s="49"/>
    </row>
    <row r="592" spans="1:18" ht="15.75" customHeight="1" x14ac:dyDescent="0.3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84"/>
      <c r="M592" s="84"/>
      <c r="N592" s="30"/>
      <c r="O592" s="39"/>
      <c r="P592" s="30"/>
      <c r="Q592" s="50"/>
      <c r="R592" s="49"/>
    </row>
    <row r="593" spans="1:18" ht="15.75" customHeight="1" x14ac:dyDescent="0.3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84"/>
      <c r="M593" s="84"/>
      <c r="N593" s="30"/>
      <c r="O593" s="39"/>
      <c r="P593" s="30"/>
      <c r="Q593" s="50"/>
      <c r="R593" s="49"/>
    </row>
    <row r="594" spans="1:18" ht="15.75" customHeight="1" x14ac:dyDescent="0.3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84"/>
      <c r="M594" s="84"/>
      <c r="N594" s="30"/>
      <c r="O594" s="39"/>
      <c r="P594" s="30"/>
      <c r="Q594" s="50"/>
      <c r="R594" s="49"/>
    </row>
    <row r="595" spans="1:18" ht="15.75" customHeight="1" x14ac:dyDescent="0.3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84"/>
      <c r="M595" s="84"/>
      <c r="N595" s="30"/>
      <c r="O595" s="39"/>
      <c r="P595" s="30"/>
      <c r="Q595" s="50"/>
      <c r="R595" s="49"/>
    </row>
    <row r="596" spans="1:18" ht="15.75" customHeight="1" x14ac:dyDescent="0.3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84"/>
      <c r="M596" s="84"/>
      <c r="N596" s="30"/>
      <c r="O596" s="39"/>
      <c r="P596" s="30"/>
      <c r="Q596" s="50"/>
      <c r="R596" s="49"/>
    </row>
    <row r="597" spans="1:18" ht="15.75" customHeight="1" x14ac:dyDescent="0.3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84"/>
      <c r="M597" s="84"/>
      <c r="N597" s="30"/>
      <c r="O597" s="39"/>
      <c r="P597" s="30"/>
      <c r="Q597" s="50"/>
      <c r="R597" s="49"/>
    </row>
    <row r="598" spans="1:18" ht="15.75" customHeight="1" x14ac:dyDescent="0.3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84"/>
      <c r="M598" s="84"/>
      <c r="N598" s="30"/>
      <c r="O598" s="39"/>
      <c r="P598" s="30"/>
      <c r="Q598" s="50"/>
      <c r="R598" s="49"/>
    </row>
    <row r="599" spans="1:18" ht="15.75" customHeight="1" x14ac:dyDescent="0.3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84"/>
      <c r="M599" s="84"/>
      <c r="N599" s="30"/>
      <c r="O599" s="39"/>
      <c r="P599" s="30"/>
      <c r="Q599" s="50"/>
      <c r="R599" s="49"/>
    </row>
    <row r="600" spans="1:18" ht="15.75" customHeight="1" x14ac:dyDescent="0.3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84"/>
      <c r="M600" s="84"/>
      <c r="N600" s="30"/>
      <c r="O600" s="39"/>
      <c r="P600" s="30"/>
      <c r="Q600" s="50"/>
      <c r="R600" s="49"/>
    </row>
    <row r="601" spans="1:18" ht="15.75" customHeight="1" x14ac:dyDescent="0.3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84"/>
      <c r="M601" s="84"/>
      <c r="N601" s="30"/>
      <c r="O601" s="39"/>
      <c r="P601" s="30"/>
      <c r="Q601" s="50"/>
      <c r="R601" s="49"/>
    </row>
    <row r="602" spans="1:18" ht="15.75" customHeight="1" x14ac:dyDescent="0.3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84"/>
      <c r="M602" s="84"/>
      <c r="N602" s="30"/>
      <c r="O602" s="39"/>
      <c r="P602" s="30"/>
      <c r="Q602" s="50"/>
      <c r="R602" s="49"/>
    </row>
    <row r="603" spans="1:18" ht="15.75" customHeight="1" x14ac:dyDescent="0.3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84"/>
      <c r="M603" s="84"/>
      <c r="N603" s="30"/>
      <c r="O603" s="39"/>
      <c r="P603" s="30"/>
      <c r="Q603" s="50"/>
      <c r="R603" s="49"/>
    </row>
    <row r="604" spans="1:18" ht="15.75" customHeight="1" x14ac:dyDescent="0.3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84"/>
      <c r="M604" s="84"/>
      <c r="N604" s="30"/>
      <c r="O604" s="39"/>
      <c r="P604" s="30"/>
      <c r="Q604" s="50"/>
      <c r="R604" s="49"/>
    </row>
    <row r="605" spans="1:18" ht="15.75" customHeight="1" x14ac:dyDescent="0.3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84"/>
      <c r="M605" s="84"/>
      <c r="N605" s="30"/>
      <c r="O605" s="39"/>
      <c r="P605" s="30"/>
      <c r="Q605" s="50"/>
      <c r="R605" s="49"/>
    </row>
    <row r="606" spans="1:18" ht="15.75" customHeight="1" x14ac:dyDescent="0.3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84"/>
      <c r="M606" s="84"/>
      <c r="N606" s="30"/>
      <c r="O606" s="39"/>
      <c r="P606" s="30"/>
      <c r="Q606" s="50"/>
      <c r="R606" s="49"/>
    </row>
    <row r="607" spans="1:18" ht="15.75" customHeight="1" x14ac:dyDescent="0.3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84"/>
      <c r="M607" s="84"/>
      <c r="N607" s="30"/>
      <c r="O607" s="39"/>
      <c r="P607" s="30"/>
      <c r="Q607" s="50"/>
      <c r="R607" s="49"/>
    </row>
    <row r="608" spans="1:18" ht="15.75" customHeight="1" x14ac:dyDescent="0.3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84"/>
      <c r="M608" s="84"/>
      <c r="N608" s="30"/>
      <c r="O608" s="39"/>
      <c r="P608" s="30"/>
      <c r="Q608" s="50"/>
      <c r="R608" s="49"/>
    </row>
    <row r="609" spans="1:18" ht="15.75" customHeight="1" x14ac:dyDescent="0.3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84"/>
      <c r="M609" s="84"/>
      <c r="N609" s="30"/>
      <c r="O609" s="39"/>
      <c r="P609" s="30"/>
      <c r="Q609" s="50"/>
      <c r="R609" s="49"/>
    </row>
    <row r="610" spans="1:18" ht="15.75" customHeight="1" x14ac:dyDescent="0.3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84"/>
      <c r="M610" s="84"/>
      <c r="N610" s="30"/>
      <c r="O610" s="39"/>
      <c r="P610" s="30"/>
      <c r="Q610" s="50"/>
      <c r="R610" s="49"/>
    </row>
    <row r="611" spans="1:18" ht="15.75" customHeight="1" x14ac:dyDescent="0.3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84"/>
      <c r="M611" s="84"/>
      <c r="N611" s="30"/>
      <c r="O611" s="39"/>
      <c r="P611" s="30"/>
      <c r="Q611" s="50"/>
      <c r="R611" s="49"/>
    </row>
    <row r="612" spans="1:18" ht="15.75" customHeight="1" x14ac:dyDescent="0.3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84"/>
      <c r="M612" s="84"/>
      <c r="N612" s="30"/>
      <c r="O612" s="39"/>
      <c r="P612" s="30"/>
      <c r="Q612" s="50"/>
      <c r="R612" s="49"/>
    </row>
    <row r="613" spans="1:18" ht="15.75" customHeight="1" x14ac:dyDescent="0.3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84"/>
      <c r="M613" s="84"/>
      <c r="N613" s="30"/>
      <c r="O613" s="39"/>
      <c r="P613" s="30"/>
      <c r="Q613" s="50"/>
      <c r="R613" s="49"/>
    </row>
    <row r="614" spans="1:18" ht="15.75" customHeight="1" x14ac:dyDescent="0.3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84"/>
      <c r="M614" s="84"/>
      <c r="N614" s="30"/>
      <c r="O614" s="39"/>
      <c r="P614" s="30"/>
      <c r="Q614" s="50"/>
      <c r="R614" s="49"/>
    </row>
    <row r="615" spans="1:18" ht="15.75" customHeight="1" x14ac:dyDescent="0.3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84"/>
      <c r="M615" s="84"/>
      <c r="N615" s="30"/>
      <c r="O615" s="39"/>
      <c r="P615" s="30"/>
      <c r="Q615" s="50"/>
      <c r="R615" s="49"/>
    </row>
    <row r="616" spans="1:18" ht="15.75" customHeight="1" x14ac:dyDescent="0.3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84"/>
      <c r="M616" s="84"/>
      <c r="N616" s="30"/>
      <c r="O616" s="39"/>
      <c r="P616" s="30"/>
      <c r="Q616" s="50"/>
      <c r="R616" s="49"/>
    </row>
    <row r="617" spans="1:18" ht="15.75" customHeight="1" x14ac:dyDescent="0.3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84"/>
      <c r="M617" s="84"/>
      <c r="N617" s="30"/>
      <c r="O617" s="39"/>
      <c r="P617" s="30"/>
      <c r="Q617" s="50"/>
      <c r="R617" s="49"/>
    </row>
    <row r="618" spans="1:18" ht="15.75" customHeight="1" x14ac:dyDescent="0.3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84"/>
      <c r="M618" s="84"/>
      <c r="N618" s="30"/>
      <c r="O618" s="39"/>
      <c r="P618" s="30"/>
      <c r="Q618" s="50"/>
      <c r="R618" s="49"/>
    </row>
    <row r="619" spans="1:18" ht="15.75" customHeight="1" x14ac:dyDescent="0.3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84"/>
      <c r="M619" s="84"/>
      <c r="N619" s="30"/>
      <c r="O619" s="39"/>
      <c r="P619" s="30"/>
      <c r="Q619" s="50"/>
      <c r="R619" s="49"/>
    </row>
    <row r="620" spans="1:18" ht="15.75" customHeight="1" x14ac:dyDescent="0.3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84"/>
      <c r="M620" s="84"/>
      <c r="N620" s="30"/>
      <c r="O620" s="39"/>
      <c r="P620" s="30"/>
      <c r="Q620" s="50"/>
      <c r="R620" s="49"/>
    </row>
    <row r="621" spans="1:18" ht="15.75" customHeight="1" x14ac:dyDescent="0.3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84"/>
      <c r="M621" s="84"/>
      <c r="N621" s="30"/>
      <c r="O621" s="39"/>
      <c r="P621" s="30"/>
      <c r="Q621" s="50"/>
      <c r="R621" s="49"/>
    </row>
    <row r="622" spans="1:18" ht="15.75" customHeight="1" x14ac:dyDescent="0.3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84"/>
      <c r="M622" s="84"/>
      <c r="N622" s="30"/>
      <c r="O622" s="39"/>
      <c r="P622" s="30"/>
      <c r="Q622" s="50"/>
      <c r="R622" s="49"/>
    </row>
    <row r="623" spans="1:18" ht="15.75" customHeight="1" x14ac:dyDescent="0.3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84"/>
      <c r="M623" s="84"/>
      <c r="N623" s="30"/>
      <c r="O623" s="39"/>
      <c r="P623" s="30"/>
      <c r="Q623" s="50"/>
      <c r="R623" s="49"/>
    </row>
    <row r="624" spans="1:18" ht="15.75" customHeight="1" x14ac:dyDescent="0.3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84"/>
      <c r="M624" s="84"/>
      <c r="N624" s="30"/>
      <c r="O624" s="39"/>
      <c r="P624" s="30"/>
      <c r="Q624" s="50"/>
      <c r="R624" s="49"/>
    </row>
    <row r="625" spans="1:18" ht="15.75" customHeight="1" x14ac:dyDescent="0.3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84"/>
      <c r="M625" s="84"/>
      <c r="N625" s="30"/>
      <c r="O625" s="39"/>
      <c r="P625" s="30"/>
      <c r="Q625" s="50"/>
      <c r="R625" s="49"/>
    </row>
    <row r="626" spans="1:18" ht="15.75" customHeight="1" x14ac:dyDescent="0.3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84"/>
      <c r="M626" s="84"/>
      <c r="N626" s="30"/>
      <c r="O626" s="39"/>
      <c r="P626" s="30"/>
      <c r="Q626" s="50"/>
      <c r="R626" s="49"/>
    </row>
    <row r="627" spans="1:18" ht="15.75" customHeight="1" x14ac:dyDescent="0.3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84"/>
      <c r="M627" s="84"/>
      <c r="N627" s="30"/>
      <c r="O627" s="39"/>
      <c r="P627" s="30"/>
      <c r="Q627" s="50"/>
      <c r="R627" s="49"/>
    </row>
    <row r="628" spans="1:18" ht="15.75" customHeight="1" x14ac:dyDescent="0.3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84"/>
      <c r="M628" s="84"/>
      <c r="N628" s="30"/>
      <c r="O628" s="39"/>
      <c r="P628" s="30"/>
      <c r="Q628" s="50"/>
      <c r="R628" s="49"/>
    </row>
    <row r="629" spans="1:18" ht="15.75" customHeight="1" x14ac:dyDescent="0.3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84"/>
      <c r="M629" s="84"/>
      <c r="N629" s="30"/>
      <c r="O629" s="39"/>
      <c r="P629" s="30"/>
      <c r="Q629" s="50"/>
      <c r="R629" s="49"/>
    </row>
    <row r="630" spans="1:18" ht="15.75" customHeight="1" x14ac:dyDescent="0.3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84"/>
      <c r="M630" s="84"/>
      <c r="N630" s="30"/>
      <c r="O630" s="39"/>
      <c r="P630" s="30"/>
      <c r="Q630" s="50"/>
      <c r="R630" s="49"/>
    </row>
    <row r="631" spans="1:18" ht="15.75" customHeight="1" x14ac:dyDescent="0.3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84"/>
      <c r="M631" s="84"/>
      <c r="N631" s="30"/>
      <c r="O631" s="39"/>
      <c r="P631" s="30"/>
      <c r="Q631" s="50"/>
      <c r="R631" s="49"/>
    </row>
    <row r="632" spans="1:18" ht="15.75" customHeight="1" x14ac:dyDescent="0.3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84"/>
      <c r="M632" s="84"/>
      <c r="N632" s="30"/>
      <c r="O632" s="39"/>
      <c r="P632" s="30"/>
      <c r="Q632" s="50"/>
      <c r="R632" s="49"/>
    </row>
    <row r="633" spans="1:18" ht="15.75" customHeight="1" x14ac:dyDescent="0.3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84"/>
      <c r="M633" s="84"/>
      <c r="N633" s="30"/>
      <c r="O633" s="39"/>
      <c r="P633" s="30"/>
      <c r="Q633" s="50"/>
      <c r="R633" s="49"/>
    </row>
    <row r="634" spans="1:18" ht="15.75" customHeight="1" x14ac:dyDescent="0.3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84"/>
      <c r="M634" s="84"/>
      <c r="N634" s="30"/>
      <c r="O634" s="39"/>
      <c r="P634" s="30"/>
      <c r="Q634" s="50"/>
      <c r="R634" s="49"/>
    </row>
    <row r="635" spans="1:18" ht="15.75" customHeight="1" x14ac:dyDescent="0.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84"/>
      <c r="M635" s="84"/>
      <c r="N635" s="30"/>
      <c r="O635" s="39"/>
      <c r="P635" s="30"/>
      <c r="Q635" s="50"/>
      <c r="R635" s="49"/>
    </row>
    <row r="636" spans="1:18" ht="15.75" customHeight="1" x14ac:dyDescent="0.3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84"/>
      <c r="M636" s="84"/>
      <c r="N636" s="30"/>
      <c r="O636" s="39"/>
      <c r="P636" s="30"/>
      <c r="Q636" s="50"/>
      <c r="R636" s="49"/>
    </row>
    <row r="637" spans="1:18" ht="15.75" customHeight="1" x14ac:dyDescent="0.3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84"/>
      <c r="M637" s="84"/>
      <c r="N637" s="30"/>
      <c r="O637" s="39"/>
      <c r="P637" s="30"/>
      <c r="Q637" s="50"/>
      <c r="R637" s="49"/>
    </row>
    <row r="638" spans="1:18" ht="15.75" customHeight="1" x14ac:dyDescent="0.3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84"/>
      <c r="M638" s="84"/>
      <c r="N638" s="30"/>
      <c r="O638" s="39"/>
      <c r="P638" s="30"/>
      <c r="Q638" s="50"/>
      <c r="R638" s="49"/>
    </row>
    <row r="639" spans="1:18" ht="15.75" customHeight="1" x14ac:dyDescent="0.3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84"/>
      <c r="M639" s="84"/>
      <c r="N639" s="30"/>
      <c r="O639" s="39"/>
      <c r="P639" s="30"/>
      <c r="Q639" s="50"/>
      <c r="R639" s="49"/>
    </row>
    <row r="640" spans="1:18" ht="15.75" customHeight="1" x14ac:dyDescent="0.3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84"/>
      <c r="M640" s="84"/>
      <c r="N640" s="30"/>
      <c r="O640" s="39"/>
      <c r="P640" s="30"/>
      <c r="Q640" s="50"/>
      <c r="R640" s="49"/>
    </row>
    <row r="641" spans="1:18" ht="15.75" customHeight="1" x14ac:dyDescent="0.3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84"/>
      <c r="M641" s="84"/>
      <c r="N641" s="30"/>
      <c r="O641" s="39"/>
      <c r="P641" s="30"/>
      <c r="Q641" s="50"/>
      <c r="R641" s="49"/>
    </row>
    <row r="642" spans="1:18" ht="15.75" customHeight="1" x14ac:dyDescent="0.3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84"/>
      <c r="M642" s="84"/>
      <c r="N642" s="30"/>
      <c r="O642" s="39"/>
      <c r="P642" s="30"/>
      <c r="Q642" s="50"/>
      <c r="R642" s="49"/>
    </row>
    <row r="643" spans="1:18" ht="15.75" customHeight="1" x14ac:dyDescent="0.3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84"/>
      <c r="M643" s="84"/>
      <c r="N643" s="30"/>
      <c r="O643" s="39"/>
      <c r="P643" s="30"/>
      <c r="Q643" s="50"/>
      <c r="R643" s="49"/>
    </row>
    <row r="644" spans="1:18" ht="15.75" customHeight="1" x14ac:dyDescent="0.3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84"/>
      <c r="M644" s="84"/>
      <c r="N644" s="30"/>
      <c r="O644" s="39"/>
      <c r="P644" s="30"/>
      <c r="Q644" s="50"/>
      <c r="R644" s="49"/>
    </row>
    <row r="645" spans="1:18" ht="15.75" customHeight="1" x14ac:dyDescent="0.3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84"/>
      <c r="M645" s="84"/>
      <c r="N645" s="30"/>
      <c r="O645" s="39"/>
      <c r="P645" s="30"/>
      <c r="Q645" s="50"/>
      <c r="R645" s="49"/>
    </row>
    <row r="646" spans="1:18" ht="15.75" customHeight="1" x14ac:dyDescent="0.3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84"/>
      <c r="M646" s="84"/>
      <c r="N646" s="30"/>
      <c r="O646" s="39"/>
      <c r="P646" s="30"/>
      <c r="Q646" s="50"/>
      <c r="R646" s="49"/>
    </row>
    <row r="647" spans="1:18" ht="15.75" customHeight="1" x14ac:dyDescent="0.3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84"/>
      <c r="M647" s="84"/>
      <c r="N647" s="30"/>
      <c r="O647" s="39"/>
      <c r="P647" s="30"/>
      <c r="Q647" s="50"/>
      <c r="R647" s="49"/>
    </row>
    <row r="648" spans="1:18" ht="15.75" customHeight="1" x14ac:dyDescent="0.3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84"/>
      <c r="M648" s="84"/>
      <c r="N648" s="30"/>
      <c r="O648" s="39"/>
      <c r="P648" s="30"/>
      <c r="Q648" s="50"/>
      <c r="R648" s="49"/>
    </row>
    <row r="649" spans="1:18" ht="15.75" customHeight="1" x14ac:dyDescent="0.3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84"/>
      <c r="M649" s="84"/>
      <c r="N649" s="30"/>
      <c r="O649" s="39"/>
      <c r="P649" s="30"/>
      <c r="Q649" s="50"/>
      <c r="R649" s="49"/>
    </row>
    <row r="650" spans="1:18" ht="15.75" customHeight="1" x14ac:dyDescent="0.3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84"/>
      <c r="M650" s="84"/>
      <c r="N650" s="30"/>
      <c r="O650" s="39"/>
      <c r="P650" s="30"/>
      <c r="Q650" s="50"/>
      <c r="R650" s="49"/>
    </row>
    <row r="651" spans="1:18" ht="15.75" customHeight="1" x14ac:dyDescent="0.3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84"/>
      <c r="M651" s="84"/>
      <c r="N651" s="30"/>
      <c r="O651" s="39"/>
      <c r="P651" s="30"/>
      <c r="Q651" s="50"/>
      <c r="R651" s="49"/>
    </row>
    <row r="652" spans="1:18" ht="15.75" customHeight="1" x14ac:dyDescent="0.3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84"/>
      <c r="M652" s="84"/>
      <c r="N652" s="30"/>
      <c r="O652" s="39"/>
      <c r="P652" s="30"/>
      <c r="Q652" s="50"/>
      <c r="R652" s="49"/>
    </row>
    <row r="653" spans="1:18" ht="15.75" customHeight="1" x14ac:dyDescent="0.3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84"/>
      <c r="M653" s="84"/>
      <c r="N653" s="30"/>
      <c r="O653" s="39"/>
      <c r="P653" s="30"/>
      <c r="Q653" s="50"/>
      <c r="R653" s="49"/>
    </row>
    <row r="654" spans="1:18" ht="15.75" customHeight="1" x14ac:dyDescent="0.3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84"/>
      <c r="M654" s="84"/>
      <c r="N654" s="30"/>
      <c r="O654" s="39"/>
      <c r="P654" s="30"/>
      <c r="Q654" s="50"/>
      <c r="R654" s="49"/>
    </row>
    <row r="655" spans="1:18" ht="15.75" customHeight="1" x14ac:dyDescent="0.3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84"/>
      <c r="M655" s="84"/>
      <c r="N655" s="30"/>
      <c r="O655" s="39"/>
      <c r="P655" s="30"/>
      <c r="Q655" s="50"/>
      <c r="R655" s="49"/>
    </row>
    <row r="656" spans="1:18" ht="15.75" customHeight="1" x14ac:dyDescent="0.3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84"/>
      <c r="M656" s="84"/>
      <c r="N656" s="30"/>
      <c r="O656" s="39"/>
      <c r="P656" s="30"/>
      <c r="Q656" s="50"/>
      <c r="R656" s="49"/>
    </row>
    <row r="657" spans="1:18" ht="15.75" customHeight="1" x14ac:dyDescent="0.3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84"/>
      <c r="M657" s="84"/>
      <c r="N657" s="30"/>
      <c r="O657" s="39"/>
      <c r="P657" s="30"/>
      <c r="Q657" s="50"/>
      <c r="R657" s="49"/>
    </row>
    <row r="658" spans="1:18" ht="15.75" customHeight="1" x14ac:dyDescent="0.3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84"/>
      <c r="M658" s="84"/>
      <c r="N658" s="30"/>
      <c r="O658" s="39"/>
      <c r="P658" s="30"/>
      <c r="Q658" s="50"/>
      <c r="R658" s="49"/>
    </row>
    <row r="659" spans="1:18" ht="15.75" customHeight="1" x14ac:dyDescent="0.3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84"/>
      <c r="M659" s="84"/>
      <c r="N659" s="30"/>
      <c r="O659" s="39"/>
      <c r="P659" s="30"/>
      <c r="Q659" s="50"/>
      <c r="R659" s="49"/>
    </row>
    <row r="660" spans="1:18" ht="15.75" customHeight="1" x14ac:dyDescent="0.3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84"/>
      <c r="M660" s="84"/>
      <c r="N660" s="30"/>
      <c r="O660" s="39"/>
      <c r="P660" s="30"/>
      <c r="Q660" s="50"/>
      <c r="R660" s="49"/>
    </row>
    <row r="661" spans="1:18" ht="15.75" customHeight="1" x14ac:dyDescent="0.3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84"/>
      <c r="M661" s="84"/>
      <c r="N661" s="30"/>
      <c r="O661" s="39"/>
      <c r="P661" s="30"/>
      <c r="Q661" s="50"/>
      <c r="R661" s="49"/>
    </row>
    <row r="662" spans="1:18" ht="15.75" customHeight="1" x14ac:dyDescent="0.3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84"/>
      <c r="M662" s="84"/>
      <c r="N662" s="30"/>
      <c r="O662" s="39"/>
      <c r="P662" s="30"/>
      <c r="Q662" s="50"/>
      <c r="R662" s="49"/>
    </row>
    <row r="663" spans="1:18" ht="15.75" customHeight="1" x14ac:dyDescent="0.3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84"/>
      <c r="M663" s="84"/>
      <c r="N663" s="30"/>
      <c r="O663" s="39"/>
      <c r="P663" s="30"/>
      <c r="Q663" s="50"/>
      <c r="R663" s="49"/>
    </row>
    <row r="664" spans="1:18" ht="15.75" customHeight="1" x14ac:dyDescent="0.3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84"/>
      <c r="M664" s="84"/>
      <c r="N664" s="30"/>
      <c r="O664" s="39"/>
      <c r="P664" s="30"/>
      <c r="Q664" s="50"/>
      <c r="R664" s="49"/>
    </row>
    <row r="665" spans="1:18" ht="15.75" customHeight="1" x14ac:dyDescent="0.3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84"/>
      <c r="M665" s="84"/>
      <c r="N665" s="30"/>
      <c r="O665" s="39"/>
      <c r="P665" s="30"/>
      <c r="Q665" s="50"/>
      <c r="R665" s="49"/>
    </row>
    <row r="666" spans="1:18" ht="15.75" customHeight="1" x14ac:dyDescent="0.3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84"/>
      <c r="M666" s="84"/>
      <c r="N666" s="30"/>
      <c r="O666" s="39"/>
      <c r="P666" s="30"/>
      <c r="Q666" s="50"/>
      <c r="R666" s="49"/>
    </row>
    <row r="667" spans="1:18" ht="15.75" customHeight="1" x14ac:dyDescent="0.3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84"/>
      <c r="M667" s="84"/>
      <c r="N667" s="30"/>
      <c r="O667" s="39"/>
      <c r="P667" s="30"/>
      <c r="Q667" s="50"/>
      <c r="R667" s="49"/>
    </row>
    <row r="668" spans="1:18" ht="15.75" customHeight="1" x14ac:dyDescent="0.3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84"/>
      <c r="M668" s="84"/>
      <c r="N668" s="30"/>
      <c r="O668" s="39"/>
      <c r="P668" s="30"/>
      <c r="Q668" s="50"/>
      <c r="R668" s="49"/>
    </row>
    <row r="669" spans="1:18" ht="15.75" customHeight="1" x14ac:dyDescent="0.3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84"/>
      <c r="M669" s="84"/>
      <c r="N669" s="30"/>
      <c r="O669" s="39"/>
      <c r="P669" s="30"/>
      <c r="Q669" s="50"/>
      <c r="R669" s="49"/>
    </row>
    <row r="670" spans="1:18" ht="15.75" customHeight="1" x14ac:dyDescent="0.3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84"/>
      <c r="M670" s="84"/>
      <c r="N670" s="30"/>
      <c r="O670" s="39"/>
      <c r="P670" s="30"/>
      <c r="Q670" s="50"/>
      <c r="R670" s="49"/>
    </row>
    <row r="671" spans="1:18" ht="15.75" customHeight="1" x14ac:dyDescent="0.3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84"/>
      <c r="M671" s="84"/>
      <c r="N671" s="30"/>
      <c r="O671" s="39"/>
      <c r="P671" s="30"/>
      <c r="Q671" s="50"/>
      <c r="R671" s="49"/>
    </row>
    <row r="672" spans="1:18" ht="15.75" customHeight="1" x14ac:dyDescent="0.3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84"/>
      <c r="M672" s="84"/>
      <c r="N672" s="30"/>
      <c r="O672" s="39"/>
      <c r="P672" s="30"/>
      <c r="Q672" s="50"/>
      <c r="R672" s="49"/>
    </row>
    <row r="673" spans="1:18" ht="15.75" customHeight="1" x14ac:dyDescent="0.3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84"/>
      <c r="M673" s="84"/>
      <c r="N673" s="30"/>
      <c r="O673" s="39"/>
      <c r="P673" s="30"/>
      <c r="Q673" s="50"/>
      <c r="R673" s="49"/>
    </row>
    <row r="674" spans="1:18" ht="15.75" customHeight="1" x14ac:dyDescent="0.3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84"/>
      <c r="M674" s="84"/>
      <c r="N674" s="30"/>
      <c r="O674" s="39"/>
      <c r="P674" s="30"/>
      <c r="Q674" s="50"/>
      <c r="R674" s="49"/>
    </row>
    <row r="675" spans="1:18" ht="15.75" customHeight="1" x14ac:dyDescent="0.3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84"/>
      <c r="M675" s="84"/>
      <c r="N675" s="30"/>
      <c r="O675" s="39"/>
      <c r="P675" s="30"/>
      <c r="Q675" s="50"/>
      <c r="R675" s="49"/>
    </row>
    <row r="676" spans="1:18" ht="15.75" customHeight="1" x14ac:dyDescent="0.3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84"/>
      <c r="M676" s="84"/>
      <c r="N676" s="30"/>
      <c r="O676" s="39"/>
      <c r="P676" s="30"/>
      <c r="Q676" s="50"/>
      <c r="R676" s="49"/>
    </row>
    <row r="677" spans="1:18" ht="15.75" customHeight="1" x14ac:dyDescent="0.3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84"/>
      <c r="M677" s="84"/>
      <c r="N677" s="30"/>
      <c r="O677" s="39"/>
      <c r="P677" s="30"/>
      <c r="Q677" s="50"/>
      <c r="R677" s="49"/>
    </row>
    <row r="678" spans="1:18" ht="15.75" customHeight="1" x14ac:dyDescent="0.3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84"/>
      <c r="M678" s="84"/>
      <c r="N678" s="30"/>
      <c r="O678" s="39"/>
      <c r="P678" s="30"/>
      <c r="Q678" s="50"/>
      <c r="R678" s="49"/>
    </row>
    <row r="679" spans="1:18" ht="15.75" customHeight="1" x14ac:dyDescent="0.3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84"/>
      <c r="M679" s="84"/>
      <c r="N679" s="30"/>
      <c r="O679" s="39"/>
      <c r="P679" s="30"/>
      <c r="Q679" s="50"/>
      <c r="R679" s="49"/>
    </row>
    <row r="680" spans="1:18" ht="15.75" customHeight="1" x14ac:dyDescent="0.3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84"/>
      <c r="M680" s="84"/>
      <c r="N680" s="30"/>
      <c r="O680" s="39"/>
      <c r="P680" s="30"/>
      <c r="Q680" s="50"/>
      <c r="R680" s="49"/>
    </row>
    <row r="681" spans="1:18" ht="15.75" customHeight="1" x14ac:dyDescent="0.3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84"/>
      <c r="M681" s="84"/>
      <c r="N681" s="30"/>
      <c r="O681" s="39"/>
      <c r="P681" s="30"/>
      <c r="Q681" s="50"/>
      <c r="R681" s="49"/>
    </row>
    <row r="682" spans="1:18" ht="15.75" customHeight="1" x14ac:dyDescent="0.3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84"/>
      <c r="M682" s="84"/>
      <c r="N682" s="30"/>
      <c r="O682" s="39"/>
      <c r="P682" s="30"/>
      <c r="Q682" s="50"/>
      <c r="R682" s="49"/>
    </row>
    <row r="683" spans="1:18" ht="15.75" customHeight="1" x14ac:dyDescent="0.3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84"/>
      <c r="M683" s="84"/>
      <c r="N683" s="30"/>
      <c r="O683" s="39"/>
      <c r="P683" s="30"/>
      <c r="Q683" s="50"/>
      <c r="R683" s="49"/>
    </row>
    <row r="684" spans="1:18" ht="15.75" customHeight="1" x14ac:dyDescent="0.3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84"/>
      <c r="M684" s="84"/>
      <c r="N684" s="30"/>
      <c r="O684" s="39"/>
      <c r="P684" s="30"/>
      <c r="Q684" s="50"/>
      <c r="R684" s="49"/>
    </row>
    <row r="685" spans="1:18" ht="15.75" customHeight="1" x14ac:dyDescent="0.3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84"/>
      <c r="M685" s="84"/>
      <c r="N685" s="30"/>
      <c r="O685" s="39"/>
      <c r="P685" s="30"/>
      <c r="Q685" s="50"/>
      <c r="R685" s="49"/>
    </row>
    <row r="686" spans="1:18" ht="15.75" customHeight="1" x14ac:dyDescent="0.3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84"/>
      <c r="M686" s="84"/>
      <c r="N686" s="30"/>
      <c r="O686" s="39"/>
      <c r="P686" s="30"/>
      <c r="Q686" s="50"/>
      <c r="R686" s="49"/>
    </row>
    <row r="687" spans="1:18" ht="15.75" customHeight="1" x14ac:dyDescent="0.3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84"/>
      <c r="M687" s="84"/>
      <c r="N687" s="30"/>
      <c r="O687" s="39"/>
      <c r="P687" s="30"/>
      <c r="Q687" s="50"/>
      <c r="R687" s="49"/>
    </row>
    <row r="688" spans="1:18" ht="15.75" customHeight="1" x14ac:dyDescent="0.3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84"/>
      <c r="M688" s="84"/>
      <c r="N688" s="30"/>
      <c r="O688" s="39"/>
      <c r="P688" s="30"/>
      <c r="Q688" s="50"/>
      <c r="R688" s="49"/>
    </row>
    <row r="689" spans="1:18" ht="15.75" customHeight="1" x14ac:dyDescent="0.3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84"/>
      <c r="M689" s="84"/>
      <c r="N689" s="30"/>
      <c r="O689" s="39"/>
      <c r="P689" s="30"/>
      <c r="Q689" s="50"/>
      <c r="R689" s="49"/>
    </row>
    <row r="690" spans="1:18" ht="15.75" customHeight="1" x14ac:dyDescent="0.3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84"/>
      <c r="M690" s="84"/>
      <c r="N690" s="30"/>
      <c r="O690" s="39"/>
      <c r="P690" s="30"/>
      <c r="Q690" s="50"/>
      <c r="R690" s="49"/>
    </row>
    <row r="691" spans="1:18" ht="15.75" customHeight="1" x14ac:dyDescent="0.3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84"/>
      <c r="M691" s="84"/>
      <c r="N691" s="30"/>
      <c r="O691" s="39"/>
      <c r="P691" s="30"/>
      <c r="Q691" s="50"/>
      <c r="R691" s="49"/>
    </row>
    <row r="692" spans="1:18" ht="15.75" customHeight="1" x14ac:dyDescent="0.3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84"/>
      <c r="M692" s="84"/>
      <c r="N692" s="30"/>
      <c r="O692" s="39"/>
      <c r="P692" s="30"/>
      <c r="Q692" s="50"/>
      <c r="R692" s="49"/>
    </row>
    <row r="693" spans="1:18" ht="15.75" customHeight="1" x14ac:dyDescent="0.3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84"/>
      <c r="M693" s="84"/>
      <c r="N693" s="30"/>
      <c r="O693" s="39"/>
      <c r="P693" s="30"/>
      <c r="Q693" s="50"/>
      <c r="R693" s="49"/>
    </row>
    <row r="694" spans="1:18" ht="15.75" customHeight="1" x14ac:dyDescent="0.3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84"/>
      <c r="M694" s="84"/>
      <c r="N694" s="30"/>
      <c r="O694" s="39"/>
      <c r="P694" s="30"/>
      <c r="Q694" s="50"/>
      <c r="R694" s="49"/>
    </row>
    <row r="695" spans="1:18" ht="15.75" customHeight="1" x14ac:dyDescent="0.3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84"/>
      <c r="M695" s="84"/>
      <c r="N695" s="30"/>
      <c r="O695" s="39"/>
      <c r="P695" s="30"/>
      <c r="Q695" s="50"/>
      <c r="R695" s="49"/>
    </row>
    <row r="696" spans="1:18" ht="15.75" customHeight="1" x14ac:dyDescent="0.3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84"/>
      <c r="M696" s="84"/>
      <c r="N696" s="30"/>
      <c r="O696" s="39"/>
      <c r="P696" s="30"/>
      <c r="Q696" s="50"/>
      <c r="R696" s="49"/>
    </row>
    <row r="697" spans="1:18" ht="15.75" customHeight="1" x14ac:dyDescent="0.3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84"/>
      <c r="M697" s="84"/>
      <c r="N697" s="30"/>
      <c r="O697" s="39"/>
      <c r="P697" s="30"/>
      <c r="Q697" s="50"/>
      <c r="R697" s="49"/>
    </row>
    <row r="698" spans="1:18" ht="15.75" customHeight="1" x14ac:dyDescent="0.3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84"/>
      <c r="M698" s="84"/>
      <c r="N698" s="30"/>
      <c r="O698" s="39"/>
      <c r="P698" s="30"/>
      <c r="Q698" s="50"/>
      <c r="R698" s="49"/>
    </row>
    <row r="699" spans="1:18" ht="15.75" customHeight="1" x14ac:dyDescent="0.3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84"/>
      <c r="M699" s="84"/>
      <c r="N699" s="30"/>
      <c r="O699" s="39"/>
      <c r="P699" s="30"/>
      <c r="Q699" s="50"/>
      <c r="R699" s="49"/>
    </row>
    <row r="700" spans="1:18" ht="15.75" customHeight="1" x14ac:dyDescent="0.3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84"/>
      <c r="M700" s="84"/>
      <c r="N700" s="30"/>
      <c r="O700" s="39"/>
      <c r="P700" s="30"/>
      <c r="Q700" s="50"/>
      <c r="R700" s="49"/>
    </row>
    <row r="701" spans="1:18" ht="15.75" customHeight="1" x14ac:dyDescent="0.3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84"/>
      <c r="M701" s="84"/>
      <c r="N701" s="30"/>
      <c r="O701" s="39"/>
      <c r="P701" s="30"/>
      <c r="Q701" s="50"/>
      <c r="R701" s="49"/>
    </row>
    <row r="702" spans="1:18" ht="15.75" customHeight="1" x14ac:dyDescent="0.3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84"/>
      <c r="M702" s="84"/>
      <c r="N702" s="30"/>
      <c r="O702" s="39"/>
      <c r="P702" s="30"/>
      <c r="Q702" s="50"/>
      <c r="R702" s="49"/>
    </row>
    <row r="703" spans="1:18" ht="15.75" customHeight="1" x14ac:dyDescent="0.3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84"/>
      <c r="M703" s="84"/>
      <c r="N703" s="30"/>
      <c r="O703" s="39"/>
      <c r="P703" s="30"/>
      <c r="Q703" s="50"/>
      <c r="R703" s="49"/>
    </row>
    <row r="704" spans="1:18" ht="15.75" customHeight="1" x14ac:dyDescent="0.3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84"/>
      <c r="M704" s="84"/>
      <c r="N704" s="30"/>
      <c r="O704" s="39"/>
      <c r="P704" s="30"/>
      <c r="Q704" s="50"/>
      <c r="R704" s="49"/>
    </row>
    <row r="705" spans="1:18" ht="15.75" customHeight="1" x14ac:dyDescent="0.3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84"/>
      <c r="M705" s="84"/>
      <c r="N705" s="30"/>
      <c r="O705" s="39"/>
      <c r="P705" s="30"/>
      <c r="Q705" s="50"/>
      <c r="R705" s="49"/>
    </row>
    <row r="706" spans="1:18" ht="15.75" customHeight="1" x14ac:dyDescent="0.3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84"/>
      <c r="M706" s="84"/>
      <c r="N706" s="30"/>
      <c r="O706" s="39"/>
      <c r="P706" s="30"/>
      <c r="Q706" s="50"/>
      <c r="R706" s="49"/>
    </row>
    <row r="707" spans="1:18" ht="15.75" customHeight="1" x14ac:dyDescent="0.3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84"/>
      <c r="M707" s="84"/>
      <c r="N707" s="30"/>
      <c r="O707" s="39"/>
      <c r="P707" s="30"/>
      <c r="Q707" s="50"/>
      <c r="R707" s="49"/>
    </row>
    <row r="708" spans="1:18" ht="15.75" customHeight="1" x14ac:dyDescent="0.3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84"/>
      <c r="M708" s="84"/>
      <c r="N708" s="30"/>
      <c r="O708" s="39"/>
      <c r="P708" s="30"/>
      <c r="Q708" s="50"/>
      <c r="R708" s="49"/>
    </row>
    <row r="709" spans="1:18" ht="15.75" customHeight="1" x14ac:dyDescent="0.3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84"/>
      <c r="M709" s="84"/>
      <c r="N709" s="30"/>
      <c r="O709" s="39"/>
      <c r="P709" s="30"/>
      <c r="Q709" s="50"/>
      <c r="R709" s="49"/>
    </row>
    <row r="710" spans="1:18" ht="15.75" customHeight="1" x14ac:dyDescent="0.3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84"/>
      <c r="M710" s="84"/>
      <c r="N710" s="30"/>
      <c r="O710" s="39"/>
      <c r="P710" s="30"/>
      <c r="Q710" s="50"/>
      <c r="R710" s="49"/>
    </row>
    <row r="711" spans="1:18" ht="15.75" customHeight="1" x14ac:dyDescent="0.3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84"/>
      <c r="M711" s="84"/>
      <c r="N711" s="30"/>
      <c r="O711" s="39"/>
      <c r="P711" s="30"/>
      <c r="Q711" s="50"/>
      <c r="R711" s="49"/>
    </row>
    <row r="712" spans="1:18" ht="15.75" customHeight="1" x14ac:dyDescent="0.3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84"/>
      <c r="M712" s="84"/>
      <c r="N712" s="30"/>
      <c r="O712" s="39"/>
      <c r="P712" s="30"/>
      <c r="Q712" s="50"/>
      <c r="R712" s="49"/>
    </row>
    <row r="713" spans="1:18" ht="15.75" customHeight="1" x14ac:dyDescent="0.3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84"/>
      <c r="M713" s="84"/>
      <c r="N713" s="30"/>
      <c r="O713" s="39"/>
      <c r="P713" s="30"/>
      <c r="Q713" s="50"/>
      <c r="R713" s="49"/>
    </row>
    <row r="714" spans="1:18" ht="15.75" customHeight="1" x14ac:dyDescent="0.3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84"/>
      <c r="M714" s="84"/>
      <c r="N714" s="30"/>
      <c r="O714" s="39"/>
      <c r="P714" s="30"/>
      <c r="Q714" s="50"/>
      <c r="R714" s="49"/>
    </row>
    <row r="715" spans="1:18" ht="15.75" customHeight="1" x14ac:dyDescent="0.3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84"/>
      <c r="M715" s="84"/>
      <c r="N715" s="30"/>
      <c r="O715" s="39"/>
      <c r="P715" s="30"/>
      <c r="Q715" s="50"/>
      <c r="R715" s="49"/>
    </row>
    <row r="716" spans="1:18" ht="15.75" customHeight="1" x14ac:dyDescent="0.3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84"/>
      <c r="M716" s="84"/>
      <c r="N716" s="30"/>
      <c r="O716" s="39"/>
      <c r="P716" s="30"/>
      <c r="Q716" s="50"/>
      <c r="R716" s="49"/>
    </row>
    <row r="717" spans="1:18" ht="15.75" customHeight="1" x14ac:dyDescent="0.3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84"/>
      <c r="M717" s="84"/>
      <c r="N717" s="30"/>
      <c r="O717" s="39"/>
      <c r="P717" s="30"/>
      <c r="Q717" s="50"/>
      <c r="R717" s="49"/>
    </row>
    <row r="718" spans="1:18" ht="15.75" customHeight="1" x14ac:dyDescent="0.3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84"/>
      <c r="M718" s="84"/>
      <c r="N718" s="30"/>
      <c r="O718" s="39"/>
      <c r="P718" s="30"/>
      <c r="Q718" s="50"/>
      <c r="R718" s="49"/>
    </row>
    <row r="719" spans="1:18" ht="15.75" customHeight="1" x14ac:dyDescent="0.3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84"/>
      <c r="M719" s="84"/>
      <c r="N719" s="30"/>
      <c r="O719" s="39"/>
      <c r="P719" s="30"/>
      <c r="Q719" s="50"/>
      <c r="R719" s="49"/>
    </row>
    <row r="720" spans="1:18" ht="15.75" customHeight="1" x14ac:dyDescent="0.3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84"/>
      <c r="M720" s="84"/>
      <c r="N720" s="30"/>
      <c r="O720" s="39"/>
      <c r="P720" s="30"/>
      <c r="Q720" s="50"/>
      <c r="R720" s="49"/>
    </row>
    <row r="721" spans="1:18" ht="15.75" customHeight="1" x14ac:dyDescent="0.3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84"/>
      <c r="M721" s="84"/>
      <c r="N721" s="30"/>
      <c r="O721" s="39"/>
      <c r="P721" s="30"/>
      <c r="Q721" s="50"/>
      <c r="R721" s="49"/>
    </row>
    <row r="722" spans="1:18" ht="15.75" customHeight="1" x14ac:dyDescent="0.3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84"/>
      <c r="M722" s="84"/>
      <c r="N722" s="30"/>
      <c r="O722" s="39"/>
      <c r="P722" s="30"/>
      <c r="Q722" s="50"/>
      <c r="R722" s="49"/>
    </row>
    <row r="723" spans="1:18" ht="15.75" customHeight="1" x14ac:dyDescent="0.3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84"/>
      <c r="M723" s="84"/>
      <c r="N723" s="30"/>
      <c r="O723" s="39"/>
      <c r="P723" s="30"/>
      <c r="Q723" s="50"/>
      <c r="R723" s="49"/>
    </row>
    <row r="724" spans="1:18" ht="15.75" customHeight="1" x14ac:dyDescent="0.3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84"/>
      <c r="M724" s="84"/>
      <c r="N724" s="30"/>
      <c r="O724" s="39"/>
      <c r="P724" s="30"/>
      <c r="Q724" s="50"/>
      <c r="R724" s="49"/>
    </row>
    <row r="725" spans="1:18" ht="15.75" customHeight="1" x14ac:dyDescent="0.3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84"/>
      <c r="M725" s="84"/>
      <c r="N725" s="30"/>
      <c r="O725" s="39"/>
      <c r="P725" s="30"/>
      <c r="Q725" s="50"/>
      <c r="R725" s="49"/>
    </row>
    <row r="726" spans="1:18" ht="15.75" customHeight="1" x14ac:dyDescent="0.3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84"/>
      <c r="M726" s="84"/>
      <c r="N726" s="30"/>
      <c r="O726" s="39"/>
      <c r="P726" s="30"/>
      <c r="Q726" s="50"/>
      <c r="R726" s="49"/>
    </row>
    <row r="727" spans="1:18" ht="15.75" customHeight="1" x14ac:dyDescent="0.3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84"/>
      <c r="M727" s="84"/>
      <c r="N727" s="30"/>
      <c r="O727" s="39"/>
      <c r="P727" s="30"/>
      <c r="Q727" s="50"/>
      <c r="R727" s="49"/>
    </row>
    <row r="728" spans="1:18" ht="15.75" customHeight="1" x14ac:dyDescent="0.3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84"/>
      <c r="M728" s="84"/>
      <c r="N728" s="30"/>
      <c r="O728" s="39"/>
      <c r="P728" s="30"/>
      <c r="Q728" s="50"/>
      <c r="R728" s="49"/>
    </row>
    <row r="729" spans="1:18" ht="15.75" customHeight="1" x14ac:dyDescent="0.3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84"/>
      <c r="M729" s="84"/>
      <c r="N729" s="30"/>
      <c r="O729" s="39"/>
      <c r="P729" s="30"/>
      <c r="Q729" s="50"/>
      <c r="R729" s="49"/>
    </row>
    <row r="730" spans="1:18" ht="15.75" customHeight="1" x14ac:dyDescent="0.3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84"/>
      <c r="M730" s="84"/>
      <c r="N730" s="30"/>
      <c r="O730" s="39"/>
      <c r="P730" s="30"/>
      <c r="Q730" s="50"/>
      <c r="R730" s="49"/>
    </row>
    <row r="731" spans="1:18" ht="15.75" customHeight="1" x14ac:dyDescent="0.3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84"/>
      <c r="M731" s="84"/>
      <c r="N731" s="30"/>
      <c r="O731" s="39"/>
      <c r="P731" s="30"/>
      <c r="Q731" s="50"/>
      <c r="R731" s="49"/>
    </row>
    <row r="732" spans="1:18" ht="15.75" customHeight="1" x14ac:dyDescent="0.3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84"/>
      <c r="M732" s="84"/>
      <c r="N732" s="30"/>
      <c r="O732" s="39"/>
      <c r="P732" s="30"/>
      <c r="Q732" s="50"/>
      <c r="R732" s="49"/>
    </row>
    <row r="733" spans="1:18" ht="15.75" customHeight="1" x14ac:dyDescent="0.3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84"/>
      <c r="M733" s="84"/>
      <c r="N733" s="30"/>
      <c r="O733" s="39"/>
      <c r="P733" s="30"/>
      <c r="Q733" s="50"/>
      <c r="R733" s="49"/>
    </row>
    <row r="734" spans="1:18" ht="15.75" customHeight="1" x14ac:dyDescent="0.3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84"/>
      <c r="M734" s="84"/>
      <c r="N734" s="30"/>
      <c r="O734" s="39"/>
      <c r="P734" s="30"/>
      <c r="Q734" s="50"/>
      <c r="R734" s="49"/>
    </row>
    <row r="735" spans="1:18" ht="15.75" customHeight="1" x14ac:dyDescent="0.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84"/>
      <c r="M735" s="84"/>
      <c r="N735" s="30"/>
      <c r="O735" s="39"/>
      <c r="P735" s="30"/>
      <c r="Q735" s="50"/>
      <c r="R735" s="49"/>
    </row>
    <row r="736" spans="1:18" ht="15.75" customHeight="1" x14ac:dyDescent="0.3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84"/>
      <c r="M736" s="84"/>
      <c r="N736" s="30"/>
      <c r="O736" s="39"/>
      <c r="P736" s="30"/>
      <c r="Q736" s="50"/>
      <c r="R736" s="49"/>
    </row>
    <row r="737" spans="1:18" ht="15.75" customHeight="1" x14ac:dyDescent="0.3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84"/>
      <c r="M737" s="84"/>
      <c r="N737" s="30"/>
      <c r="O737" s="39"/>
      <c r="P737" s="30"/>
      <c r="Q737" s="50"/>
      <c r="R737" s="49"/>
    </row>
    <row r="738" spans="1:18" ht="15.75" customHeight="1" x14ac:dyDescent="0.3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84"/>
      <c r="M738" s="84"/>
      <c r="N738" s="30"/>
      <c r="O738" s="39"/>
      <c r="P738" s="30"/>
      <c r="Q738" s="50"/>
      <c r="R738" s="49"/>
    </row>
    <row r="739" spans="1:18" ht="15.75" customHeight="1" x14ac:dyDescent="0.3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84"/>
      <c r="M739" s="84"/>
      <c r="N739" s="30"/>
      <c r="O739" s="39"/>
      <c r="P739" s="30"/>
      <c r="Q739" s="50"/>
      <c r="R739" s="49"/>
    </row>
    <row r="740" spans="1:18" ht="15.75" customHeight="1" x14ac:dyDescent="0.3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84"/>
      <c r="M740" s="84"/>
      <c r="N740" s="30"/>
      <c r="O740" s="39"/>
      <c r="P740" s="30"/>
      <c r="Q740" s="50"/>
      <c r="R740" s="49"/>
    </row>
    <row r="741" spans="1:18" ht="15.75" customHeight="1" x14ac:dyDescent="0.3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84"/>
      <c r="M741" s="84"/>
      <c r="N741" s="30"/>
      <c r="O741" s="39"/>
      <c r="P741" s="30"/>
      <c r="Q741" s="50"/>
      <c r="R741" s="49"/>
    </row>
    <row r="742" spans="1:18" ht="15.75" customHeight="1" x14ac:dyDescent="0.3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84"/>
      <c r="M742" s="84"/>
      <c r="N742" s="30"/>
      <c r="O742" s="39"/>
      <c r="P742" s="30"/>
      <c r="Q742" s="50"/>
      <c r="R742" s="49"/>
    </row>
    <row r="743" spans="1:18" ht="15.75" customHeight="1" x14ac:dyDescent="0.3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84"/>
      <c r="M743" s="84"/>
      <c r="N743" s="30"/>
      <c r="O743" s="39"/>
      <c r="P743" s="30"/>
      <c r="Q743" s="50"/>
      <c r="R743" s="49"/>
    </row>
    <row r="744" spans="1:18" ht="15.75" customHeight="1" x14ac:dyDescent="0.3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84"/>
      <c r="M744" s="84"/>
      <c r="N744" s="30"/>
      <c r="O744" s="39"/>
      <c r="P744" s="30"/>
      <c r="Q744" s="50"/>
      <c r="R744" s="49"/>
    </row>
    <row r="745" spans="1:18" ht="15.75" customHeight="1" x14ac:dyDescent="0.3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84"/>
      <c r="M745" s="84"/>
      <c r="N745" s="30"/>
      <c r="O745" s="39"/>
      <c r="P745" s="30"/>
      <c r="Q745" s="50"/>
      <c r="R745" s="49"/>
    </row>
    <row r="746" spans="1:18" ht="15.75" customHeight="1" x14ac:dyDescent="0.3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84"/>
      <c r="M746" s="84"/>
      <c r="N746" s="30"/>
      <c r="O746" s="39"/>
      <c r="P746" s="30"/>
      <c r="Q746" s="50"/>
      <c r="R746" s="49"/>
    </row>
    <row r="747" spans="1:18" ht="15.75" customHeight="1" x14ac:dyDescent="0.3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84"/>
      <c r="M747" s="84"/>
      <c r="N747" s="30"/>
      <c r="O747" s="39"/>
      <c r="P747" s="30"/>
      <c r="Q747" s="50"/>
      <c r="R747" s="49"/>
    </row>
    <row r="748" spans="1:18" ht="15.75" customHeight="1" x14ac:dyDescent="0.3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84"/>
      <c r="M748" s="84"/>
      <c r="N748" s="30"/>
      <c r="O748" s="39"/>
      <c r="P748" s="30"/>
      <c r="Q748" s="50"/>
      <c r="R748" s="49"/>
    </row>
    <row r="749" spans="1:18" ht="15.75" customHeight="1" x14ac:dyDescent="0.3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84"/>
      <c r="M749" s="84"/>
      <c r="N749" s="30"/>
      <c r="O749" s="39"/>
      <c r="P749" s="30"/>
      <c r="Q749" s="50"/>
      <c r="R749" s="49"/>
    </row>
    <row r="750" spans="1:18" ht="15.75" customHeight="1" x14ac:dyDescent="0.3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84"/>
      <c r="M750" s="84"/>
      <c r="N750" s="30"/>
      <c r="O750" s="39"/>
      <c r="P750" s="30"/>
      <c r="Q750" s="50"/>
      <c r="R750" s="49"/>
    </row>
    <row r="751" spans="1:18" ht="15.75" customHeight="1" x14ac:dyDescent="0.3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84"/>
      <c r="M751" s="84"/>
      <c r="N751" s="30"/>
      <c r="O751" s="39"/>
      <c r="P751" s="30"/>
      <c r="Q751" s="50"/>
      <c r="R751" s="49"/>
    </row>
    <row r="752" spans="1:18" ht="15.75" customHeight="1" x14ac:dyDescent="0.3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84"/>
      <c r="M752" s="84"/>
      <c r="N752" s="30"/>
      <c r="O752" s="39"/>
      <c r="P752" s="30"/>
      <c r="Q752" s="50"/>
      <c r="R752" s="49"/>
    </row>
    <row r="753" spans="1:18" ht="15.75" customHeight="1" x14ac:dyDescent="0.3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84"/>
      <c r="M753" s="84"/>
      <c r="N753" s="30"/>
      <c r="O753" s="39"/>
      <c r="P753" s="30"/>
      <c r="Q753" s="50"/>
      <c r="R753" s="49"/>
    </row>
    <row r="754" spans="1:18" ht="15.75" customHeight="1" x14ac:dyDescent="0.3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84"/>
      <c r="M754" s="84"/>
      <c r="N754" s="30"/>
      <c r="O754" s="39"/>
      <c r="P754" s="30"/>
      <c r="Q754" s="50"/>
      <c r="R754" s="49"/>
    </row>
    <row r="755" spans="1:18" ht="15.75" customHeight="1" x14ac:dyDescent="0.3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84"/>
      <c r="M755" s="84"/>
      <c r="N755" s="30"/>
      <c r="O755" s="39"/>
      <c r="P755" s="30"/>
      <c r="Q755" s="50"/>
      <c r="R755" s="49"/>
    </row>
    <row r="756" spans="1:18" ht="15.75" customHeight="1" x14ac:dyDescent="0.3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84"/>
      <c r="M756" s="84"/>
      <c r="N756" s="30"/>
      <c r="O756" s="39"/>
      <c r="P756" s="30"/>
      <c r="Q756" s="50"/>
      <c r="R756" s="49"/>
    </row>
    <row r="757" spans="1:18" ht="15.75" customHeight="1" x14ac:dyDescent="0.3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84"/>
      <c r="M757" s="84"/>
      <c r="N757" s="30"/>
      <c r="O757" s="39"/>
      <c r="P757" s="30"/>
      <c r="Q757" s="50"/>
      <c r="R757" s="49"/>
    </row>
    <row r="758" spans="1:18" ht="15.75" customHeight="1" x14ac:dyDescent="0.3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84"/>
      <c r="M758" s="84"/>
      <c r="N758" s="30"/>
      <c r="O758" s="39"/>
      <c r="P758" s="30"/>
      <c r="Q758" s="50"/>
      <c r="R758" s="49"/>
    </row>
    <row r="759" spans="1:18" ht="15.75" customHeight="1" x14ac:dyDescent="0.3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84"/>
      <c r="M759" s="84"/>
      <c r="N759" s="30"/>
      <c r="O759" s="39"/>
      <c r="P759" s="30"/>
      <c r="Q759" s="50"/>
      <c r="R759" s="49"/>
    </row>
    <row r="760" spans="1:18" ht="15.75" customHeight="1" x14ac:dyDescent="0.3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84"/>
      <c r="M760" s="84"/>
      <c r="N760" s="30"/>
      <c r="O760" s="39"/>
      <c r="P760" s="30"/>
      <c r="Q760" s="50"/>
      <c r="R760" s="49"/>
    </row>
    <row r="761" spans="1:18" ht="15.75" customHeight="1" x14ac:dyDescent="0.3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84"/>
      <c r="M761" s="84"/>
      <c r="N761" s="30"/>
      <c r="O761" s="39"/>
      <c r="P761" s="30"/>
      <c r="Q761" s="50"/>
      <c r="R761" s="49"/>
    </row>
    <row r="762" spans="1:18" ht="15.75" customHeight="1" x14ac:dyDescent="0.3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84"/>
      <c r="M762" s="84"/>
      <c r="N762" s="30"/>
      <c r="O762" s="39"/>
      <c r="P762" s="30"/>
      <c r="Q762" s="50"/>
      <c r="R762" s="49"/>
    </row>
    <row r="763" spans="1:18" ht="15.75" customHeight="1" x14ac:dyDescent="0.3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84"/>
      <c r="M763" s="84"/>
      <c r="N763" s="30"/>
      <c r="O763" s="39"/>
      <c r="P763" s="30"/>
      <c r="Q763" s="50"/>
      <c r="R763" s="49"/>
    </row>
    <row r="764" spans="1:18" ht="15.75" customHeight="1" x14ac:dyDescent="0.3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84"/>
      <c r="M764" s="84"/>
      <c r="N764" s="30"/>
      <c r="O764" s="39"/>
      <c r="P764" s="30"/>
      <c r="Q764" s="50"/>
      <c r="R764" s="49"/>
    </row>
    <row r="765" spans="1:18" ht="15.75" customHeight="1" x14ac:dyDescent="0.3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84"/>
      <c r="M765" s="84"/>
      <c r="N765" s="30"/>
      <c r="O765" s="39"/>
      <c r="P765" s="30"/>
      <c r="Q765" s="50"/>
      <c r="R765" s="49"/>
    </row>
    <row r="766" spans="1:18" ht="15.75" customHeight="1" x14ac:dyDescent="0.3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84"/>
      <c r="M766" s="84"/>
      <c r="N766" s="30"/>
      <c r="O766" s="39"/>
      <c r="P766" s="30"/>
      <c r="Q766" s="50"/>
      <c r="R766" s="49"/>
    </row>
    <row r="767" spans="1:18" ht="15.75" customHeight="1" x14ac:dyDescent="0.3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84"/>
      <c r="M767" s="84"/>
      <c r="N767" s="30"/>
      <c r="O767" s="39"/>
      <c r="P767" s="30"/>
      <c r="Q767" s="50"/>
      <c r="R767" s="49"/>
    </row>
    <row r="768" spans="1:18" ht="15.75" customHeight="1" x14ac:dyDescent="0.3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84"/>
      <c r="M768" s="84"/>
      <c r="N768" s="30"/>
      <c r="O768" s="39"/>
      <c r="P768" s="30"/>
      <c r="Q768" s="50"/>
      <c r="R768" s="49"/>
    </row>
    <row r="769" spans="1:18" ht="15.75" customHeight="1" x14ac:dyDescent="0.3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84"/>
      <c r="M769" s="84"/>
      <c r="N769" s="30"/>
      <c r="O769" s="39"/>
      <c r="P769" s="30"/>
      <c r="Q769" s="50"/>
      <c r="R769" s="49"/>
    </row>
    <row r="770" spans="1:18" ht="15.75" customHeight="1" x14ac:dyDescent="0.3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84"/>
      <c r="M770" s="84"/>
      <c r="N770" s="30"/>
      <c r="O770" s="39"/>
      <c r="P770" s="30"/>
      <c r="Q770" s="50"/>
      <c r="R770" s="49"/>
    </row>
    <row r="771" spans="1:18" ht="15.75" customHeight="1" x14ac:dyDescent="0.3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84"/>
      <c r="M771" s="84"/>
      <c r="N771" s="30"/>
      <c r="O771" s="39"/>
      <c r="P771" s="30"/>
      <c r="Q771" s="50"/>
      <c r="R771" s="49"/>
    </row>
    <row r="772" spans="1:18" ht="15.75" customHeight="1" x14ac:dyDescent="0.3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84"/>
      <c r="M772" s="84"/>
      <c r="N772" s="30"/>
      <c r="O772" s="39"/>
      <c r="P772" s="30"/>
      <c r="Q772" s="50"/>
      <c r="R772" s="49"/>
    </row>
    <row r="773" spans="1:18" ht="15.75" customHeight="1" x14ac:dyDescent="0.3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84"/>
      <c r="M773" s="84"/>
      <c r="N773" s="30"/>
      <c r="O773" s="39"/>
      <c r="P773" s="30"/>
      <c r="Q773" s="50"/>
      <c r="R773" s="49"/>
    </row>
    <row r="774" spans="1:18" ht="15.75" customHeight="1" x14ac:dyDescent="0.3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84"/>
      <c r="M774" s="84"/>
      <c r="N774" s="30"/>
      <c r="O774" s="39"/>
      <c r="P774" s="30"/>
      <c r="Q774" s="50"/>
      <c r="R774" s="49"/>
    </row>
    <row r="775" spans="1:18" ht="15.75" customHeight="1" x14ac:dyDescent="0.3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84"/>
      <c r="M775" s="84"/>
      <c r="N775" s="30"/>
      <c r="O775" s="39"/>
      <c r="P775" s="30"/>
      <c r="Q775" s="50"/>
      <c r="R775" s="49"/>
    </row>
    <row r="776" spans="1:18" ht="15.75" customHeight="1" x14ac:dyDescent="0.3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84"/>
      <c r="M776" s="84"/>
      <c r="N776" s="30"/>
      <c r="O776" s="39"/>
      <c r="P776" s="30"/>
      <c r="Q776" s="50"/>
      <c r="R776" s="49"/>
    </row>
    <row r="777" spans="1:18" ht="15.75" customHeight="1" x14ac:dyDescent="0.3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84"/>
      <c r="M777" s="84"/>
      <c r="N777" s="30"/>
      <c r="O777" s="39"/>
      <c r="P777" s="30"/>
      <c r="Q777" s="50"/>
      <c r="R777" s="49"/>
    </row>
    <row r="778" spans="1:18" ht="15.75" customHeight="1" x14ac:dyDescent="0.3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84"/>
      <c r="M778" s="84"/>
      <c r="N778" s="30"/>
      <c r="O778" s="39"/>
      <c r="P778" s="30"/>
      <c r="Q778" s="50"/>
      <c r="R778" s="49"/>
    </row>
    <row r="779" spans="1:18" ht="15.75" customHeight="1" x14ac:dyDescent="0.3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84"/>
      <c r="M779" s="84"/>
      <c r="N779" s="30"/>
      <c r="O779" s="39"/>
      <c r="P779" s="30"/>
      <c r="Q779" s="50"/>
      <c r="R779" s="49"/>
    </row>
    <row r="780" spans="1:18" ht="15.75" customHeight="1" x14ac:dyDescent="0.3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84"/>
      <c r="M780" s="84"/>
      <c r="N780" s="30"/>
      <c r="O780" s="39"/>
      <c r="P780" s="30"/>
      <c r="Q780" s="50"/>
      <c r="R780" s="49"/>
    </row>
    <row r="781" spans="1:18" ht="15.75" customHeight="1" x14ac:dyDescent="0.3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84"/>
      <c r="M781" s="84"/>
      <c r="N781" s="30"/>
      <c r="O781" s="39"/>
      <c r="P781" s="30"/>
      <c r="Q781" s="50"/>
      <c r="R781" s="49"/>
    </row>
    <row r="782" spans="1:18" ht="15.75" customHeight="1" x14ac:dyDescent="0.3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84"/>
      <c r="M782" s="84"/>
      <c r="N782" s="30"/>
      <c r="O782" s="39"/>
      <c r="P782" s="30"/>
      <c r="Q782" s="50"/>
      <c r="R782" s="49"/>
    </row>
    <row r="783" spans="1:18" ht="15.75" customHeight="1" x14ac:dyDescent="0.3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84"/>
      <c r="M783" s="84"/>
      <c r="N783" s="30"/>
      <c r="O783" s="39"/>
      <c r="P783" s="30"/>
      <c r="Q783" s="50"/>
      <c r="R783" s="49"/>
    </row>
    <row r="784" spans="1:18" ht="15.75" customHeight="1" x14ac:dyDescent="0.3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84"/>
      <c r="M784" s="84"/>
      <c r="N784" s="30"/>
      <c r="O784" s="39"/>
      <c r="P784" s="30"/>
      <c r="Q784" s="50"/>
      <c r="R784" s="49"/>
    </row>
    <row r="785" spans="1:18" ht="15.75" customHeight="1" x14ac:dyDescent="0.3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84"/>
      <c r="M785" s="84"/>
      <c r="N785" s="30"/>
      <c r="O785" s="39"/>
      <c r="P785" s="30"/>
      <c r="Q785" s="50"/>
      <c r="R785" s="49"/>
    </row>
    <row r="786" spans="1:18" ht="15.75" customHeight="1" x14ac:dyDescent="0.3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84"/>
      <c r="M786" s="84"/>
      <c r="N786" s="30"/>
      <c r="O786" s="39"/>
      <c r="P786" s="30"/>
      <c r="Q786" s="50"/>
      <c r="R786" s="49"/>
    </row>
    <row r="787" spans="1:18" ht="15.75" customHeight="1" x14ac:dyDescent="0.3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84"/>
      <c r="M787" s="84"/>
      <c r="N787" s="30"/>
      <c r="O787" s="39"/>
      <c r="P787" s="30"/>
      <c r="Q787" s="50"/>
      <c r="R787" s="49"/>
    </row>
    <row r="788" spans="1:18" ht="15.75" customHeight="1" x14ac:dyDescent="0.3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84"/>
      <c r="M788" s="84"/>
      <c r="N788" s="30"/>
      <c r="O788" s="39"/>
      <c r="P788" s="30"/>
      <c r="Q788" s="50"/>
      <c r="R788" s="49"/>
    </row>
    <row r="789" spans="1:18" ht="15.75" customHeight="1" x14ac:dyDescent="0.3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84"/>
      <c r="M789" s="84"/>
      <c r="N789" s="30"/>
      <c r="O789" s="39"/>
      <c r="P789" s="30"/>
      <c r="Q789" s="50"/>
      <c r="R789" s="49"/>
    </row>
    <row r="790" spans="1:18" ht="15.75" customHeight="1" x14ac:dyDescent="0.3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84"/>
      <c r="M790" s="84"/>
      <c r="N790" s="30"/>
      <c r="O790" s="39"/>
      <c r="P790" s="30"/>
      <c r="Q790" s="50"/>
      <c r="R790" s="49"/>
    </row>
    <row r="791" spans="1:18" ht="15.75" customHeight="1" x14ac:dyDescent="0.3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84"/>
      <c r="M791" s="84"/>
      <c r="N791" s="30"/>
      <c r="O791" s="39"/>
      <c r="P791" s="30"/>
      <c r="Q791" s="50"/>
      <c r="R791" s="49"/>
    </row>
    <row r="792" spans="1:18" ht="15.75" customHeight="1" x14ac:dyDescent="0.3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84"/>
      <c r="M792" s="84"/>
      <c r="N792" s="30"/>
      <c r="O792" s="39"/>
      <c r="P792" s="30"/>
      <c r="Q792" s="50"/>
      <c r="R792" s="49"/>
    </row>
    <row r="793" spans="1:18" ht="15.75" customHeight="1" x14ac:dyDescent="0.3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84"/>
      <c r="M793" s="84"/>
      <c r="N793" s="30"/>
      <c r="O793" s="39"/>
      <c r="P793" s="30"/>
      <c r="Q793" s="50"/>
      <c r="R793" s="49"/>
    </row>
    <row r="794" spans="1:18" ht="15.75" customHeight="1" x14ac:dyDescent="0.3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84"/>
      <c r="M794" s="84"/>
      <c r="N794" s="30"/>
      <c r="O794" s="39"/>
      <c r="P794" s="30"/>
      <c r="Q794" s="50"/>
      <c r="R794" s="49"/>
    </row>
    <row r="795" spans="1:18" ht="15.75" customHeight="1" x14ac:dyDescent="0.3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84"/>
      <c r="M795" s="84"/>
      <c r="N795" s="30"/>
      <c r="O795" s="39"/>
      <c r="P795" s="30"/>
      <c r="Q795" s="50"/>
      <c r="R795" s="49"/>
    </row>
    <row r="796" spans="1:18" ht="15.75" customHeight="1" x14ac:dyDescent="0.3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84"/>
      <c r="M796" s="84"/>
      <c r="N796" s="30"/>
      <c r="O796" s="39"/>
      <c r="P796" s="30"/>
      <c r="Q796" s="50"/>
      <c r="R796" s="49"/>
    </row>
    <row r="797" spans="1:18" ht="15.75" customHeight="1" x14ac:dyDescent="0.3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84"/>
      <c r="M797" s="84"/>
      <c r="N797" s="30"/>
      <c r="O797" s="39"/>
      <c r="P797" s="30"/>
      <c r="Q797" s="50"/>
      <c r="R797" s="49"/>
    </row>
    <row r="798" spans="1:18" ht="15.75" customHeight="1" x14ac:dyDescent="0.3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84"/>
      <c r="M798" s="84"/>
      <c r="N798" s="30"/>
      <c r="O798" s="39"/>
      <c r="P798" s="30"/>
      <c r="Q798" s="50"/>
      <c r="R798" s="49"/>
    </row>
    <row r="799" spans="1:18" ht="15.75" customHeight="1" x14ac:dyDescent="0.3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84"/>
      <c r="M799" s="84"/>
      <c r="N799" s="30"/>
      <c r="O799" s="39"/>
      <c r="P799" s="30"/>
      <c r="Q799" s="50"/>
      <c r="R799" s="49"/>
    </row>
    <row r="800" spans="1:18" ht="15.75" customHeight="1" x14ac:dyDescent="0.3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84"/>
      <c r="M800" s="84"/>
      <c r="N800" s="30"/>
      <c r="O800" s="39"/>
      <c r="P800" s="30"/>
      <c r="Q800" s="50"/>
      <c r="R800" s="49"/>
    </row>
    <row r="801" spans="1:18" ht="15.75" customHeight="1" x14ac:dyDescent="0.3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84"/>
      <c r="M801" s="84"/>
      <c r="N801" s="30"/>
      <c r="O801" s="39"/>
      <c r="P801" s="30"/>
      <c r="Q801" s="50"/>
      <c r="R801" s="49"/>
    </row>
    <row r="802" spans="1:18" ht="15.75" customHeight="1" x14ac:dyDescent="0.3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84"/>
      <c r="M802" s="84"/>
      <c r="N802" s="30"/>
      <c r="O802" s="39"/>
      <c r="P802" s="30"/>
      <c r="Q802" s="50"/>
      <c r="R802" s="49"/>
    </row>
    <row r="803" spans="1:18" ht="15.75" customHeight="1" x14ac:dyDescent="0.3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84"/>
      <c r="M803" s="84"/>
      <c r="N803" s="30"/>
      <c r="O803" s="39"/>
      <c r="P803" s="30"/>
      <c r="Q803" s="50"/>
      <c r="R803" s="49"/>
    </row>
    <row r="804" spans="1:18" ht="15.75" customHeight="1" x14ac:dyDescent="0.3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84"/>
      <c r="M804" s="84"/>
      <c r="N804" s="30"/>
      <c r="O804" s="39"/>
      <c r="P804" s="30"/>
      <c r="Q804" s="50"/>
      <c r="R804" s="49"/>
    </row>
    <row r="805" spans="1:18" ht="15.75" customHeight="1" x14ac:dyDescent="0.3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84"/>
      <c r="M805" s="84"/>
      <c r="N805" s="30"/>
      <c r="O805" s="39"/>
      <c r="P805" s="30"/>
      <c r="Q805" s="50"/>
      <c r="R805" s="49"/>
    </row>
    <row r="806" spans="1:18" ht="15.75" customHeight="1" x14ac:dyDescent="0.3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84"/>
      <c r="M806" s="84"/>
      <c r="N806" s="30"/>
      <c r="O806" s="39"/>
      <c r="P806" s="30"/>
      <c r="Q806" s="50"/>
      <c r="R806" s="49"/>
    </row>
    <row r="807" spans="1:18" ht="15.75" customHeight="1" x14ac:dyDescent="0.3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84"/>
      <c r="M807" s="84"/>
      <c r="N807" s="30"/>
      <c r="O807" s="39"/>
      <c r="P807" s="30"/>
      <c r="Q807" s="50"/>
      <c r="R807" s="49"/>
    </row>
    <row r="808" spans="1:18" ht="15.75" customHeight="1" x14ac:dyDescent="0.3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84"/>
      <c r="M808" s="84"/>
      <c r="N808" s="30"/>
      <c r="O808" s="39"/>
      <c r="P808" s="30"/>
      <c r="Q808" s="50"/>
      <c r="R808" s="49"/>
    </row>
    <row r="809" spans="1:18" ht="15.75" customHeight="1" x14ac:dyDescent="0.3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84"/>
      <c r="M809" s="84"/>
      <c r="N809" s="30"/>
      <c r="O809" s="39"/>
      <c r="P809" s="30"/>
      <c r="Q809" s="50"/>
      <c r="R809" s="49"/>
    </row>
    <row r="810" spans="1:18" ht="15.75" customHeight="1" x14ac:dyDescent="0.3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84"/>
      <c r="M810" s="84"/>
      <c r="N810" s="30"/>
      <c r="O810" s="39"/>
      <c r="P810" s="30"/>
      <c r="Q810" s="50"/>
      <c r="R810" s="49"/>
    </row>
    <row r="811" spans="1:18" ht="15.75" customHeight="1" x14ac:dyDescent="0.3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84"/>
      <c r="M811" s="84"/>
      <c r="N811" s="30"/>
      <c r="O811" s="39"/>
      <c r="P811" s="30"/>
      <c r="Q811" s="50"/>
      <c r="R811" s="49"/>
    </row>
    <row r="812" spans="1:18" ht="15.75" customHeight="1" x14ac:dyDescent="0.3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84"/>
      <c r="M812" s="84"/>
      <c r="N812" s="30"/>
      <c r="O812" s="39"/>
      <c r="P812" s="30"/>
      <c r="Q812" s="50"/>
      <c r="R812" s="49"/>
    </row>
    <row r="813" spans="1:18" ht="15.75" customHeight="1" x14ac:dyDescent="0.3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84"/>
      <c r="M813" s="84"/>
      <c r="N813" s="30"/>
      <c r="O813" s="39"/>
      <c r="P813" s="30"/>
      <c r="Q813" s="50"/>
      <c r="R813" s="49"/>
    </row>
    <row r="814" spans="1:18" ht="15.75" customHeight="1" x14ac:dyDescent="0.3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84"/>
      <c r="M814" s="84"/>
      <c r="N814" s="30"/>
      <c r="O814" s="39"/>
      <c r="P814" s="30"/>
      <c r="Q814" s="50"/>
      <c r="R814" s="49"/>
    </row>
    <row r="815" spans="1:18" ht="15.75" customHeight="1" x14ac:dyDescent="0.3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84"/>
      <c r="M815" s="84"/>
      <c r="N815" s="30"/>
      <c r="O815" s="39"/>
      <c r="P815" s="30"/>
      <c r="Q815" s="50"/>
      <c r="R815" s="49"/>
    </row>
    <row r="816" spans="1:18" ht="15.75" customHeight="1" x14ac:dyDescent="0.3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84"/>
      <c r="M816" s="84"/>
      <c r="N816" s="30"/>
      <c r="O816" s="39"/>
      <c r="P816" s="30"/>
      <c r="Q816" s="50"/>
      <c r="R816" s="49"/>
    </row>
    <row r="817" spans="1:18" ht="15.75" customHeight="1" x14ac:dyDescent="0.3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84"/>
      <c r="M817" s="84"/>
      <c r="N817" s="30"/>
      <c r="O817" s="39"/>
      <c r="P817" s="30"/>
      <c r="Q817" s="50"/>
      <c r="R817" s="49"/>
    </row>
    <row r="818" spans="1:18" ht="15.75" customHeight="1" x14ac:dyDescent="0.3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84"/>
      <c r="M818" s="84"/>
      <c r="N818" s="30"/>
      <c r="O818" s="39"/>
      <c r="P818" s="30"/>
      <c r="Q818" s="50"/>
      <c r="R818" s="49"/>
    </row>
    <row r="819" spans="1:18" ht="15.75" customHeight="1" x14ac:dyDescent="0.3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84"/>
      <c r="M819" s="84"/>
      <c r="N819" s="30"/>
      <c r="O819" s="39"/>
      <c r="P819" s="30"/>
      <c r="Q819" s="50"/>
      <c r="R819" s="49"/>
    </row>
    <row r="820" spans="1:18" ht="15.75" customHeight="1" x14ac:dyDescent="0.3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84"/>
      <c r="M820" s="84"/>
      <c r="N820" s="30"/>
      <c r="O820" s="39"/>
      <c r="P820" s="30"/>
      <c r="Q820" s="50"/>
      <c r="R820" s="49"/>
    </row>
    <row r="821" spans="1:18" ht="15.75" customHeight="1" x14ac:dyDescent="0.3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84"/>
      <c r="M821" s="84"/>
      <c r="N821" s="30"/>
      <c r="O821" s="39"/>
      <c r="P821" s="30"/>
      <c r="Q821" s="50"/>
      <c r="R821" s="49"/>
    </row>
    <row r="822" spans="1:18" ht="15.75" customHeight="1" x14ac:dyDescent="0.3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84"/>
      <c r="M822" s="84"/>
      <c r="N822" s="30"/>
      <c r="O822" s="39"/>
      <c r="P822" s="30"/>
      <c r="Q822" s="50"/>
      <c r="R822" s="49"/>
    </row>
    <row r="823" spans="1:18" ht="15.75" customHeight="1" x14ac:dyDescent="0.3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84"/>
      <c r="M823" s="84"/>
      <c r="N823" s="30"/>
      <c r="O823" s="39"/>
      <c r="P823" s="30"/>
      <c r="Q823" s="50"/>
      <c r="R823" s="49"/>
    </row>
    <row r="824" spans="1:18" ht="15.75" customHeight="1" x14ac:dyDescent="0.3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84"/>
      <c r="M824" s="84"/>
      <c r="N824" s="30"/>
      <c r="O824" s="39"/>
      <c r="P824" s="30"/>
      <c r="Q824" s="50"/>
      <c r="R824" s="49"/>
    </row>
    <row r="825" spans="1:18" ht="15.75" customHeight="1" x14ac:dyDescent="0.3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84"/>
      <c r="M825" s="84"/>
      <c r="N825" s="30"/>
      <c r="O825" s="39"/>
      <c r="P825" s="30"/>
      <c r="Q825" s="50"/>
      <c r="R825" s="49"/>
    </row>
    <row r="826" spans="1:18" ht="15.75" customHeight="1" x14ac:dyDescent="0.3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84"/>
      <c r="M826" s="84"/>
      <c r="N826" s="30"/>
      <c r="O826" s="39"/>
      <c r="P826" s="30"/>
      <c r="Q826" s="50"/>
      <c r="R826" s="49"/>
    </row>
    <row r="827" spans="1:18" ht="15.75" customHeight="1" x14ac:dyDescent="0.3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84"/>
      <c r="M827" s="84"/>
      <c r="N827" s="30"/>
      <c r="O827" s="39"/>
      <c r="P827" s="30"/>
      <c r="Q827" s="50"/>
      <c r="R827" s="49"/>
    </row>
    <row r="828" spans="1:18" ht="15.75" customHeight="1" x14ac:dyDescent="0.3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84"/>
      <c r="M828" s="84"/>
      <c r="N828" s="30"/>
      <c r="O828" s="39"/>
      <c r="P828" s="30"/>
      <c r="Q828" s="50"/>
      <c r="R828" s="49"/>
    </row>
    <row r="829" spans="1:18" ht="15.75" customHeight="1" x14ac:dyDescent="0.3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84"/>
      <c r="M829" s="84"/>
      <c r="N829" s="30"/>
      <c r="O829" s="39"/>
      <c r="P829" s="30"/>
      <c r="Q829" s="50"/>
      <c r="R829" s="49"/>
    </row>
    <row r="830" spans="1:18" ht="15.75" customHeight="1" x14ac:dyDescent="0.3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84"/>
      <c r="M830" s="84"/>
      <c r="N830" s="30"/>
      <c r="O830" s="39"/>
      <c r="P830" s="30"/>
      <c r="Q830" s="50"/>
      <c r="R830" s="49"/>
    </row>
    <row r="831" spans="1:18" ht="15.75" customHeight="1" x14ac:dyDescent="0.3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84"/>
      <c r="M831" s="84"/>
      <c r="N831" s="30"/>
      <c r="O831" s="39"/>
      <c r="P831" s="30"/>
      <c r="Q831" s="50"/>
      <c r="R831" s="49"/>
    </row>
    <row r="832" spans="1:18" ht="15.75" customHeight="1" x14ac:dyDescent="0.3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84"/>
      <c r="M832" s="84"/>
      <c r="N832" s="30"/>
      <c r="O832" s="39"/>
      <c r="P832" s="30"/>
      <c r="Q832" s="50"/>
      <c r="R832" s="49"/>
    </row>
    <row r="833" spans="1:18" ht="15.75" customHeight="1" x14ac:dyDescent="0.3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84"/>
      <c r="M833" s="84"/>
      <c r="N833" s="30"/>
      <c r="O833" s="39"/>
      <c r="P833" s="30"/>
      <c r="Q833" s="50"/>
      <c r="R833" s="49"/>
    </row>
    <row r="834" spans="1:18" ht="15.75" customHeight="1" x14ac:dyDescent="0.3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84"/>
      <c r="M834" s="84"/>
      <c r="N834" s="30"/>
      <c r="O834" s="39"/>
      <c r="P834" s="30"/>
      <c r="Q834" s="50"/>
      <c r="R834" s="49"/>
    </row>
    <row r="835" spans="1:18" ht="15.75" customHeight="1" x14ac:dyDescent="0.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84"/>
      <c r="M835" s="84"/>
      <c r="N835" s="30"/>
      <c r="O835" s="39"/>
      <c r="P835" s="30"/>
      <c r="Q835" s="50"/>
      <c r="R835" s="49"/>
    </row>
    <row r="836" spans="1:18" ht="15.75" customHeight="1" x14ac:dyDescent="0.3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84"/>
      <c r="M836" s="84"/>
      <c r="N836" s="30"/>
      <c r="O836" s="39"/>
      <c r="P836" s="30"/>
      <c r="Q836" s="50"/>
      <c r="R836" s="49"/>
    </row>
    <row r="837" spans="1:18" ht="15.75" customHeight="1" x14ac:dyDescent="0.3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84"/>
      <c r="M837" s="84"/>
      <c r="N837" s="30"/>
      <c r="O837" s="39"/>
      <c r="P837" s="30"/>
      <c r="Q837" s="50"/>
      <c r="R837" s="49"/>
    </row>
    <row r="838" spans="1:18" ht="15.75" customHeight="1" x14ac:dyDescent="0.3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84"/>
      <c r="M838" s="84"/>
      <c r="N838" s="30"/>
      <c r="O838" s="39"/>
      <c r="P838" s="30"/>
      <c r="Q838" s="50"/>
      <c r="R838" s="49"/>
    </row>
    <row r="839" spans="1:18" ht="15.75" customHeight="1" x14ac:dyDescent="0.3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84"/>
      <c r="M839" s="84"/>
      <c r="N839" s="30"/>
      <c r="O839" s="39"/>
      <c r="P839" s="30"/>
      <c r="Q839" s="50"/>
      <c r="R839" s="49"/>
    </row>
    <row r="840" spans="1:18" ht="15.75" customHeight="1" x14ac:dyDescent="0.3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84"/>
      <c r="M840" s="84"/>
      <c r="N840" s="30"/>
      <c r="O840" s="39"/>
      <c r="P840" s="30"/>
      <c r="Q840" s="50"/>
      <c r="R840" s="49"/>
    </row>
    <row r="841" spans="1:18" ht="15.75" customHeight="1" x14ac:dyDescent="0.3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84"/>
      <c r="M841" s="84"/>
      <c r="N841" s="30"/>
      <c r="O841" s="39"/>
      <c r="P841" s="30"/>
      <c r="Q841" s="50"/>
      <c r="R841" s="49"/>
    </row>
    <row r="842" spans="1:18" ht="15.75" customHeight="1" x14ac:dyDescent="0.3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84"/>
      <c r="M842" s="84"/>
      <c r="N842" s="30"/>
      <c r="O842" s="39"/>
      <c r="P842" s="30"/>
      <c r="Q842" s="50"/>
      <c r="R842" s="49"/>
    </row>
    <row r="843" spans="1:18" ht="15.75" customHeight="1" x14ac:dyDescent="0.3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84"/>
      <c r="M843" s="84"/>
      <c r="N843" s="30"/>
      <c r="O843" s="39"/>
      <c r="P843" s="30"/>
      <c r="Q843" s="50"/>
      <c r="R843" s="49"/>
    </row>
    <row r="844" spans="1:18" ht="15.75" customHeight="1" x14ac:dyDescent="0.3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84"/>
      <c r="M844" s="84"/>
      <c r="N844" s="30"/>
      <c r="O844" s="39"/>
      <c r="P844" s="30"/>
      <c r="Q844" s="50"/>
      <c r="R844" s="49"/>
    </row>
    <row r="845" spans="1:18" ht="15.75" customHeight="1" x14ac:dyDescent="0.3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84"/>
      <c r="M845" s="84"/>
      <c r="N845" s="30"/>
      <c r="O845" s="39"/>
      <c r="P845" s="30"/>
      <c r="Q845" s="50"/>
      <c r="R845" s="49"/>
    </row>
    <row r="846" spans="1:18" ht="15.75" customHeight="1" x14ac:dyDescent="0.3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84"/>
      <c r="M846" s="84"/>
      <c r="N846" s="30"/>
      <c r="O846" s="39"/>
      <c r="P846" s="30"/>
      <c r="Q846" s="50"/>
      <c r="R846" s="49"/>
    </row>
    <row r="847" spans="1:18" ht="15.75" customHeight="1" x14ac:dyDescent="0.3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84"/>
      <c r="M847" s="84"/>
      <c r="N847" s="30"/>
      <c r="O847" s="39"/>
      <c r="P847" s="30"/>
      <c r="Q847" s="50"/>
      <c r="R847" s="49"/>
    </row>
    <row r="848" spans="1:18" ht="15.75" customHeight="1" x14ac:dyDescent="0.3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84"/>
      <c r="M848" s="84"/>
      <c r="N848" s="30"/>
      <c r="O848" s="39"/>
      <c r="P848" s="30"/>
      <c r="Q848" s="50"/>
      <c r="R848" s="49"/>
    </row>
    <row r="849" spans="1:18" ht="15.75" customHeight="1" x14ac:dyDescent="0.3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84"/>
      <c r="M849" s="84"/>
      <c r="N849" s="30"/>
      <c r="O849" s="39"/>
      <c r="P849" s="30"/>
      <c r="Q849" s="50"/>
      <c r="R849" s="49"/>
    </row>
    <row r="850" spans="1:18" ht="15.75" customHeight="1" x14ac:dyDescent="0.3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84"/>
      <c r="M850" s="84"/>
      <c r="N850" s="30"/>
      <c r="O850" s="39"/>
      <c r="P850" s="30"/>
      <c r="Q850" s="50"/>
      <c r="R850" s="49"/>
    </row>
    <row r="851" spans="1:18" ht="15.75" customHeight="1" x14ac:dyDescent="0.3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84"/>
      <c r="M851" s="84"/>
      <c r="N851" s="30"/>
      <c r="O851" s="39"/>
      <c r="P851" s="30"/>
      <c r="Q851" s="50"/>
      <c r="R851" s="49"/>
    </row>
    <row r="852" spans="1:18" ht="15.75" customHeight="1" x14ac:dyDescent="0.3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84"/>
      <c r="M852" s="84"/>
      <c r="N852" s="30"/>
      <c r="O852" s="39"/>
      <c r="P852" s="30"/>
      <c r="Q852" s="50"/>
      <c r="R852" s="49"/>
    </row>
    <row r="853" spans="1:18" ht="15.75" customHeight="1" x14ac:dyDescent="0.3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84"/>
      <c r="M853" s="84"/>
      <c r="N853" s="30"/>
      <c r="O853" s="39"/>
      <c r="P853" s="30"/>
      <c r="Q853" s="50"/>
      <c r="R853" s="49"/>
    </row>
    <row r="854" spans="1:18" ht="15.75" customHeight="1" x14ac:dyDescent="0.3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84"/>
      <c r="M854" s="84"/>
      <c r="N854" s="30"/>
      <c r="O854" s="39"/>
      <c r="P854" s="30"/>
      <c r="Q854" s="50"/>
      <c r="R854" s="49"/>
    </row>
    <row r="855" spans="1:18" ht="15.75" customHeight="1" x14ac:dyDescent="0.3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84"/>
      <c r="M855" s="84"/>
      <c r="N855" s="30"/>
      <c r="O855" s="39"/>
      <c r="P855" s="30"/>
      <c r="Q855" s="50"/>
      <c r="R855" s="49"/>
    </row>
    <row r="856" spans="1:18" ht="15.75" customHeight="1" x14ac:dyDescent="0.3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84"/>
      <c r="M856" s="84"/>
      <c r="N856" s="30"/>
      <c r="O856" s="39"/>
      <c r="P856" s="30"/>
      <c r="Q856" s="50"/>
      <c r="R856" s="49"/>
    </row>
    <row r="857" spans="1:18" ht="15.75" customHeight="1" x14ac:dyDescent="0.3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84"/>
      <c r="M857" s="84"/>
      <c r="N857" s="30"/>
      <c r="O857" s="39"/>
      <c r="P857" s="30"/>
      <c r="Q857" s="50"/>
      <c r="R857" s="49"/>
    </row>
    <row r="858" spans="1:18" ht="15.75" customHeight="1" x14ac:dyDescent="0.3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84"/>
      <c r="M858" s="84"/>
      <c r="N858" s="30"/>
      <c r="O858" s="39"/>
      <c r="P858" s="30"/>
      <c r="Q858" s="50"/>
      <c r="R858" s="49"/>
    </row>
    <row r="859" spans="1:18" ht="15.75" customHeight="1" x14ac:dyDescent="0.3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84"/>
      <c r="M859" s="84"/>
      <c r="N859" s="30"/>
      <c r="O859" s="39"/>
      <c r="P859" s="30"/>
      <c r="Q859" s="50"/>
      <c r="R859" s="49"/>
    </row>
    <row r="860" spans="1:18" ht="15.75" customHeight="1" x14ac:dyDescent="0.3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84"/>
      <c r="M860" s="84"/>
      <c r="N860" s="30"/>
      <c r="O860" s="39"/>
      <c r="P860" s="30"/>
      <c r="Q860" s="50"/>
      <c r="R860" s="49"/>
    </row>
    <row r="861" spans="1:18" ht="15.75" customHeight="1" x14ac:dyDescent="0.3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84"/>
      <c r="M861" s="84"/>
      <c r="N861" s="30"/>
      <c r="O861" s="39"/>
      <c r="P861" s="30"/>
      <c r="Q861" s="50"/>
      <c r="R861" s="49"/>
    </row>
    <row r="862" spans="1:18" ht="15.75" customHeight="1" x14ac:dyDescent="0.3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84"/>
      <c r="M862" s="84"/>
      <c r="N862" s="30"/>
      <c r="O862" s="39"/>
      <c r="P862" s="30"/>
      <c r="Q862" s="50"/>
      <c r="R862" s="49"/>
    </row>
    <row r="863" spans="1:18" ht="15.75" customHeight="1" x14ac:dyDescent="0.3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84"/>
      <c r="M863" s="84"/>
      <c r="N863" s="30"/>
      <c r="O863" s="39"/>
      <c r="P863" s="30"/>
      <c r="Q863" s="50"/>
      <c r="R863" s="49"/>
    </row>
    <row r="864" spans="1:18" ht="15.75" customHeight="1" x14ac:dyDescent="0.3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84"/>
      <c r="M864" s="84"/>
      <c r="N864" s="30"/>
      <c r="O864" s="39"/>
      <c r="P864" s="30"/>
      <c r="Q864" s="50"/>
      <c r="R864" s="49"/>
    </row>
    <row r="865" spans="1:18" ht="15.75" customHeight="1" x14ac:dyDescent="0.3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84"/>
      <c r="M865" s="84"/>
      <c r="N865" s="30"/>
      <c r="O865" s="39"/>
      <c r="P865" s="30"/>
      <c r="Q865" s="50"/>
      <c r="R865" s="49"/>
    </row>
    <row r="866" spans="1:18" ht="15.75" customHeight="1" x14ac:dyDescent="0.3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84"/>
      <c r="M866" s="84"/>
      <c r="N866" s="30"/>
      <c r="O866" s="39"/>
      <c r="P866" s="30"/>
      <c r="Q866" s="50"/>
      <c r="R866" s="49"/>
    </row>
    <row r="867" spans="1:18" ht="15.75" customHeight="1" x14ac:dyDescent="0.3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84"/>
      <c r="M867" s="84"/>
      <c r="N867" s="30"/>
      <c r="O867" s="39"/>
      <c r="P867" s="30"/>
      <c r="Q867" s="50"/>
      <c r="R867" s="49"/>
    </row>
    <row r="868" spans="1:18" ht="15.75" customHeight="1" x14ac:dyDescent="0.3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84"/>
      <c r="M868" s="84"/>
      <c r="N868" s="30"/>
      <c r="O868" s="39"/>
      <c r="P868" s="30"/>
      <c r="Q868" s="50"/>
      <c r="R868" s="49"/>
    </row>
    <row r="869" spans="1:18" ht="15.75" customHeight="1" x14ac:dyDescent="0.3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84"/>
      <c r="M869" s="84"/>
      <c r="N869" s="30"/>
      <c r="O869" s="39"/>
      <c r="P869" s="30"/>
      <c r="Q869" s="50"/>
      <c r="R869" s="49"/>
    </row>
    <row r="870" spans="1:18" ht="15.75" customHeight="1" x14ac:dyDescent="0.3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84"/>
      <c r="M870" s="84"/>
      <c r="N870" s="30"/>
      <c r="O870" s="39"/>
      <c r="P870" s="30"/>
      <c r="Q870" s="50"/>
      <c r="R870" s="49"/>
    </row>
    <row r="871" spans="1:18" ht="15.75" customHeight="1" x14ac:dyDescent="0.3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84"/>
      <c r="M871" s="84"/>
      <c r="N871" s="30"/>
      <c r="O871" s="39"/>
      <c r="P871" s="30"/>
      <c r="Q871" s="50"/>
      <c r="R871" s="49"/>
    </row>
    <row r="872" spans="1:18" ht="15.75" customHeight="1" x14ac:dyDescent="0.3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84"/>
      <c r="M872" s="84"/>
      <c r="N872" s="30"/>
      <c r="O872" s="39"/>
      <c r="P872" s="30"/>
      <c r="Q872" s="50"/>
      <c r="R872" s="49"/>
    </row>
    <row r="873" spans="1:18" ht="15.75" customHeight="1" x14ac:dyDescent="0.3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84"/>
      <c r="M873" s="84"/>
      <c r="N873" s="30"/>
      <c r="O873" s="39"/>
      <c r="P873" s="30"/>
      <c r="Q873" s="50"/>
      <c r="R873" s="49"/>
    </row>
    <row r="874" spans="1:18" ht="15.75" customHeight="1" x14ac:dyDescent="0.3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84"/>
      <c r="M874" s="84"/>
      <c r="N874" s="30"/>
      <c r="O874" s="39"/>
      <c r="P874" s="30"/>
      <c r="Q874" s="50"/>
      <c r="R874" s="49"/>
    </row>
    <row r="875" spans="1:18" ht="15.75" customHeight="1" x14ac:dyDescent="0.3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84"/>
      <c r="M875" s="84"/>
      <c r="N875" s="30"/>
      <c r="O875" s="39"/>
      <c r="P875" s="30"/>
      <c r="Q875" s="50"/>
      <c r="R875" s="49"/>
    </row>
    <row r="876" spans="1:18" ht="15.75" customHeight="1" x14ac:dyDescent="0.3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84"/>
      <c r="M876" s="84"/>
      <c r="N876" s="30"/>
      <c r="O876" s="39"/>
      <c r="P876" s="30"/>
      <c r="Q876" s="50"/>
      <c r="R876" s="49"/>
    </row>
    <row r="877" spans="1:18" ht="15.75" customHeight="1" x14ac:dyDescent="0.3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84"/>
      <c r="M877" s="84"/>
      <c r="N877" s="30"/>
      <c r="O877" s="39"/>
      <c r="P877" s="30"/>
      <c r="Q877" s="50"/>
      <c r="R877" s="49"/>
    </row>
    <row r="878" spans="1:18" ht="15.75" customHeight="1" x14ac:dyDescent="0.3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84"/>
      <c r="M878" s="84"/>
      <c r="N878" s="30"/>
      <c r="O878" s="39"/>
      <c r="P878" s="30"/>
      <c r="Q878" s="50"/>
      <c r="R878" s="49"/>
    </row>
    <row r="879" spans="1:18" ht="15.75" customHeight="1" x14ac:dyDescent="0.3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84"/>
      <c r="M879" s="84"/>
      <c r="N879" s="30"/>
      <c r="O879" s="39"/>
      <c r="P879" s="30"/>
      <c r="Q879" s="50"/>
      <c r="R879" s="49"/>
    </row>
    <row r="880" spans="1:18" ht="15.75" customHeight="1" x14ac:dyDescent="0.3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84"/>
      <c r="M880" s="84"/>
      <c r="N880" s="30"/>
      <c r="O880" s="39"/>
      <c r="P880" s="30"/>
      <c r="Q880" s="50"/>
      <c r="R880" s="49"/>
    </row>
    <row r="881" spans="1:18" ht="15.75" customHeight="1" x14ac:dyDescent="0.3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84"/>
      <c r="M881" s="84"/>
      <c r="N881" s="30"/>
      <c r="O881" s="39"/>
      <c r="P881" s="30"/>
      <c r="Q881" s="50"/>
      <c r="R881" s="49"/>
    </row>
    <row r="882" spans="1:18" ht="15.75" customHeight="1" x14ac:dyDescent="0.3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84"/>
      <c r="M882" s="84"/>
      <c r="N882" s="30"/>
      <c r="O882" s="39"/>
      <c r="P882" s="30"/>
      <c r="Q882" s="50"/>
      <c r="R882" s="49"/>
    </row>
    <row r="883" spans="1:18" ht="15.75" customHeight="1" x14ac:dyDescent="0.3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84"/>
      <c r="M883" s="84"/>
      <c r="N883" s="30"/>
      <c r="O883" s="39"/>
      <c r="P883" s="30"/>
      <c r="Q883" s="50"/>
      <c r="R883" s="49"/>
    </row>
    <row r="884" spans="1:18" ht="15.75" customHeight="1" x14ac:dyDescent="0.3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84"/>
      <c r="M884" s="84"/>
      <c r="N884" s="30"/>
      <c r="O884" s="39"/>
      <c r="P884" s="30"/>
      <c r="Q884" s="50"/>
      <c r="R884" s="49"/>
    </row>
    <row r="885" spans="1:18" ht="15.75" customHeight="1" x14ac:dyDescent="0.3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84"/>
      <c r="M885" s="84"/>
      <c r="N885" s="30"/>
      <c r="O885" s="39"/>
      <c r="P885" s="30"/>
      <c r="Q885" s="50"/>
      <c r="R885" s="49"/>
    </row>
    <row r="886" spans="1:18" ht="15.75" customHeight="1" x14ac:dyDescent="0.3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84"/>
      <c r="M886" s="84"/>
      <c r="N886" s="30"/>
      <c r="O886" s="39"/>
      <c r="P886" s="30"/>
      <c r="Q886" s="50"/>
      <c r="R886" s="49"/>
    </row>
    <row r="887" spans="1:18" ht="15.75" customHeight="1" x14ac:dyDescent="0.3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84"/>
      <c r="M887" s="84"/>
      <c r="N887" s="30"/>
      <c r="O887" s="39"/>
      <c r="P887" s="30"/>
      <c r="Q887" s="50"/>
      <c r="R887" s="49"/>
    </row>
    <row r="888" spans="1:18" ht="15.75" customHeight="1" x14ac:dyDescent="0.3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84"/>
      <c r="M888" s="84"/>
      <c r="N888" s="30"/>
      <c r="O888" s="39"/>
      <c r="P888" s="30"/>
      <c r="Q888" s="50"/>
      <c r="R888" s="49"/>
    </row>
    <row r="889" spans="1:18" ht="15.75" customHeight="1" x14ac:dyDescent="0.3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84"/>
      <c r="M889" s="84"/>
      <c r="N889" s="30"/>
      <c r="O889" s="39"/>
      <c r="P889" s="30"/>
      <c r="Q889" s="50"/>
      <c r="R889" s="49"/>
    </row>
    <row r="890" spans="1:18" ht="15.75" customHeight="1" x14ac:dyDescent="0.3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84"/>
      <c r="M890" s="84"/>
      <c r="N890" s="30"/>
      <c r="O890" s="39"/>
      <c r="P890" s="30"/>
      <c r="Q890" s="50"/>
      <c r="R890" s="49"/>
    </row>
    <row r="891" spans="1:18" ht="15.75" customHeight="1" x14ac:dyDescent="0.3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84"/>
      <c r="M891" s="84"/>
      <c r="N891" s="30"/>
      <c r="O891" s="39"/>
      <c r="P891" s="30"/>
      <c r="Q891" s="50"/>
      <c r="R891" s="49"/>
    </row>
    <row r="892" spans="1:18" ht="15.75" customHeight="1" x14ac:dyDescent="0.3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84"/>
      <c r="M892" s="84"/>
      <c r="N892" s="30"/>
      <c r="O892" s="39"/>
      <c r="P892" s="30"/>
      <c r="Q892" s="50"/>
      <c r="R892" s="49"/>
    </row>
    <row r="893" spans="1:18" ht="15.75" customHeight="1" x14ac:dyDescent="0.3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84"/>
      <c r="M893" s="84"/>
      <c r="N893" s="30"/>
      <c r="O893" s="39"/>
      <c r="P893" s="30"/>
      <c r="Q893" s="50"/>
      <c r="R893" s="49"/>
    </row>
    <row r="894" spans="1:18" ht="15.75" customHeight="1" x14ac:dyDescent="0.3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84"/>
      <c r="M894" s="84"/>
      <c r="N894" s="30"/>
      <c r="O894" s="39"/>
      <c r="P894" s="30"/>
      <c r="Q894" s="50"/>
      <c r="R894" s="49"/>
    </row>
    <row r="895" spans="1:18" ht="15.75" customHeight="1" x14ac:dyDescent="0.3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84"/>
      <c r="M895" s="84"/>
      <c r="N895" s="30"/>
      <c r="O895" s="39"/>
      <c r="P895" s="30"/>
      <c r="Q895" s="50"/>
      <c r="R895" s="49"/>
    </row>
    <row r="896" spans="1:18" ht="15.75" customHeight="1" x14ac:dyDescent="0.3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84"/>
      <c r="M896" s="84"/>
      <c r="N896" s="30"/>
      <c r="O896" s="39"/>
      <c r="P896" s="30"/>
      <c r="Q896" s="50"/>
      <c r="R896" s="49"/>
    </row>
    <row r="897" spans="1:18" ht="15.75" customHeight="1" x14ac:dyDescent="0.3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84"/>
      <c r="M897" s="84"/>
      <c r="N897" s="30"/>
      <c r="O897" s="39"/>
      <c r="P897" s="30"/>
      <c r="Q897" s="50"/>
      <c r="R897" s="49"/>
    </row>
    <row r="898" spans="1:18" ht="15.75" customHeight="1" x14ac:dyDescent="0.3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84"/>
      <c r="M898" s="84"/>
      <c r="N898" s="30"/>
      <c r="O898" s="39"/>
      <c r="P898" s="30"/>
      <c r="Q898" s="50"/>
      <c r="R898" s="49"/>
    </row>
    <row r="899" spans="1:18" ht="15.75" customHeight="1" x14ac:dyDescent="0.3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84"/>
      <c r="M899" s="84"/>
      <c r="N899" s="30"/>
      <c r="O899" s="39"/>
      <c r="P899" s="30"/>
      <c r="Q899" s="50"/>
      <c r="R899" s="49"/>
    </row>
    <row r="900" spans="1:18" ht="15.75" customHeight="1" x14ac:dyDescent="0.3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84"/>
      <c r="M900" s="84"/>
      <c r="N900" s="30"/>
      <c r="O900" s="39"/>
      <c r="P900" s="30"/>
      <c r="Q900" s="50"/>
      <c r="R900" s="49"/>
    </row>
    <row r="901" spans="1:18" ht="15.75" customHeight="1" x14ac:dyDescent="0.3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84"/>
      <c r="M901" s="84"/>
      <c r="N901" s="30"/>
      <c r="O901" s="39"/>
      <c r="P901" s="30"/>
      <c r="Q901" s="50"/>
      <c r="R901" s="49"/>
    </row>
    <row r="902" spans="1:18" ht="15.75" customHeight="1" x14ac:dyDescent="0.3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84"/>
      <c r="M902" s="84"/>
      <c r="N902" s="30"/>
      <c r="O902" s="39"/>
      <c r="P902" s="30"/>
      <c r="Q902" s="50"/>
      <c r="R902" s="49"/>
    </row>
    <row r="903" spans="1:18" ht="15.75" customHeight="1" x14ac:dyDescent="0.3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84"/>
      <c r="M903" s="84"/>
      <c r="N903" s="30"/>
      <c r="O903" s="39"/>
      <c r="P903" s="30"/>
      <c r="Q903" s="50"/>
      <c r="R903" s="49"/>
    </row>
    <row r="904" spans="1:18" ht="15.75" customHeight="1" x14ac:dyDescent="0.3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84"/>
      <c r="M904" s="84"/>
      <c r="N904" s="30"/>
      <c r="O904" s="39"/>
      <c r="P904" s="30"/>
      <c r="Q904" s="50"/>
      <c r="R904" s="49"/>
    </row>
    <row r="905" spans="1:18" ht="15.75" customHeight="1" x14ac:dyDescent="0.3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84"/>
      <c r="M905" s="84"/>
      <c r="N905" s="30"/>
      <c r="O905" s="39"/>
      <c r="P905" s="30"/>
      <c r="Q905" s="50"/>
      <c r="R905" s="49"/>
    </row>
    <row r="906" spans="1:18" ht="15.75" customHeight="1" x14ac:dyDescent="0.3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84"/>
      <c r="M906" s="84"/>
      <c r="N906" s="30"/>
      <c r="O906" s="39"/>
      <c r="P906" s="30"/>
      <c r="Q906" s="50"/>
      <c r="R906" s="49"/>
    </row>
    <row r="907" spans="1:18" ht="15.75" customHeight="1" x14ac:dyDescent="0.3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84"/>
      <c r="M907" s="84"/>
      <c r="N907" s="30"/>
      <c r="O907" s="39"/>
      <c r="P907" s="30"/>
      <c r="Q907" s="50"/>
      <c r="R907" s="49"/>
    </row>
    <row r="908" spans="1:18" ht="15.75" customHeight="1" x14ac:dyDescent="0.3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84"/>
      <c r="M908" s="84"/>
      <c r="N908" s="30"/>
      <c r="O908" s="39"/>
      <c r="P908" s="30"/>
      <c r="Q908" s="50"/>
      <c r="R908" s="49"/>
    </row>
    <row r="909" spans="1:18" ht="15.75" customHeight="1" x14ac:dyDescent="0.3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84"/>
      <c r="M909" s="84"/>
      <c r="N909" s="30"/>
      <c r="O909" s="39"/>
      <c r="P909" s="30"/>
      <c r="Q909" s="50"/>
      <c r="R909" s="49"/>
    </row>
    <row r="910" spans="1:18" ht="15.75" customHeight="1" x14ac:dyDescent="0.3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84"/>
      <c r="M910" s="84"/>
      <c r="N910" s="30"/>
      <c r="O910" s="39"/>
      <c r="P910" s="30"/>
      <c r="Q910" s="50"/>
      <c r="R910" s="49"/>
    </row>
    <row r="911" spans="1:18" ht="15.75" customHeight="1" x14ac:dyDescent="0.3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84"/>
      <c r="M911" s="84"/>
      <c r="N911" s="30"/>
      <c r="O911" s="39"/>
      <c r="P911" s="30"/>
      <c r="Q911" s="50"/>
      <c r="R911" s="49"/>
    </row>
    <row r="912" spans="1:18" ht="15.75" customHeight="1" x14ac:dyDescent="0.3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84"/>
      <c r="M912" s="84"/>
      <c r="N912" s="30"/>
      <c r="O912" s="39"/>
      <c r="P912" s="30"/>
      <c r="Q912" s="50"/>
      <c r="R912" s="49"/>
    </row>
    <row r="913" spans="1:18" ht="15.75" customHeight="1" x14ac:dyDescent="0.3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84"/>
      <c r="M913" s="84"/>
      <c r="N913" s="30"/>
      <c r="O913" s="39"/>
      <c r="P913" s="30"/>
      <c r="Q913" s="50"/>
      <c r="R913" s="49"/>
    </row>
    <row r="914" spans="1:18" ht="15.75" customHeight="1" x14ac:dyDescent="0.3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84"/>
      <c r="M914" s="84"/>
      <c r="N914" s="30"/>
      <c r="O914" s="39"/>
      <c r="P914" s="30"/>
      <c r="Q914" s="50"/>
      <c r="R914" s="49"/>
    </row>
    <row r="915" spans="1:18" ht="15.75" customHeight="1" x14ac:dyDescent="0.3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84"/>
      <c r="M915" s="84"/>
      <c r="N915" s="30"/>
      <c r="O915" s="39"/>
      <c r="P915" s="30"/>
      <c r="Q915" s="50"/>
      <c r="R915" s="49"/>
    </row>
    <row r="916" spans="1:18" ht="15.75" customHeight="1" x14ac:dyDescent="0.3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84"/>
      <c r="M916" s="84"/>
      <c r="N916" s="30"/>
      <c r="O916" s="39"/>
      <c r="P916" s="30"/>
      <c r="Q916" s="50"/>
      <c r="R916" s="49"/>
    </row>
    <row r="917" spans="1:18" ht="15.75" customHeight="1" x14ac:dyDescent="0.3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84"/>
      <c r="M917" s="84"/>
      <c r="N917" s="30"/>
      <c r="O917" s="39"/>
      <c r="P917" s="30"/>
      <c r="Q917" s="50"/>
      <c r="R917" s="49"/>
    </row>
    <row r="918" spans="1:18" ht="15.75" customHeight="1" x14ac:dyDescent="0.3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84"/>
      <c r="M918" s="84"/>
      <c r="N918" s="30"/>
      <c r="O918" s="39"/>
      <c r="P918" s="30"/>
      <c r="Q918" s="50"/>
      <c r="R918" s="49"/>
    </row>
    <row r="919" spans="1:18" ht="15.75" customHeight="1" x14ac:dyDescent="0.3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84"/>
      <c r="M919" s="84"/>
      <c r="N919" s="30"/>
      <c r="O919" s="39"/>
      <c r="P919" s="30"/>
      <c r="Q919" s="50"/>
      <c r="R919" s="49"/>
    </row>
    <row r="920" spans="1:18" ht="15.75" customHeight="1" x14ac:dyDescent="0.3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84"/>
      <c r="M920" s="84"/>
      <c r="N920" s="30"/>
      <c r="O920" s="39"/>
      <c r="P920" s="30"/>
      <c r="Q920" s="50"/>
      <c r="R920" s="49"/>
    </row>
    <row r="921" spans="1:18" ht="15.75" customHeight="1" x14ac:dyDescent="0.3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84"/>
      <c r="M921" s="84"/>
      <c r="N921" s="30"/>
      <c r="O921" s="39"/>
      <c r="P921" s="30"/>
      <c r="Q921" s="50"/>
      <c r="R921" s="49"/>
    </row>
    <row r="922" spans="1:18" ht="15.75" customHeight="1" x14ac:dyDescent="0.3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84"/>
      <c r="M922" s="84"/>
      <c r="N922" s="30"/>
      <c r="O922" s="39"/>
      <c r="P922" s="30"/>
      <c r="Q922" s="50"/>
      <c r="R922" s="49"/>
    </row>
    <row r="923" spans="1:18" ht="15.75" customHeight="1" x14ac:dyDescent="0.3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84"/>
      <c r="M923" s="84"/>
      <c r="N923" s="30"/>
      <c r="O923" s="39"/>
      <c r="P923" s="30"/>
      <c r="Q923" s="50"/>
      <c r="R923" s="49"/>
    </row>
    <row r="924" spans="1:18" ht="15.75" customHeight="1" x14ac:dyDescent="0.3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84"/>
      <c r="M924" s="84"/>
      <c r="N924" s="30"/>
      <c r="O924" s="39"/>
      <c r="P924" s="30"/>
      <c r="Q924" s="50"/>
      <c r="R924" s="49"/>
    </row>
    <row r="925" spans="1:18" ht="15.75" customHeight="1" x14ac:dyDescent="0.3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84"/>
      <c r="M925" s="84"/>
      <c r="N925" s="30"/>
      <c r="O925" s="39"/>
      <c r="P925" s="30"/>
      <c r="Q925" s="50"/>
      <c r="R925" s="49"/>
    </row>
    <row r="926" spans="1:18" ht="15.75" customHeight="1" x14ac:dyDescent="0.3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84"/>
      <c r="M926" s="84"/>
      <c r="N926" s="30"/>
      <c r="O926" s="39"/>
      <c r="P926" s="30"/>
      <c r="Q926" s="50"/>
      <c r="R926" s="49"/>
    </row>
    <row r="927" spans="1:18" ht="15.75" customHeight="1" x14ac:dyDescent="0.3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84"/>
      <c r="M927" s="84"/>
      <c r="N927" s="30"/>
      <c r="O927" s="39"/>
      <c r="P927" s="30"/>
      <c r="Q927" s="50"/>
      <c r="R927" s="49"/>
    </row>
    <row r="928" spans="1:18" ht="15.75" customHeight="1" x14ac:dyDescent="0.3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84"/>
      <c r="M928" s="84"/>
      <c r="N928" s="30"/>
      <c r="O928" s="39"/>
      <c r="P928" s="30"/>
      <c r="Q928" s="50"/>
      <c r="R928" s="49"/>
    </row>
    <row r="929" spans="1:18" ht="15.75" customHeight="1" x14ac:dyDescent="0.3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84"/>
      <c r="M929" s="84"/>
      <c r="N929" s="30"/>
      <c r="O929" s="39"/>
      <c r="P929" s="30"/>
      <c r="Q929" s="50"/>
      <c r="R929" s="49"/>
    </row>
    <row r="930" spans="1:18" ht="15.75" customHeight="1" x14ac:dyDescent="0.3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84"/>
      <c r="M930" s="84"/>
      <c r="N930" s="30"/>
      <c r="O930" s="39"/>
      <c r="P930" s="30"/>
      <c r="Q930" s="50"/>
      <c r="R930" s="49"/>
    </row>
    <row r="931" spans="1:18" ht="15.75" customHeight="1" x14ac:dyDescent="0.3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84"/>
      <c r="M931" s="84"/>
      <c r="N931" s="30"/>
      <c r="O931" s="39"/>
      <c r="P931" s="30"/>
      <c r="Q931" s="50"/>
      <c r="R931" s="49"/>
    </row>
    <row r="932" spans="1:18" ht="15.75" customHeight="1" x14ac:dyDescent="0.3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84"/>
      <c r="M932" s="84"/>
      <c r="N932" s="30"/>
      <c r="O932" s="39"/>
      <c r="P932" s="30"/>
      <c r="Q932" s="50"/>
      <c r="R932" s="49"/>
    </row>
    <row r="933" spans="1:18" ht="15.75" customHeight="1" x14ac:dyDescent="0.3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84"/>
      <c r="M933" s="84"/>
      <c r="N933" s="30"/>
      <c r="O933" s="39"/>
      <c r="P933" s="30"/>
      <c r="Q933" s="50"/>
      <c r="R933" s="49"/>
    </row>
    <row r="934" spans="1:18" ht="15.75" customHeight="1" x14ac:dyDescent="0.3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84"/>
      <c r="M934" s="84"/>
      <c r="N934" s="30"/>
      <c r="O934" s="39"/>
      <c r="P934" s="30"/>
      <c r="Q934" s="50"/>
      <c r="R934" s="49"/>
    </row>
    <row r="935" spans="1:18" ht="15.75" customHeight="1" x14ac:dyDescent="0.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84"/>
      <c r="M935" s="84"/>
      <c r="N935" s="30"/>
      <c r="O935" s="39"/>
      <c r="P935" s="30"/>
      <c r="Q935" s="50"/>
      <c r="R935" s="49"/>
    </row>
    <row r="936" spans="1:18" ht="15.75" customHeight="1" x14ac:dyDescent="0.3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84"/>
      <c r="M936" s="84"/>
      <c r="N936" s="30"/>
      <c r="O936" s="39"/>
      <c r="P936" s="30"/>
      <c r="Q936" s="50"/>
      <c r="R936" s="49"/>
    </row>
    <row r="937" spans="1:18" ht="15.75" customHeight="1" x14ac:dyDescent="0.3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84"/>
      <c r="M937" s="84"/>
      <c r="N937" s="30"/>
      <c r="O937" s="39"/>
      <c r="P937" s="30"/>
      <c r="Q937" s="50"/>
      <c r="R937" s="49"/>
    </row>
    <row r="938" spans="1:18" ht="15.75" customHeight="1" x14ac:dyDescent="0.3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84"/>
      <c r="M938" s="84"/>
      <c r="N938" s="30"/>
      <c r="O938" s="39"/>
      <c r="P938" s="30"/>
      <c r="Q938" s="50"/>
      <c r="R938" s="49"/>
    </row>
    <row r="939" spans="1:18" ht="15.75" customHeight="1" x14ac:dyDescent="0.3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84"/>
      <c r="M939" s="84"/>
      <c r="N939" s="30"/>
      <c r="O939" s="39"/>
      <c r="P939" s="30"/>
      <c r="Q939" s="50"/>
      <c r="R939" s="49"/>
    </row>
    <row r="940" spans="1:18" ht="15.75" customHeight="1" x14ac:dyDescent="0.3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84"/>
      <c r="M940" s="84"/>
      <c r="N940" s="30"/>
      <c r="O940" s="39"/>
      <c r="P940" s="30"/>
      <c r="Q940" s="50"/>
      <c r="R940" s="49"/>
    </row>
    <row r="941" spans="1:18" ht="15.75" customHeight="1" x14ac:dyDescent="0.3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84"/>
      <c r="M941" s="84"/>
      <c r="N941" s="30"/>
      <c r="O941" s="39"/>
      <c r="P941" s="30"/>
      <c r="Q941" s="50"/>
      <c r="R941" s="49"/>
    </row>
    <row r="942" spans="1:18" ht="15.75" customHeight="1" x14ac:dyDescent="0.3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84"/>
      <c r="M942" s="84"/>
      <c r="N942" s="30"/>
      <c r="O942" s="39"/>
      <c r="P942" s="30"/>
      <c r="Q942" s="50"/>
      <c r="R942" s="49"/>
    </row>
    <row r="943" spans="1:18" ht="15.75" customHeight="1" x14ac:dyDescent="0.3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84"/>
      <c r="M943" s="84"/>
      <c r="N943" s="30"/>
      <c r="O943" s="39"/>
      <c r="P943" s="30"/>
      <c r="Q943" s="50"/>
      <c r="R943" s="49"/>
    </row>
    <row r="944" spans="1:18" ht="15.75" customHeight="1" x14ac:dyDescent="0.3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84"/>
      <c r="M944" s="84"/>
      <c r="N944" s="30"/>
      <c r="O944" s="39"/>
      <c r="P944" s="30"/>
      <c r="Q944" s="50"/>
      <c r="R944" s="49"/>
    </row>
    <row r="945" spans="1:18" ht="15.75" customHeight="1" x14ac:dyDescent="0.3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84"/>
      <c r="M945" s="84"/>
      <c r="N945" s="30"/>
      <c r="O945" s="39"/>
      <c r="P945" s="30"/>
      <c r="Q945" s="50"/>
      <c r="R945" s="49"/>
    </row>
    <row r="946" spans="1:18" ht="15.75" customHeight="1" x14ac:dyDescent="0.3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84"/>
      <c r="M946" s="84"/>
      <c r="N946" s="30"/>
      <c r="O946" s="39"/>
      <c r="P946" s="30"/>
      <c r="Q946" s="50"/>
      <c r="R946" s="49"/>
    </row>
    <row r="947" spans="1:18" ht="15.75" customHeight="1" x14ac:dyDescent="0.3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84"/>
      <c r="M947" s="84"/>
      <c r="N947" s="30"/>
      <c r="O947" s="39"/>
      <c r="P947" s="30"/>
      <c r="Q947" s="50"/>
      <c r="R947" s="49"/>
    </row>
    <row r="948" spans="1:18" ht="15.75" customHeight="1" x14ac:dyDescent="0.3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84"/>
      <c r="M948" s="84"/>
      <c r="N948" s="30"/>
      <c r="O948" s="39"/>
      <c r="P948" s="30"/>
      <c r="Q948" s="50"/>
      <c r="R948" s="49"/>
    </row>
    <row r="949" spans="1:18" ht="15.75" customHeight="1" x14ac:dyDescent="0.3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84"/>
      <c r="M949" s="84"/>
      <c r="N949" s="30"/>
      <c r="O949" s="39"/>
      <c r="P949" s="30"/>
      <c r="Q949" s="50"/>
      <c r="R949" s="49"/>
    </row>
    <row r="950" spans="1:18" ht="15.75" customHeight="1" x14ac:dyDescent="0.3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84"/>
      <c r="M950" s="84"/>
      <c r="N950" s="30"/>
      <c r="O950" s="39"/>
      <c r="P950" s="30"/>
      <c r="Q950" s="50"/>
      <c r="R950" s="49"/>
    </row>
    <row r="951" spans="1:18" ht="15.75" customHeight="1" x14ac:dyDescent="0.3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84"/>
      <c r="M951" s="84"/>
      <c r="N951" s="30"/>
      <c r="O951" s="39"/>
      <c r="P951" s="30"/>
      <c r="Q951" s="50"/>
      <c r="R951" s="49"/>
    </row>
    <row r="952" spans="1:18" ht="15.75" customHeight="1" x14ac:dyDescent="0.3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84"/>
      <c r="M952" s="84"/>
      <c r="N952" s="30"/>
      <c r="O952" s="39"/>
      <c r="P952" s="30"/>
      <c r="Q952" s="50"/>
      <c r="R952" s="49"/>
    </row>
    <row r="953" spans="1:18" ht="15.75" customHeight="1" x14ac:dyDescent="0.3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84"/>
      <c r="M953" s="84"/>
      <c r="N953" s="30"/>
      <c r="O953" s="39"/>
      <c r="P953" s="30"/>
      <c r="Q953" s="50"/>
      <c r="R953" s="49"/>
    </row>
    <row r="954" spans="1:18" ht="15.75" customHeight="1" x14ac:dyDescent="0.3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84"/>
      <c r="M954" s="84"/>
      <c r="N954" s="30"/>
      <c r="O954" s="39"/>
      <c r="P954" s="30"/>
      <c r="Q954" s="50"/>
      <c r="R954" s="49"/>
    </row>
    <row r="955" spans="1:18" ht="15.75" customHeight="1" x14ac:dyDescent="0.3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84"/>
      <c r="M955" s="84"/>
      <c r="N955" s="30"/>
      <c r="O955" s="39"/>
      <c r="P955" s="30"/>
      <c r="Q955" s="50"/>
      <c r="R955" s="49"/>
    </row>
    <row r="956" spans="1:18" ht="15.75" customHeight="1" x14ac:dyDescent="0.3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84"/>
      <c r="M956" s="84"/>
      <c r="N956" s="30"/>
      <c r="O956" s="39"/>
      <c r="P956" s="30"/>
      <c r="Q956" s="50"/>
      <c r="R956" s="49"/>
    </row>
    <row r="957" spans="1:18" ht="15.75" customHeight="1" x14ac:dyDescent="0.3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84"/>
      <c r="M957" s="84"/>
      <c r="N957" s="30"/>
      <c r="O957" s="39"/>
      <c r="P957" s="30"/>
      <c r="Q957" s="50"/>
      <c r="R957" s="49"/>
    </row>
    <row r="958" spans="1:18" ht="15.75" customHeight="1" x14ac:dyDescent="0.3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84"/>
      <c r="M958" s="84"/>
      <c r="N958" s="30"/>
      <c r="O958" s="39"/>
      <c r="P958" s="30"/>
      <c r="Q958" s="50"/>
      <c r="R958" s="49"/>
    </row>
    <row r="959" spans="1:18" ht="15.75" customHeight="1" x14ac:dyDescent="0.3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84"/>
      <c r="M959" s="84"/>
      <c r="N959" s="30"/>
      <c r="O959" s="39"/>
      <c r="P959" s="30"/>
      <c r="Q959" s="50"/>
      <c r="R959" s="49"/>
    </row>
    <row r="960" spans="1:18" ht="15.75" customHeight="1" x14ac:dyDescent="0.3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84"/>
      <c r="M960" s="84"/>
      <c r="N960" s="30"/>
      <c r="O960" s="39"/>
      <c r="P960" s="30"/>
      <c r="Q960" s="50"/>
      <c r="R960" s="49"/>
    </row>
    <row r="961" spans="1:18" ht="15.75" customHeight="1" x14ac:dyDescent="0.3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84"/>
      <c r="M961" s="84"/>
      <c r="N961" s="30"/>
      <c r="O961" s="39"/>
      <c r="P961" s="30"/>
      <c r="Q961" s="50"/>
      <c r="R961" s="49"/>
    </row>
    <row r="962" spans="1:18" ht="15.75" customHeight="1" x14ac:dyDescent="0.3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84"/>
      <c r="M962" s="84"/>
      <c r="N962" s="30"/>
      <c r="O962" s="39"/>
      <c r="P962" s="30"/>
      <c r="Q962" s="50"/>
      <c r="R962" s="49"/>
    </row>
    <row r="963" spans="1:18" ht="15.75" customHeight="1" x14ac:dyDescent="0.3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84"/>
      <c r="M963" s="84"/>
      <c r="N963" s="30"/>
      <c r="O963" s="39"/>
      <c r="P963" s="30"/>
      <c r="Q963" s="50"/>
      <c r="R963" s="49"/>
    </row>
    <row r="964" spans="1:18" ht="15.75" customHeight="1" x14ac:dyDescent="0.3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84"/>
      <c r="M964" s="84"/>
      <c r="N964" s="30"/>
      <c r="O964" s="39"/>
      <c r="P964" s="30"/>
      <c r="Q964" s="50"/>
      <c r="R964" s="49"/>
    </row>
    <row r="965" spans="1:18" ht="15.75" customHeight="1" x14ac:dyDescent="0.3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84"/>
      <c r="M965" s="84"/>
      <c r="N965" s="30"/>
      <c r="O965" s="39"/>
      <c r="P965" s="30"/>
      <c r="Q965" s="50"/>
      <c r="R965" s="49"/>
    </row>
    <row r="966" spans="1:18" ht="15.75" customHeight="1" x14ac:dyDescent="0.3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84"/>
      <c r="M966" s="84"/>
      <c r="N966" s="30"/>
      <c r="O966" s="39"/>
      <c r="P966" s="30"/>
      <c r="Q966" s="50"/>
      <c r="R966" s="49"/>
    </row>
    <row r="967" spans="1:18" ht="15.75" customHeight="1" x14ac:dyDescent="0.3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84"/>
      <c r="M967" s="84"/>
      <c r="N967" s="30"/>
      <c r="O967" s="39"/>
      <c r="P967" s="30"/>
      <c r="Q967" s="50"/>
      <c r="R967" s="49"/>
    </row>
    <row r="968" spans="1:18" ht="15.75" customHeight="1" x14ac:dyDescent="0.3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84"/>
      <c r="M968" s="84"/>
      <c r="N968" s="30"/>
      <c r="O968" s="39"/>
      <c r="P968" s="30"/>
      <c r="Q968" s="50"/>
      <c r="R968" s="49"/>
    </row>
    <row r="969" spans="1:18" ht="15.75" customHeight="1" x14ac:dyDescent="0.3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84"/>
      <c r="M969" s="84"/>
      <c r="N969" s="30"/>
      <c r="O969" s="39"/>
      <c r="P969" s="30"/>
      <c r="Q969" s="50"/>
      <c r="R969" s="49"/>
    </row>
    <row r="970" spans="1:18" ht="15.75" customHeight="1" x14ac:dyDescent="0.3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84"/>
      <c r="M970" s="84"/>
      <c r="N970" s="30"/>
      <c r="O970" s="39"/>
      <c r="P970" s="30"/>
      <c r="Q970" s="50"/>
      <c r="R970" s="49"/>
    </row>
    <row r="971" spans="1:18" ht="15.75" customHeight="1" x14ac:dyDescent="0.3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84"/>
      <c r="M971" s="84"/>
      <c r="N971" s="30"/>
      <c r="O971" s="39"/>
      <c r="P971" s="30"/>
      <c r="Q971" s="50"/>
      <c r="R971" s="49"/>
    </row>
    <row r="972" spans="1:18" ht="15.75" customHeight="1" x14ac:dyDescent="0.3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84"/>
      <c r="M972" s="84"/>
      <c r="N972" s="30"/>
      <c r="O972" s="39"/>
      <c r="P972" s="30"/>
      <c r="Q972" s="50"/>
      <c r="R972" s="49"/>
    </row>
    <row r="973" spans="1:18" ht="15.75" customHeight="1" x14ac:dyDescent="0.3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84"/>
      <c r="M973" s="84"/>
      <c r="N973" s="30"/>
      <c r="O973" s="39"/>
      <c r="P973" s="30"/>
      <c r="Q973" s="50"/>
      <c r="R973" s="49"/>
    </row>
    <row r="974" spans="1:18" ht="15.75" customHeight="1" x14ac:dyDescent="0.3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84"/>
      <c r="M974" s="84"/>
      <c r="N974" s="30"/>
      <c r="O974" s="39"/>
      <c r="P974" s="30"/>
      <c r="Q974" s="50"/>
      <c r="R974" s="49"/>
    </row>
    <row r="975" spans="1:18" ht="15.75" customHeight="1" x14ac:dyDescent="0.3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84"/>
      <c r="M975" s="84"/>
      <c r="N975" s="30"/>
      <c r="O975" s="39"/>
      <c r="P975" s="30"/>
      <c r="Q975" s="50"/>
      <c r="R975" s="49"/>
    </row>
    <row r="976" spans="1:18" ht="15.75" customHeight="1" x14ac:dyDescent="0.3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84"/>
      <c r="M976" s="84"/>
      <c r="N976" s="30"/>
      <c r="O976" s="39"/>
      <c r="P976" s="30"/>
      <c r="Q976" s="50"/>
      <c r="R976" s="49"/>
    </row>
    <row r="977" spans="1:18" ht="15.75" customHeight="1" x14ac:dyDescent="0.3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84"/>
      <c r="M977" s="84"/>
      <c r="N977" s="30"/>
      <c r="O977" s="39"/>
      <c r="P977" s="30"/>
      <c r="Q977" s="50"/>
      <c r="R977" s="49"/>
    </row>
    <row r="978" spans="1:18" ht="15.75" customHeight="1" x14ac:dyDescent="0.3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84"/>
      <c r="M978" s="84"/>
      <c r="N978" s="30"/>
      <c r="O978" s="39"/>
      <c r="P978" s="30"/>
      <c r="Q978" s="50"/>
      <c r="R978" s="49"/>
    </row>
    <row r="979" spans="1:18" ht="15.75" customHeight="1" x14ac:dyDescent="0.3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84"/>
      <c r="M979" s="84"/>
      <c r="N979" s="30"/>
      <c r="O979" s="39"/>
      <c r="P979" s="30"/>
      <c r="Q979" s="50"/>
      <c r="R979" s="49"/>
    </row>
    <row r="980" spans="1:18" ht="15.75" customHeight="1" x14ac:dyDescent="0.3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84"/>
      <c r="M980" s="84"/>
      <c r="N980" s="30"/>
      <c r="O980" s="39"/>
      <c r="P980" s="30"/>
      <c r="Q980" s="50"/>
      <c r="R980" s="49"/>
    </row>
    <row r="981" spans="1:18" ht="15.75" customHeight="1" x14ac:dyDescent="0.3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84"/>
      <c r="M981" s="84"/>
      <c r="N981" s="30"/>
      <c r="O981" s="39"/>
      <c r="P981" s="30"/>
      <c r="Q981" s="50"/>
      <c r="R981" s="49"/>
    </row>
    <row r="982" spans="1:18" ht="15.75" customHeight="1" x14ac:dyDescent="0.3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84"/>
      <c r="M982" s="84"/>
      <c r="N982" s="30"/>
      <c r="O982" s="39"/>
      <c r="P982" s="30"/>
      <c r="Q982" s="50"/>
      <c r="R982" s="49"/>
    </row>
    <row r="983" spans="1:18" ht="15.75" customHeight="1" x14ac:dyDescent="0.35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84"/>
      <c r="M983" s="84"/>
      <c r="N983" s="30"/>
      <c r="O983" s="39"/>
      <c r="P983" s="30"/>
      <c r="Q983" s="50"/>
      <c r="R983" s="49"/>
    </row>
    <row r="984" spans="1:18" ht="15.75" customHeight="1" x14ac:dyDescent="0.3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84"/>
      <c r="M984" s="84"/>
      <c r="N984" s="30"/>
      <c r="O984" s="39"/>
      <c r="P984" s="30"/>
      <c r="Q984" s="50"/>
      <c r="R984" s="49"/>
    </row>
    <row r="985" spans="1:18" ht="15.75" customHeight="1" x14ac:dyDescent="0.3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84"/>
      <c r="M985" s="84"/>
      <c r="N985" s="30"/>
      <c r="O985" s="39"/>
      <c r="P985" s="30"/>
      <c r="Q985" s="50"/>
      <c r="R985" s="49"/>
    </row>
    <row r="986" spans="1:18" ht="15.75" customHeight="1" x14ac:dyDescent="0.3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84"/>
      <c r="M986" s="84"/>
      <c r="N986" s="30"/>
      <c r="O986" s="39"/>
      <c r="P986" s="30"/>
      <c r="Q986" s="50"/>
      <c r="R986" s="49"/>
    </row>
    <row r="987" spans="1:18" ht="15.75" customHeight="1" x14ac:dyDescent="0.35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84"/>
      <c r="M987" s="84"/>
      <c r="N987" s="30"/>
      <c r="O987" s="39"/>
      <c r="P987" s="30"/>
      <c r="Q987" s="50"/>
      <c r="R987" s="49"/>
    </row>
    <row r="988" spans="1:18" ht="15.75" customHeight="1" x14ac:dyDescent="0.3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84"/>
      <c r="M988" s="84"/>
      <c r="N988" s="30"/>
      <c r="O988" s="39"/>
      <c r="P988" s="30"/>
      <c r="Q988" s="50"/>
      <c r="R988" s="49"/>
    </row>
    <row r="989" spans="1:18" ht="15.75" customHeight="1" x14ac:dyDescent="0.3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84"/>
      <c r="M989" s="84"/>
      <c r="N989" s="30"/>
      <c r="O989" s="39"/>
      <c r="P989" s="30"/>
      <c r="Q989" s="50"/>
      <c r="R989" s="49"/>
    </row>
    <row r="990" spans="1:18" ht="15.75" customHeight="1" x14ac:dyDescent="0.3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84"/>
      <c r="M990" s="84"/>
      <c r="N990" s="30"/>
      <c r="O990" s="39"/>
      <c r="P990" s="30"/>
      <c r="Q990" s="50"/>
      <c r="R990" s="49"/>
    </row>
    <row r="991" spans="1:18" ht="15.75" customHeight="1" x14ac:dyDescent="0.3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84"/>
      <c r="M991" s="84"/>
      <c r="N991" s="30"/>
      <c r="O991" s="39"/>
      <c r="P991" s="30"/>
      <c r="Q991" s="50"/>
      <c r="R991" s="49"/>
    </row>
    <row r="992" spans="1:18" ht="15.75" customHeight="1" x14ac:dyDescent="0.3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84"/>
      <c r="M992" s="84"/>
      <c r="N992" s="30"/>
      <c r="O992" s="39"/>
      <c r="P992" s="30"/>
      <c r="Q992" s="50"/>
      <c r="R992" s="49"/>
    </row>
    <row r="993" spans="1:18" ht="15.75" customHeight="1" x14ac:dyDescent="0.3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84"/>
      <c r="M993" s="84"/>
      <c r="N993" s="30"/>
      <c r="O993" s="39"/>
      <c r="P993" s="30"/>
      <c r="Q993" s="50"/>
      <c r="R993" s="49"/>
    </row>
    <row r="994" spans="1:18" ht="15.75" customHeight="1" x14ac:dyDescent="0.3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84"/>
      <c r="M994" s="84"/>
      <c r="N994" s="30"/>
      <c r="O994" s="39"/>
      <c r="P994" s="30"/>
      <c r="Q994" s="50"/>
      <c r="R994" s="49"/>
    </row>
    <row r="995" spans="1:18" ht="15.75" customHeight="1" x14ac:dyDescent="0.3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84"/>
      <c r="M995" s="84"/>
      <c r="N995" s="30"/>
      <c r="O995" s="39"/>
      <c r="P995" s="30"/>
      <c r="Q995" s="50"/>
      <c r="R995" s="49"/>
    </row>
    <row r="996" spans="1:18" ht="15.75" customHeight="1" x14ac:dyDescent="0.3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84"/>
      <c r="M996" s="84"/>
      <c r="N996" s="30"/>
      <c r="O996" s="39"/>
      <c r="P996" s="30"/>
      <c r="Q996" s="50"/>
      <c r="R996" s="49"/>
    </row>
    <row r="997" spans="1:18" ht="15.75" customHeight="1" x14ac:dyDescent="0.35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84"/>
      <c r="M997" s="84"/>
      <c r="N997" s="30"/>
      <c r="O997" s="39"/>
      <c r="P997" s="30"/>
      <c r="Q997" s="50"/>
      <c r="R997" s="49"/>
    </row>
    <row r="998" spans="1:18" ht="15.75" customHeight="1" x14ac:dyDescent="0.3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84"/>
      <c r="M998" s="84"/>
      <c r="N998" s="30"/>
      <c r="O998" s="39"/>
      <c r="P998" s="30"/>
      <c r="Q998" s="50"/>
      <c r="R998" s="49"/>
    </row>
    <row r="999" spans="1:18" ht="15.75" customHeight="1" x14ac:dyDescent="0.35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84"/>
      <c r="M999" s="84"/>
      <c r="N999" s="30"/>
      <c r="O999" s="39"/>
      <c r="P999" s="30"/>
      <c r="Q999" s="50"/>
      <c r="R999" s="49"/>
    </row>
  </sheetData>
  <autoFilter ref="A3:R104" xr:uid="{00000000-0009-0000-0000-000001000000}">
    <sortState xmlns:xlrd2="http://schemas.microsoft.com/office/spreadsheetml/2017/richdata2" ref="A13:R87">
      <sortCondition descending="1" ref="R3:R104"/>
    </sortState>
  </autoFilter>
  <pageMargins left="0.7" right="0.7" top="0.75" bottom="0.75" header="0" footer="0"/>
  <pageSetup paperSize="8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A2E15-2E80-4EF6-92B0-0A6FDDC1B401}">
  <sheetPr filterMode="1"/>
  <dimension ref="A1:AA1001"/>
  <sheetViews>
    <sheetView tabSelected="1" zoomScaleNormal="100" workbookViewId="0">
      <selection activeCell="P111" sqref="P111"/>
    </sheetView>
  </sheetViews>
  <sheetFormatPr defaultColWidth="14.453125" defaultRowHeight="15" customHeight="1" x14ac:dyDescent="0.35"/>
  <cols>
    <col min="1" max="1" width="20.26953125" customWidth="1"/>
    <col min="2" max="2" width="5.26953125" customWidth="1"/>
    <col min="3" max="3" width="7.36328125" customWidth="1"/>
    <col min="4" max="10" width="7.7265625" customWidth="1"/>
    <col min="11" max="11" width="9" customWidth="1"/>
    <col min="12" max="14" width="9" style="68" customWidth="1"/>
    <col min="15" max="15" width="10.54296875" customWidth="1"/>
    <col min="16" max="16" width="10.1796875" customWidth="1"/>
    <col min="17" max="17" width="9.7265625" customWidth="1"/>
    <col min="18" max="18" width="4.81640625" style="62" customWidth="1"/>
    <col min="19" max="19" width="10.26953125" customWidth="1"/>
    <col min="20" max="23" width="8.7265625" customWidth="1"/>
  </cols>
  <sheetData>
    <row r="1" spans="1:27" ht="44.25" customHeight="1" x14ac:dyDescent="0.35">
      <c r="A1" s="51" t="s">
        <v>125</v>
      </c>
      <c r="B1" s="40"/>
      <c r="C1" s="40" t="s">
        <v>42</v>
      </c>
      <c r="D1" s="41"/>
      <c r="E1" s="42"/>
      <c r="F1" s="41"/>
      <c r="G1" s="43"/>
      <c r="H1" s="43"/>
      <c r="I1" s="41"/>
      <c r="J1" s="42"/>
      <c r="K1" s="43"/>
      <c r="L1" s="83"/>
      <c r="M1" s="83"/>
      <c r="N1" s="83"/>
      <c r="P1" s="39"/>
      <c r="Q1" s="44"/>
      <c r="R1" s="45"/>
      <c r="S1" s="65" t="s">
        <v>166</v>
      </c>
    </row>
    <row r="2" spans="1:27" s="68" customFormat="1" ht="20.5" customHeight="1" thickBot="1" x14ac:dyDescent="0.4">
      <c r="A2" s="127" t="s">
        <v>170</v>
      </c>
      <c r="B2" s="127"/>
      <c r="C2" s="127"/>
      <c r="D2" s="127"/>
      <c r="E2" s="127"/>
      <c r="F2" s="112"/>
      <c r="G2" s="83"/>
      <c r="H2" s="83"/>
      <c r="I2" s="112"/>
      <c r="J2" s="113"/>
      <c r="K2" s="83"/>
      <c r="L2" s="83"/>
      <c r="M2" s="83"/>
      <c r="N2" s="83"/>
      <c r="P2" s="114"/>
      <c r="Q2" s="115"/>
      <c r="R2" s="116"/>
      <c r="S2" s="117"/>
    </row>
    <row r="3" spans="1:27" ht="42" customHeight="1" thickBot="1" x14ac:dyDescent="0.4">
      <c r="A3" s="100" t="s">
        <v>12</v>
      </c>
      <c r="B3" s="101" t="s">
        <v>13</v>
      </c>
      <c r="C3" s="101" t="s">
        <v>14</v>
      </c>
      <c r="D3" s="105" t="s">
        <v>127</v>
      </c>
      <c r="E3" s="105" t="s">
        <v>8</v>
      </c>
      <c r="F3" s="105" t="s">
        <v>9</v>
      </c>
      <c r="G3" s="105" t="s">
        <v>10</v>
      </c>
      <c r="H3" s="105" t="s">
        <v>11</v>
      </c>
      <c r="I3" s="106" t="s">
        <v>128</v>
      </c>
      <c r="J3" s="105" t="s">
        <v>129</v>
      </c>
      <c r="K3" s="105" t="s">
        <v>139</v>
      </c>
      <c r="L3" s="105" t="s">
        <v>151</v>
      </c>
      <c r="M3" s="105" t="s">
        <v>158</v>
      </c>
      <c r="N3" s="105" t="s">
        <v>165</v>
      </c>
      <c r="O3" s="105" t="s">
        <v>130</v>
      </c>
      <c r="P3" s="107" t="s">
        <v>163</v>
      </c>
      <c r="Q3" s="108" t="s">
        <v>168</v>
      </c>
      <c r="R3" s="109" t="s">
        <v>132</v>
      </c>
      <c r="S3" s="110" t="s">
        <v>169</v>
      </c>
      <c r="W3" s="122"/>
    </row>
    <row r="4" spans="1:27" ht="14.5" x14ac:dyDescent="0.35">
      <c r="A4" s="128" t="s">
        <v>50</v>
      </c>
      <c r="B4" s="96" t="s">
        <v>162</v>
      </c>
      <c r="C4" s="96" t="s">
        <v>134</v>
      </c>
      <c r="D4" s="96">
        <v>99</v>
      </c>
      <c r="E4" s="96">
        <v>98</v>
      </c>
      <c r="F4" s="96">
        <v>97</v>
      </c>
      <c r="G4" s="96">
        <v>97</v>
      </c>
      <c r="H4" s="96">
        <v>94</v>
      </c>
      <c r="I4" s="102"/>
      <c r="J4" s="55">
        <v>98</v>
      </c>
      <c r="K4" s="55">
        <v>99</v>
      </c>
      <c r="L4" s="80">
        <v>95</v>
      </c>
      <c r="M4" s="97">
        <v>100</v>
      </c>
      <c r="N4" s="97">
        <v>100</v>
      </c>
      <c r="O4" s="103">
        <f>AVERAGE(G4:M4)</f>
        <v>97.166666666666671</v>
      </c>
      <c r="P4" s="69">
        <f>MIN(13.2, MAX(0, 100 - O4) * 0.66)</f>
        <v>1.869999999999997</v>
      </c>
      <c r="Q4" s="98">
        <f>N4</f>
        <v>100</v>
      </c>
      <c r="R4" s="99">
        <v>15</v>
      </c>
      <c r="S4" s="104">
        <f>IF(ISBLANK(N4), 0, N4 + P4)</f>
        <v>101.86999999999999</v>
      </c>
    </row>
    <row r="5" spans="1:27" ht="14.5" x14ac:dyDescent="0.35">
      <c r="A5" s="87" t="s">
        <v>81</v>
      </c>
      <c r="B5" s="55" t="s">
        <v>162</v>
      </c>
      <c r="C5" s="55" t="s">
        <v>59</v>
      </c>
      <c r="D5" s="55">
        <v>100</v>
      </c>
      <c r="E5" s="55">
        <v>100</v>
      </c>
      <c r="F5" s="55">
        <v>100</v>
      </c>
      <c r="G5" s="55"/>
      <c r="H5" s="55"/>
      <c r="I5" s="70"/>
      <c r="J5" s="55">
        <v>99</v>
      </c>
      <c r="K5" s="55">
        <v>100</v>
      </c>
      <c r="L5" s="80">
        <v>97</v>
      </c>
      <c r="M5" s="80">
        <v>100</v>
      </c>
      <c r="N5" s="80">
        <v>100</v>
      </c>
      <c r="O5" s="103">
        <f>AVERAGE(G5:M5)</f>
        <v>99</v>
      </c>
      <c r="P5" s="69">
        <f>MIN(13.2, MAX(0, 100 - O5) * 0.66)</f>
        <v>0.66</v>
      </c>
      <c r="Q5" s="98">
        <f>N5</f>
        <v>100</v>
      </c>
      <c r="R5" s="85">
        <v>13</v>
      </c>
      <c r="S5" s="104">
        <f>IF(ISBLANK(N5), 0, N5 + P5)</f>
        <v>100.66</v>
      </c>
    </row>
    <row r="6" spans="1:27" ht="14.5" x14ac:dyDescent="0.35">
      <c r="A6" s="54" t="s">
        <v>73</v>
      </c>
      <c r="B6" s="55" t="s">
        <v>162</v>
      </c>
      <c r="C6" s="55" t="s">
        <v>59</v>
      </c>
      <c r="D6" s="55"/>
      <c r="E6" s="55">
        <v>97</v>
      </c>
      <c r="F6" s="55">
        <v>100</v>
      </c>
      <c r="G6" s="55"/>
      <c r="H6" s="55"/>
      <c r="I6" s="70"/>
      <c r="J6" s="55"/>
      <c r="K6" s="55"/>
      <c r="L6" s="80"/>
      <c r="M6" s="80">
        <v>100</v>
      </c>
      <c r="N6" s="80">
        <v>100</v>
      </c>
      <c r="O6" s="103">
        <f>AVERAGE(G6:M6)</f>
        <v>100</v>
      </c>
      <c r="P6" s="69">
        <f>MIN(13.2, MAX(0, 100 - O6) * 0.66)</f>
        <v>0</v>
      </c>
      <c r="Q6" s="98">
        <f>N6</f>
        <v>100</v>
      </c>
      <c r="R6" s="85">
        <v>14</v>
      </c>
      <c r="S6" s="104">
        <f>IF(ISBLANK(N6), 0, N6 + P6)</f>
        <v>100</v>
      </c>
      <c r="W6" s="119"/>
      <c r="X6" s="119"/>
      <c r="Y6" s="119"/>
      <c r="Z6" s="119"/>
      <c r="AA6" s="119"/>
    </row>
    <row r="7" spans="1:27" ht="14.5" x14ac:dyDescent="0.35">
      <c r="A7" s="54" t="s">
        <v>72</v>
      </c>
      <c r="B7" s="55" t="s">
        <v>162</v>
      </c>
      <c r="C7" s="55" t="s">
        <v>59</v>
      </c>
      <c r="D7" s="55">
        <v>98</v>
      </c>
      <c r="E7" s="55">
        <v>91</v>
      </c>
      <c r="F7" s="55">
        <v>96</v>
      </c>
      <c r="G7" s="55"/>
      <c r="H7" s="55">
        <v>93</v>
      </c>
      <c r="I7" s="70"/>
      <c r="J7" s="55"/>
      <c r="K7" s="55">
        <v>98</v>
      </c>
      <c r="L7" s="80">
        <v>87</v>
      </c>
      <c r="M7" s="80">
        <v>100</v>
      </c>
      <c r="N7" s="80">
        <v>99</v>
      </c>
      <c r="O7" s="103">
        <f>AVERAGE(G7:M7)</f>
        <v>94.5</v>
      </c>
      <c r="P7" s="69">
        <f>MIN(13.2, MAX(0, 100 - O7) * 0.66)</f>
        <v>3.6300000000000003</v>
      </c>
      <c r="Q7" s="98">
        <f>N7</f>
        <v>99</v>
      </c>
      <c r="R7" s="85">
        <v>5</v>
      </c>
      <c r="S7" s="104">
        <f>IF(ISBLANK(N7), 0, N7 + P7)</f>
        <v>102.63</v>
      </c>
      <c r="W7" s="126"/>
      <c r="X7" s="119"/>
      <c r="Y7" s="126"/>
      <c r="Z7" s="126"/>
      <c r="AA7" s="119"/>
    </row>
    <row r="8" spans="1:27" ht="14.5" x14ac:dyDescent="0.35">
      <c r="A8" s="54" t="s">
        <v>36</v>
      </c>
      <c r="B8" s="88" t="s">
        <v>162</v>
      </c>
      <c r="C8" s="88" t="s">
        <v>134</v>
      </c>
      <c r="D8" s="88"/>
      <c r="E8" s="88"/>
      <c r="F8" s="88"/>
      <c r="G8" s="88"/>
      <c r="H8" s="88"/>
      <c r="I8" s="89"/>
      <c r="J8" s="55">
        <v>98</v>
      </c>
      <c r="K8" s="55">
        <v>99</v>
      </c>
      <c r="L8" s="80">
        <v>95</v>
      </c>
      <c r="M8" s="90"/>
      <c r="N8" s="90">
        <v>99</v>
      </c>
      <c r="O8" s="103">
        <f>AVERAGE(G8:M8)</f>
        <v>97.333333333333329</v>
      </c>
      <c r="P8" s="69">
        <f>MIN(13.2, MAX(0, 100 - O8) * 0.66)</f>
        <v>1.7600000000000031</v>
      </c>
      <c r="Q8" s="98">
        <f>N8</f>
        <v>99</v>
      </c>
      <c r="R8" s="85">
        <v>9</v>
      </c>
      <c r="S8" s="104">
        <f>IF(ISBLANK(N8), 0, N8 + P8)</f>
        <v>100.76</v>
      </c>
      <c r="W8" s="126"/>
      <c r="X8" s="126"/>
      <c r="Y8" s="126"/>
      <c r="Z8" s="126"/>
      <c r="AA8" s="126"/>
    </row>
    <row r="9" spans="1:27" ht="14.5" x14ac:dyDescent="0.35">
      <c r="A9" s="54" t="s">
        <v>71</v>
      </c>
      <c r="B9" s="55" t="s">
        <v>162</v>
      </c>
      <c r="C9" s="55" t="s">
        <v>59</v>
      </c>
      <c r="D9" s="55">
        <v>88</v>
      </c>
      <c r="E9" s="55">
        <v>82</v>
      </c>
      <c r="F9" s="55"/>
      <c r="G9" s="55"/>
      <c r="H9" s="55"/>
      <c r="I9" s="70"/>
      <c r="J9" s="55"/>
      <c r="K9" s="55">
        <v>99</v>
      </c>
      <c r="L9" s="80">
        <v>92</v>
      </c>
      <c r="M9" s="80">
        <v>95</v>
      </c>
      <c r="N9" s="80">
        <v>98</v>
      </c>
      <c r="O9" s="103">
        <f>AVERAGE(G9:M9)</f>
        <v>95.333333333333329</v>
      </c>
      <c r="P9" s="69">
        <f>MIN(13.2, MAX(0, 100 - O9) * 0.66)</f>
        <v>3.0800000000000032</v>
      </c>
      <c r="Q9" s="98">
        <f>N9</f>
        <v>98</v>
      </c>
      <c r="R9" s="85">
        <v>10</v>
      </c>
      <c r="S9" s="104">
        <f>IF(ISBLANK(N9), 0, N9 + P9)</f>
        <v>101.08</v>
      </c>
      <c r="W9" s="126"/>
      <c r="X9" s="126"/>
      <c r="Y9" s="126"/>
      <c r="Z9" s="126"/>
      <c r="AA9" s="126"/>
    </row>
    <row r="10" spans="1:27" ht="14.5" x14ac:dyDescent="0.35">
      <c r="A10" s="54" t="s">
        <v>47</v>
      </c>
      <c r="B10" s="55" t="s">
        <v>162</v>
      </c>
      <c r="C10" s="55" t="s">
        <v>134</v>
      </c>
      <c r="D10" s="55"/>
      <c r="E10" s="55">
        <v>99</v>
      </c>
      <c r="F10" s="55"/>
      <c r="G10" s="55">
        <v>96</v>
      </c>
      <c r="H10" s="55"/>
      <c r="I10" s="70"/>
      <c r="J10" s="55">
        <v>93</v>
      </c>
      <c r="K10" s="55">
        <v>95</v>
      </c>
      <c r="L10" s="80"/>
      <c r="M10" s="80"/>
      <c r="N10" s="80">
        <v>97</v>
      </c>
      <c r="O10" s="103">
        <f>AVERAGE(G10:M10)</f>
        <v>94.666666666666671</v>
      </c>
      <c r="P10" s="69">
        <f>MIN(13.2, MAX(0, 100 - O10) * 0.66)</f>
        <v>3.5199999999999969</v>
      </c>
      <c r="Q10" s="98">
        <f>N10</f>
        <v>97</v>
      </c>
      <c r="R10" s="85">
        <v>10</v>
      </c>
      <c r="S10" s="104">
        <f>IF(ISBLANK(N10), 0, N10 + P10)</f>
        <v>100.52</v>
      </c>
    </row>
    <row r="11" spans="1:27" ht="14.5" x14ac:dyDescent="0.35">
      <c r="A11" s="54" t="s">
        <v>150</v>
      </c>
      <c r="B11" s="55" t="s">
        <v>162</v>
      </c>
      <c r="C11" s="55" t="s">
        <v>134</v>
      </c>
      <c r="D11" s="55"/>
      <c r="E11" s="55"/>
      <c r="F11" s="55"/>
      <c r="G11" s="55"/>
      <c r="H11" s="55"/>
      <c r="I11" s="70"/>
      <c r="J11" s="55">
        <v>98</v>
      </c>
      <c r="K11" s="55">
        <v>98</v>
      </c>
      <c r="L11" s="80"/>
      <c r="M11" s="80">
        <v>97</v>
      </c>
      <c r="N11" s="80">
        <v>97</v>
      </c>
      <c r="O11" s="103">
        <f>AVERAGE(G11:M11)</f>
        <v>97.666666666666671</v>
      </c>
      <c r="P11" s="69">
        <f>MIN(13.2, MAX(0, 100 - O11) * 0.66)</f>
        <v>1.5399999999999969</v>
      </c>
      <c r="Q11" s="98">
        <f>N11</f>
        <v>97</v>
      </c>
      <c r="R11" s="85">
        <v>9</v>
      </c>
      <c r="S11" s="104">
        <f>IF(ISBLANK(N11), 0, N11 + P11)</f>
        <v>98.539999999999992</v>
      </c>
    </row>
    <row r="12" spans="1:27" ht="14.5" customHeight="1" x14ac:dyDescent="0.35">
      <c r="A12" s="54" t="s">
        <v>78</v>
      </c>
      <c r="B12" s="55" t="s">
        <v>162</v>
      </c>
      <c r="C12" s="55" t="s">
        <v>59</v>
      </c>
      <c r="D12" s="55">
        <v>92</v>
      </c>
      <c r="E12" s="55">
        <v>88</v>
      </c>
      <c r="F12" s="55">
        <v>93</v>
      </c>
      <c r="G12" s="55"/>
      <c r="H12" s="55">
        <v>86</v>
      </c>
      <c r="I12" s="70"/>
      <c r="J12" s="55">
        <v>88</v>
      </c>
      <c r="K12" s="55">
        <v>86</v>
      </c>
      <c r="L12" s="80">
        <v>89</v>
      </c>
      <c r="M12" s="80">
        <v>89</v>
      </c>
      <c r="N12" s="80">
        <v>93</v>
      </c>
      <c r="O12" s="103">
        <f>AVERAGE(G12:M12)</f>
        <v>87.6</v>
      </c>
      <c r="P12" s="69">
        <f>MIN(13.2, MAX(0, 100 - O12) * 0.66)</f>
        <v>8.1840000000000046</v>
      </c>
      <c r="Q12" s="98">
        <f>N12</f>
        <v>93</v>
      </c>
      <c r="R12" s="85">
        <v>8</v>
      </c>
      <c r="S12" s="104">
        <f>IF(ISBLANK(N12), 0, N12 + P12)</f>
        <v>101.184</v>
      </c>
      <c r="W12" s="123"/>
    </row>
    <row r="13" spans="1:27" ht="14.5" hidden="1" x14ac:dyDescent="0.35">
      <c r="A13" s="54" t="s">
        <v>65</v>
      </c>
      <c r="B13" s="55" t="s">
        <v>162</v>
      </c>
      <c r="C13" s="55" t="s">
        <v>59</v>
      </c>
      <c r="D13" s="55">
        <v>98</v>
      </c>
      <c r="E13" s="55"/>
      <c r="F13" s="55">
        <v>100</v>
      </c>
      <c r="G13" s="55"/>
      <c r="H13" s="55"/>
      <c r="I13" s="70"/>
      <c r="J13" s="55">
        <v>98</v>
      </c>
      <c r="K13" s="55">
        <v>100</v>
      </c>
      <c r="L13" s="80">
        <v>94</v>
      </c>
      <c r="M13" s="80">
        <v>100</v>
      </c>
      <c r="N13" s="80"/>
      <c r="O13" s="103">
        <f>AVERAGE(G13:M13)</f>
        <v>98</v>
      </c>
      <c r="P13" s="69">
        <f>MIN(13.2, MAX(0, 100 - O13) * 0.66)</f>
        <v>1.32</v>
      </c>
      <c r="Q13" s="98">
        <f>N13</f>
        <v>0</v>
      </c>
      <c r="R13" s="85"/>
      <c r="S13" s="104">
        <f>IF(ISBLANK(N13), 0, N13 + P13)</f>
        <v>0</v>
      </c>
    </row>
    <row r="14" spans="1:27" ht="14.5" hidden="1" x14ac:dyDescent="0.35">
      <c r="A14" s="54" t="s">
        <v>77</v>
      </c>
      <c r="B14" s="55" t="s">
        <v>162</v>
      </c>
      <c r="C14" s="55" t="s">
        <v>59</v>
      </c>
      <c r="D14" s="55">
        <v>93</v>
      </c>
      <c r="E14" s="55"/>
      <c r="F14" s="55"/>
      <c r="G14" s="55"/>
      <c r="H14" s="55"/>
      <c r="I14" s="70"/>
      <c r="J14" s="55"/>
      <c r="K14" s="55"/>
      <c r="L14" s="80">
        <v>85</v>
      </c>
      <c r="M14" s="80"/>
      <c r="N14" s="80"/>
      <c r="O14" s="103">
        <f>AVERAGE(G14:M14)</f>
        <v>85</v>
      </c>
      <c r="P14" s="69">
        <f>MIN(13.2, MAX(0, 100 - O14) * 0.66)</f>
        <v>9.9</v>
      </c>
      <c r="Q14" s="98">
        <f>N14</f>
        <v>0</v>
      </c>
      <c r="R14" s="85"/>
      <c r="S14" s="104">
        <f>IF(ISBLANK(N14), 0, N14 + P14)</f>
        <v>0</v>
      </c>
      <c r="W14" s="122"/>
    </row>
    <row r="15" spans="1:27" ht="14.5" hidden="1" x14ac:dyDescent="0.35">
      <c r="A15" s="87" t="s">
        <v>153</v>
      </c>
      <c r="B15" s="55" t="s">
        <v>162</v>
      </c>
      <c r="C15" s="55" t="s">
        <v>59</v>
      </c>
      <c r="D15" s="55">
        <v>90</v>
      </c>
      <c r="E15" s="71"/>
      <c r="F15" s="71"/>
      <c r="G15" s="71"/>
      <c r="H15" s="71"/>
      <c r="I15" s="72"/>
      <c r="J15" s="71"/>
      <c r="K15" s="71"/>
      <c r="L15" s="80">
        <v>90</v>
      </c>
      <c r="M15" s="80"/>
      <c r="N15" s="80"/>
      <c r="O15" s="103">
        <f>AVERAGE(G15:M15)</f>
        <v>90</v>
      </c>
      <c r="P15" s="69">
        <f>MIN(13.2, MAX(0, 100 - O15) * 0.66)</f>
        <v>6.6000000000000005</v>
      </c>
      <c r="Q15" s="98">
        <f>N15</f>
        <v>0</v>
      </c>
      <c r="R15" s="85"/>
      <c r="S15" s="104">
        <f>IF(ISBLANK(N15), 0, N15 + P15)</f>
        <v>0</v>
      </c>
    </row>
    <row r="16" spans="1:27" ht="14.5" hidden="1" x14ac:dyDescent="0.35">
      <c r="A16" s="54" t="s">
        <v>61</v>
      </c>
      <c r="B16" s="55" t="s">
        <v>162</v>
      </c>
      <c r="C16" s="55" t="s">
        <v>59</v>
      </c>
      <c r="D16" s="55"/>
      <c r="E16" s="55">
        <v>93</v>
      </c>
      <c r="F16" s="55"/>
      <c r="G16" s="55"/>
      <c r="H16" s="55"/>
      <c r="I16" s="70"/>
      <c r="J16" s="55"/>
      <c r="K16" s="55"/>
      <c r="L16" s="80"/>
      <c r="M16" s="80"/>
      <c r="N16" s="80"/>
      <c r="O16" s="103">
        <f>AVERAGE(D16:M16)</f>
        <v>93</v>
      </c>
      <c r="P16" s="69">
        <f>MIN(13.2, MAX(0, 100 - O16) * 0.66)</f>
        <v>4.62</v>
      </c>
      <c r="Q16" s="98">
        <f>N16</f>
        <v>0</v>
      </c>
      <c r="R16" s="85"/>
      <c r="S16" s="104">
        <f>IF(ISBLANK(N16), 0, N16 + P16)</f>
        <v>0</v>
      </c>
      <c r="U16" s="82"/>
      <c r="W16" s="119"/>
      <c r="X16" s="119"/>
      <c r="Y16" s="119"/>
      <c r="Z16" s="119"/>
      <c r="AA16" s="119"/>
    </row>
    <row r="17" spans="1:27" ht="14.5" hidden="1" x14ac:dyDescent="0.35">
      <c r="A17" s="54" t="s">
        <v>137</v>
      </c>
      <c r="B17" s="55" t="s">
        <v>162</v>
      </c>
      <c r="C17" s="55" t="s">
        <v>59</v>
      </c>
      <c r="D17" s="55"/>
      <c r="E17" s="55"/>
      <c r="F17" s="55"/>
      <c r="G17" s="55"/>
      <c r="H17" s="55"/>
      <c r="I17" s="70"/>
      <c r="J17" s="55">
        <v>96</v>
      </c>
      <c r="K17" s="55">
        <v>100</v>
      </c>
      <c r="L17" s="80"/>
      <c r="M17" s="80"/>
      <c r="N17" s="80"/>
      <c r="O17" s="103">
        <f>AVERAGE(G17:M17)</f>
        <v>98</v>
      </c>
      <c r="P17" s="69">
        <f>MIN(13.2, MAX(0, 100 - O17) * 0.66)</f>
        <v>1.32</v>
      </c>
      <c r="Q17" s="98">
        <f>N17</f>
        <v>0</v>
      </c>
      <c r="R17" s="85"/>
      <c r="S17" s="104">
        <f>IF(ISBLANK(N17), 0, N17 + P17)</f>
        <v>0</v>
      </c>
      <c r="W17" s="126"/>
      <c r="X17" s="119"/>
      <c r="Y17" s="126"/>
      <c r="Z17" s="126"/>
      <c r="AA17" s="119"/>
    </row>
    <row r="18" spans="1:27" ht="14.5" hidden="1" x14ac:dyDescent="0.35">
      <c r="A18" s="54" t="s">
        <v>76</v>
      </c>
      <c r="B18" s="55" t="s">
        <v>162</v>
      </c>
      <c r="C18" s="55" t="s">
        <v>134</v>
      </c>
      <c r="D18" s="55">
        <v>93</v>
      </c>
      <c r="E18" s="55"/>
      <c r="F18" s="55"/>
      <c r="G18" s="55"/>
      <c r="H18" s="55"/>
      <c r="I18" s="70"/>
      <c r="J18" s="55"/>
      <c r="K18" s="55"/>
      <c r="L18" s="80"/>
      <c r="M18" s="80"/>
      <c r="N18" s="80"/>
      <c r="O18" s="103">
        <f>AVERAGE(D18:M18)</f>
        <v>93</v>
      </c>
      <c r="P18" s="69">
        <f>MIN(13.2, MAX(0, 100 - O18) * 0.66)</f>
        <v>4.62</v>
      </c>
      <c r="Q18" s="98">
        <f>N18</f>
        <v>0</v>
      </c>
      <c r="R18" s="85"/>
      <c r="S18" s="104">
        <f>IF(ISBLANK(N18), 0, N18 + P18)</f>
        <v>0</v>
      </c>
      <c r="W18" s="126"/>
      <c r="X18" s="126"/>
      <c r="Y18" s="126"/>
      <c r="Z18" s="126"/>
      <c r="AA18" s="126"/>
    </row>
    <row r="19" spans="1:27" ht="14.5" hidden="1" x14ac:dyDescent="0.35">
      <c r="A19" s="54" t="s">
        <v>19</v>
      </c>
      <c r="B19" s="55" t="s">
        <v>162</v>
      </c>
      <c r="C19" s="55" t="s">
        <v>134</v>
      </c>
      <c r="D19" s="55">
        <v>95</v>
      </c>
      <c r="E19" s="55"/>
      <c r="F19" s="55">
        <v>86</v>
      </c>
      <c r="G19" s="55">
        <v>95</v>
      </c>
      <c r="H19" s="55">
        <v>86</v>
      </c>
      <c r="I19" s="70"/>
      <c r="J19" s="55"/>
      <c r="K19" s="55"/>
      <c r="L19" s="80">
        <v>96</v>
      </c>
      <c r="M19" s="80">
        <v>99</v>
      </c>
      <c r="N19" s="80"/>
      <c r="O19" s="103">
        <f>AVERAGE(G19:M19)</f>
        <v>94</v>
      </c>
      <c r="P19" s="69">
        <f>MIN(13.2, MAX(0, 100 - O19) * 0.66)</f>
        <v>3.96</v>
      </c>
      <c r="Q19" s="98">
        <f>N19</f>
        <v>0</v>
      </c>
      <c r="R19" s="85"/>
      <c r="S19" s="104">
        <f>IF(ISBLANK(N19), 0, N19 + P19)</f>
        <v>0</v>
      </c>
      <c r="W19" s="126"/>
      <c r="X19" s="126"/>
      <c r="Y19" s="126"/>
      <c r="Z19" s="126"/>
      <c r="AA19" s="126"/>
    </row>
    <row r="20" spans="1:27" ht="15.75" hidden="1" customHeight="1" x14ac:dyDescent="0.35">
      <c r="A20" s="54" t="s">
        <v>86</v>
      </c>
      <c r="B20" s="55" t="s">
        <v>58</v>
      </c>
      <c r="C20" s="55" t="s">
        <v>83</v>
      </c>
      <c r="D20" s="55">
        <v>108</v>
      </c>
      <c r="E20" s="55"/>
      <c r="F20" s="55"/>
      <c r="G20" s="55"/>
      <c r="H20" s="55"/>
      <c r="I20" s="70"/>
      <c r="J20" s="55"/>
      <c r="K20" s="55"/>
      <c r="L20" s="80"/>
      <c r="M20" s="80"/>
      <c r="N20" s="80"/>
      <c r="O20" s="103">
        <f>AVERAGE(D20:M20)</f>
        <v>108</v>
      </c>
      <c r="P20" s="69">
        <f>MIN(13.2, MAX(0, 120 - O20) * 0.66)</f>
        <v>7.92</v>
      </c>
      <c r="Q20" s="98">
        <f>N20</f>
        <v>0</v>
      </c>
      <c r="R20" s="85"/>
      <c r="S20" s="104">
        <f>IF(ISBLANK(N20), 0, N20 + P20)</f>
        <v>0</v>
      </c>
    </row>
    <row r="21" spans="1:27" ht="15.75" hidden="1" customHeight="1" x14ac:dyDescent="0.35">
      <c r="A21" s="54" t="s">
        <v>92</v>
      </c>
      <c r="B21" s="55" t="s">
        <v>58</v>
      </c>
      <c r="C21" s="55" t="s">
        <v>83</v>
      </c>
      <c r="D21" s="55">
        <v>113</v>
      </c>
      <c r="E21" s="55"/>
      <c r="F21" s="55"/>
      <c r="G21" s="55">
        <v>110</v>
      </c>
      <c r="H21" s="55">
        <v>107</v>
      </c>
      <c r="I21" s="70"/>
      <c r="J21" s="55"/>
      <c r="K21" s="55">
        <v>110</v>
      </c>
      <c r="L21" s="80">
        <v>103</v>
      </c>
      <c r="M21" s="80"/>
      <c r="N21" s="80"/>
      <c r="O21" s="103">
        <f>AVERAGE(G21:M21)</f>
        <v>107.5</v>
      </c>
      <c r="P21" s="69">
        <f>MIN(13.2, MAX(0, 120 - O21) * 0.66)</f>
        <v>8.25</v>
      </c>
      <c r="Q21" s="98">
        <f>N21</f>
        <v>0</v>
      </c>
      <c r="R21" s="85"/>
      <c r="S21" s="104">
        <f>IF(ISBLANK(N21), 0, N21 + P21)</f>
        <v>0</v>
      </c>
    </row>
    <row r="22" spans="1:27" ht="16.5" hidden="1" customHeight="1" x14ac:dyDescent="0.35">
      <c r="A22" s="54" t="s">
        <v>93</v>
      </c>
      <c r="B22" s="55" t="s">
        <v>58</v>
      </c>
      <c r="C22" s="55" t="s">
        <v>83</v>
      </c>
      <c r="D22" s="55"/>
      <c r="E22" s="55"/>
      <c r="F22" s="55"/>
      <c r="G22" s="55">
        <v>101</v>
      </c>
      <c r="H22" s="55">
        <v>107</v>
      </c>
      <c r="I22" s="70"/>
      <c r="J22" s="55"/>
      <c r="K22" s="55">
        <v>109</v>
      </c>
      <c r="L22" s="80">
        <v>96</v>
      </c>
      <c r="M22" s="80"/>
      <c r="N22" s="80"/>
      <c r="O22" s="103">
        <f>AVERAGE(G22:M22)</f>
        <v>103.25</v>
      </c>
      <c r="P22" s="69">
        <f>MIN(13.2, MAX(0, 120 - O22) * 0.66)</f>
        <v>11.055</v>
      </c>
      <c r="Q22" s="98">
        <f>N22</f>
        <v>0</v>
      </c>
      <c r="R22" s="85"/>
      <c r="S22" s="104">
        <f>IF(ISBLANK(N22), 0, N22 + P22)</f>
        <v>0</v>
      </c>
      <c r="W22" s="124"/>
      <c r="X22" s="119"/>
      <c r="Y22" s="124"/>
      <c r="Z22" s="124"/>
      <c r="AA22" s="124"/>
    </row>
    <row r="23" spans="1:27" ht="15.75" hidden="1" customHeight="1" x14ac:dyDescent="0.35">
      <c r="A23" s="54" t="s">
        <v>135</v>
      </c>
      <c r="B23" s="55" t="s">
        <v>58</v>
      </c>
      <c r="C23" s="55" t="s">
        <v>83</v>
      </c>
      <c r="D23" s="55"/>
      <c r="E23" s="55"/>
      <c r="F23" s="55"/>
      <c r="G23" s="55"/>
      <c r="H23" s="55"/>
      <c r="I23" s="70"/>
      <c r="J23" s="55">
        <v>113</v>
      </c>
      <c r="K23" s="55">
        <v>109</v>
      </c>
      <c r="L23" s="80">
        <v>94</v>
      </c>
      <c r="M23" s="80"/>
      <c r="N23" s="80"/>
      <c r="O23" s="103">
        <f>AVERAGE(G23:M23)</f>
        <v>105.33333333333333</v>
      </c>
      <c r="P23" s="69">
        <f>MIN(13.2, MAX(0, 120 - O23) * 0.66)</f>
        <v>9.6800000000000033</v>
      </c>
      <c r="Q23" s="98">
        <f>N23</f>
        <v>0</v>
      </c>
      <c r="R23" s="85"/>
      <c r="S23" s="104">
        <f>IF(ISBLANK(N23), 0, N23 + P23)</f>
        <v>0</v>
      </c>
      <c r="W23" s="125"/>
      <c r="X23" s="121"/>
      <c r="Y23" s="125"/>
      <c r="Z23" s="125"/>
      <c r="AA23" s="124"/>
    </row>
    <row r="24" spans="1:27" ht="15.75" hidden="1" customHeight="1" x14ac:dyDescent="0.35">
      <c r="A24" s="54" t="s">
        <v>84</v>
      </c>
      <c r="B24" s="55" t="s">
        <v>58</v>
      </c>
      <c r="C24" s="55" t="s">
        <v>83</v>
      </c>
      <c r="D24" s="55">
        <v>116</v>
      </c>
      <c r="E24" s="55"/>
      <c r="F24" s="55">
        <v>109</v>
      </c>
      <c r="G24" s="55">
        <v>106</v>
      </c>
      <c r="H24" s="55"/>
      <c r="I24" s="70"/>
      <c r="J24" s="55">
        <v>111</v>
      </c>
      <c r="K24" s="55">
        <v>119</v>
      </c>
      <c r="L24" s="80">
        <v>105</v>
      </c>
      <c r="M24" s="80"/>
      <c r="N24" s="80"/>
      <c r="O24" s="103">
        <f>AVERAGE(G24:M24)</f>
        <v>110.25</v>
      </c>
      <c r="P24" s="69">
        <f>MIN(13.2, MAX(0, 120 - O24) * 0.66)</f>
        <v>6.4350000000000005</v>
      </c>
      <c r="Q24" s="98">
        <f>N24</f>
        <v>0</v>
      </c>
      <c r="R24" s="85"/>
      <c r="S24" s="104">
        <f>IF(ISBLANK(N24), 0, N24 + P24)</f>
        <v>0</v>
      </c>
      <c r="W24" s="125"/>
      <c r="X24" s="120"/>
      <c r="Y24" s="125"/>
      <c r="Z24" s="125"/>
      <c r="AA24" s="125"/>
    </row>
    <row r="25" spans="1:27" ht="15.75" hidden="1" customHeight="1" x14ac:dyDescent="0.35">
      <c r="A25" s="54" t="s">
        <v>73</v>
      </c>
      <c r="B25" s="55" t="s">
        <v>58</v>
      </c>
      <c r="C25" s="55" t="s">
        <v>59</v>
      </c>
      <c r="D25" s="55">
        <v>115</v>
      </c>
      <c r="E25" s="55"/>
      <c r="F25" s="55"/>
      <c r="G25" s="55">
        <v>114</v>
      </c>
      <c r="H25" s="55">
        <v>103</v>
      </c>
      <c r="I25" s="70"/>
      <c r="J25" s="55">
        <v>106</v>
      </c>
      <c r="K25" s="55">
        <v>101</v>
      </c>
      <c r="L25" s="80"/>
      <c r="M25" s="80"/>
      <c r="N25" s="80"/>
      <c r="O25" s="103">
        <f>AVERAGE(G25:M25)</f>
        <v>106</v>
      </c>
      <c r="P25" s="69">
        <f>MIN(13.2, MAX(0, 120 - O25) * 0.66)</f>
        <v>9.24</v>
      </c>
      <c r="Q25" s="98">
        <f>N25</f>
        <v>0</v>
      </c>
      <c r="R25" s="85"/>
      <c r="S25" s="104">
        <f>IF(ISBLANK(N25), 0, N25 + P25)</f>
        <v>0</v>
      </c>
      <c r="W25" s="125"/>
      <c r="X25" s="120"/>
      <c r="Y25" s="125"/>
      <c r="Z25" s="125"/>
      <c r="AA25" s="125"/>
    </row>
    <row r="26" spans="1:27" ht="15.75" hidden="1" customHeight="1" x14ac:dyDescent="0.35">
      <c r="A26" s="54" t="s">
        <v>70</v>
      </c>
      <c r="B26" s="55" t="s">
        <v>58</v>
      </c>
      <c r="C26" s="55" t="s">
        <v>59</v>
      </c>
      <c r="D26" s="55">
        <v>116</v>
      </c>
      <c r="E26" s="55"/>
      <c r="F26" s="55"/>
      <c r="G26" s="55">
        <v>110</v>
      </c>
      <c r="H26" s="55">
        <v>106</v>
      </c>
      <c r="I26" s="70"/>
      <c r="J26" s="55">
        <v>105</v>
      </c>
      <c r="K26" s="55">
        <v>118</v>
      </c>
      <c r="L26" s="80">
        <v>97</v>
      </c>
      <c r="M26" s="80">
        <v>112</v>
      </c>
      <c r="N26" s="80"/>
      <c r="O26" s="103">
        <f>AVERAGE(G26:M26)</f>
        <v>108</v>
      </c>
      <c r="P26" s="69">
        <f>MIN(13.2, MAX(0, 120 - O26) * 0.66)</f>
        <v>7.92</v>
      </c>
      <c r="Q26" s="98">
        <f>N26</f>
        <v>0</v>
      </c>
      <c r="R26" s="85"/>
      <c r="S26" s="104">
        <f>IF(ISBLANK(N26), 0, N26 + P26)</f>
        <v>0</v>
      </c>
    </row>
    <row r="27" spans="1:27" ht="15.75" hidden="1" customHeight="1" x14ac:dyDescent="0.35">
      <c r="A27" s="54" t="s">
        <v>64</v>
      </c>
      <c r="B27" s="55" t="s">
        <v>58</v>
      </c>
      <c r="C27" s="55" t="s">
        <v>59</v>
      </c>
      <c r="D27" s="55">
        <v>117</v>
      </c>
      <c r="E27" s="55">
        <v>119</v>
      </c>
      <c r="F27" s="55"/>
      <c r="G27" s="55"/>
      <c r="H27" s="55"/>
      <c r="I27" s="70"/>
      <c r="J27" s="55"/>
      <c r="K27" s="55">
        <v>120</v>
      </c>
      <c r="L27" s="80"/>
      <c r="M27" s="80"/>
      <c r="N27" s="80"/>
      <c r="O27" s="103">
        <f>AVERAGE(G27:M27)</f>
        <v>120</v>
      </c>
      <c r="P27" s="69">
        <f>MIN(13.2, MAX(0, 120 - O27) * 0.66)</f>
        <v>0</v>
      </c>
      <c r="Q27" s="98">
        <f>N27</f>
        <v>0</v>
      </c>
      <c r="R27" s="85"/>
      <c r="S27" s="104">
        <f>IF(ISBLANK(N27), 0, N27 + P27)</f>
        <v>0</v>
      </c>
    </row>
    <row r="28" spans="1:27" ht="15.75" hidden="1" customHeight="1" x14ac:dyDescent="0.35">
      <c r="A28" s="54" t="s">
        <v>74</v>
      </c>
      <c r="B28" s="55" t="s">
        <v>58</v>
      </c>
      <c r="C28" s="55" t="s">
        <v>59</v>
      </c>
      <c r="D28" s="55">
        <v>118</v>
      </c>
      <c r="E28" s="55">
        <v>116</v>
      </c>
      <c r="F28" s="55">
        <v>120</v>
      </c>
      <c r="G28" s="55"/>
      <c r="H28" s="55">
        <v>110</v>
      </c>
      <c r="I28" s="70"/>
      <c r="J28" s="55"/>
      <c r="K28" s="55"/>
      <c r="L28" s="80">
        <v>120</v>
      </c>
      <c r="M28" s="80">
        <v>119</v>
      </c>
      <c r="N28" s="80"/>
      <c r="O28" s="103">
        <f>AVERAGE(G28:M28)</f>
        <v>116.33333333333333</v>
      </c>
      <c r="P28" s="69">
        <f>MIN(13.2, MAX(0, 120 - O28) * 0.66)</f>
        <v>2.420000000000003</v>
      </c>
      <c r="Q28" s="98">
        <f>N28</f>
        <v>0</v>
      </c>
      <c r="R28" s="85"/>
      <c r="S28" s="104">
        <f>IF(ISBLANK(N28), 0, N28 + P28)</f>
        <v>0</v>
      </c>
    </row>
    <row r="29" spans="1:27" ht="15.75" hidden="1" customHeight="1" x14ac:dyDescent="0.35">
      <c r="A29" s="54" t="s">
        <v>62</v>
      </c>
      <c r="B29" s="55" t="s">
        <v>58</v>
      </c>
      <c r="C29" s="55" t="s">
        <v>59</v>
      </c>
      <c r="D29" s="55">
        <v>114</v>
      </c>
      <c r="E29" s="55"/>
      <c r="F29" s="55"/>
      <c r="G29" s="55"/>
      <c r="H29" s="55"/>
      <c r="I29" s="70"/>
      <c r="J29" s="55"/>
      <c r="K29" s="55"/>
      <c r="L29" s="80"/>
      <c r="M29" s="80"/>
      <c r="N29" s="80"/>
      <c r="O29" s="103">
        <f>AVERAGE(D29:M29)</f>
        <v>114</v>
      </c>
      <c r="P29" s="69">
        <f>MIN(13.2, MAX(0, 120 - O29) * 0.66)</f>
        <v>3.96</v>
      </c>
      <c r="Q29" s="98">
        <f>N29</f>
        <v>0</v>
      </c>
      <c r="R29" s="85"/>
      <c r="S29" s="104">
        <f>IF(ISBLANK(N29), 0, N29 + P29)</f>
        <v>0</v>
      </c>
    </row>
    <row r="30" spans="1:27" ht="15.75" hidden="1" customHeight="1" x14ac:dyDescent="0.35">
      <c r="A30" s="54" t="s">
        <v>63</v>
      </c>
      <c r="B30" s="55" t="s">
        <v>58</v>
      </c>
      <c r="C30" s="55" t="s">
        <v>59</v>
      </c>
      <c r="D30" s="55">
        <v>114</v>
      </c>
      <c r="E30" s="55">
        <v>119</v>
      </c>
      <c r="F30" s="55">
        <v>117</v>
      </c>
      <c r="G30" s="55"/>
      <c r="H30" s="55"/>
      <c r="I30" s="70"/>
      <c r="J30" s="55">
        <v>113</v>
      </c>
      <c r="K30" s="55">
        <f>58+56</f>
        <v>114</v>
      </c>
      <c r="L30" s="80">
        <v>116</v>
      </c>
      <c r="M30" s="80"/>
      <c r="N30" s="80"/>
      <c r="O30" s="103">
        <f>AVERAGE(G30:M30)</f>
        <v>114.33333333333333</v>
      </c>
      <c r="P30" s="69">
        <f>MIN(13.2, MAX(0, 120 - O30) * 0.66)</f>
        <v>3.7400000000000033</v>
      </c>
      <c r="Q30" s="98">
        <f>N30</f>
        <v>0</v>
      </c>
      <c r="R30" s="85"/>
      <c r="S30" s="104">
        <f>IF(ISBLANK(N30), 0, N30 + P30)</f>
        <v>0</v>
      </c>
    </row>
    <row r="31" spans="1:27" ht="15.75" hidden="1" customHeight="1" x14ac:dyDescent="0.35">
      <c r="A31" s="54" t="s">
        <v>61</v>
      </c>
      <c r="B31" s="55" t="s">
        <v>58</v>
      </c>
      <c r="C31" s="55" t="s">
        <v>59</v>
      </c>
      <c r="D31" s="55"/>
      <c r="E31" s="55"/>
      <c r="F31" s="55"/>
      <c r="G31" s="55"/>
      <c r="H31" s="55">
        <v>112</v>
      </c>
      <c r="I31" s="70"/>
      <c r="J31" s="55">
        <v>109</v>
      </c>
      <c r="K31" s="55">
        <v>118</v>
      </c>
      <c r="L31" s="80">
        <v>109</v>
      </c>
      <c r="M31" s="80">
        <v>111</v>
      </c>
      <c r="N31" s="80"/>
      <c r="O31" s="103">
        <f>AVERAGE(G31:M31)</f>
        <v>111.8</v>
      </c>
      <c r="P31" s="69">
        <f>MIN(13.2, MAX(0, 120 - O31) * 0.66)</f>
        <v>5.4120000000000017</v>
      </c>
      <c r="Q31" s="98">
        <f>N31</f>
        <v>0</v>
      </c>
      <c r="R31" s="85"/>
      <c r="S31" s="104">
        <f>IF(ISBLANK(N31), 0, N31 + P31)</f>
        <v>0</v>
      </c>
    </row>
    <row r="32" spans="1:27" ht="15.75" hidden="1" customHeight="1" x14ac:dyDescent="0.35">
      <c r="A32" s="54" t="s">
        <v>75</v>
      </c>
      <c r="B32" s="55" t="s">
        <v>58</v>
      </c>
      <c r="C32" s="55" t="s">
        <v>59</v>
      </c>
      <c r="D32" s="55"/>
      <c r="E32" s="55"/>
      <c r="F32" s="55">
        <v>110</v>
      </c>
      <c r="G32" s="55">
        <v>106</v>
      </c>
      <c r="H32" s="55">
        <v>114</v>
      </c>
      <c r="I32" s="70"/>
      <c r="J32" s="55"/>
      <c r="K32" s="55">
        <v>117</v>
      </c>
      <c r="L32" s="80"/>
      <c r="M32" s="80">
        <v>118</v>
      </c>
      <c r="N32" s="80"/>
      <c r="O32" s="103">
        <f>AVERAGE(G32:M32)</f>
        <v>113.75</v>
      </c>
      <c r="P32" s="69">
        <f>MIN(13.2, MAX(0, 120 - O32) * 0.66)</f>
        <v>4.125</v>
      </c>
      <c r="Q32" s="98">
        <f>N32</f>
        <v>0</v>
      </c>
      <c r="R32" s="85"/>
      <c r="S32" s="104">
        <f>IF(ISBLANK(N32), 0, N32 + P32)</f>
        <v>0</v>
      </c>
    </row>
    <row r="33" spans="1:19" ht="15.75" hidden="1" customHeight="1" x14ac:dyDescent="0.35">
      <c r="A33" s="54" t="s">
        <v>57</v>
      </c>
      <c r="B33" s="55" t="s">
        <v>58</v>
      </c>
      <c r="C33" s="55" t="s">
        <v>59</v>
      </c>
      <c r="D33" s="55">
        <v>118</v>
      </c>
      <c r="E33" s="55"/>
      <c r="F33" s="55"/>
      <c r="G33" s="55"/>
      <c r="H33" s="55"/>
      <c r="I33" s="70"/>
      <c r="J33" s="55"/>
      <c r="K33" s="55"/>
      <c r="L33" s="80"/>
      <c r="M33" s="80"/>
      <c r="N33" s="80"/>
      <c r="O33" s="103">
        <f>AVERAGE(D33:M33)</f>
        <v>118</v>
      </c>
      <c r="P33" s="69">
        <f>MIN(13.2, MAX(0, 120 - O33) * 0.66)</f>
        <v>1.32</v>
      </c>
      <c r="Q33" s="98">
        <f>N33</f>
        <v>0</v>
      </c>
      <c r="R33" s="85"/>
      <c r="S33" s="104">
        <f>IF(ISBLANK(N33), 0, N33 + P33)</f>
        <v>0</v>
      </c>
    </row>
    <row r="34" spans="1:19" ht="15.75" hidden="1" customHeight="1" x14ac:dyDescent="0.35">
      <c r="A34" s="54" t="s">
        <v>68</v>
      </c>
      <c r="B34" s="55" t="s">
        <v>58</v>
      </c>
      <c r="C34" s="55" t="s">
        <v>59</v>
      </c>
      <c r="D34" s="55">
        <v>112</v>
      </c>
      <c r="E34" s="55">
        <v>118</v>
      </c>
      <c r="F34" s="55">
        <v>110</v>
      </c>
      <c r="G34" s="55"/>
      <c r="H34" s="55"/>
      <c r="I34" s="70"/>
      <c r="J34" s="55"/>
      <c r="K34" s="55"/>
      <c r="L34" s="80"/>
      <c r="M34" s="80"/>
      <c r="N34" s="80"/>
      <c r="O34" s="103">
        <f>AVERAGE(D34:M34)</f>
        <v>113.33333333333333</v>
      </c>
      <c r="P34" s="69">
        <f>MIN(13.2, MAX(0, 120 - O34) * 0.66)</f>
        <v>4.400000000000003</v>
      </c>
      <c r="Q34" s="98">
        <f>N34</f>
        <v>0</v>
      </c>
      <c r="R34" s="85"/>
      <c r="S34" s="104">
        <f>IF(ISBLANK(N34), 0, N34 + P34)</f>
        <v>0</v>
      </c>
    </row>
    <row r="35" spans="1:19" ht="15.75" hidden="1" customHeight="1" x14ac:dyDescent="0.35">
      <c r="A35" s="54" t="s">
        <v>19</v>
      </c>
      <c r="B35" s="55" t="s">
        <v>58</v>
      </c>
      <c r="C35" s="55" t="s">
        <v>134</v>
      </c>
      <c r="D35" s="55"/>
      <c r="E35" s="55">
        <v>114</v>
      </c>
      <c r="F35" s="55"/>
      <c r="G35" s="55"/>
      <c r="H35" s="55"/>
      <c r="I35" s="70"/>
      <c r="J35" s="55"/>
      <c r="K35" s="55">
        <v>115</v>
      </c>
      <c r="L35" s="80"/>
      <c r="M35" s="80"/>
      <c r="N35" s="80"/>
      <c r="O35" s="103">
        <f>AVERAGE(G35:M35)</f>
        <v>115</v>
      </c>
      <c r="P35" s="69">
        <f>MIN(13.2, MAX(0, 120 - O35) * 0.66)</f>
        <v>3.3000000000000003</v>
      </c>
      <c r="Q35" s="98">
        <f>N35</f>
        <v>0</v>
      </c>
      <c r="R35" s="85"/>
      <c r="S35" s="104">
        <f>IF(ISBLANK(N35), 0, N35 + P35)</f>
        <v>0</v>
      </c>
    </row>
    <row r="36" spans="1:19" ht="15.75" hidden="1" customHeight="1" x14ac:dyDescent="0.35">
      <c r="A36" s="54" t="s">
        <v>76</v>
      </c>
      <c r="B36" s="55" t="s">
        <v>58</v>
      </c>
      <c r="C36" s="55" t="s">
        <v>134</v>
      </c>
      <c r="D36" s="55"/>
      <c r="E36" s="55">
        <v>113</v>
      </c>
      <c r="F36" s="55">
        <v>111</v>
      </c>
      <c r="G36" s="55">
        <v>113</v>
      </c>
      <c r="H36" s="55">
        <v>101</v>
      </c>
      <c r="I36" s="70"/>
      <c r="J36" s="55">
        <v>112</v>
      </c>
      <c r="K36" s="55">
        <v>115</v>
      </c>
      <c r="L36" s="80">
        <v>103</v>
      </c>
      <c r="M36" s="80">
        <v>116</v>
      </c>
      <c r="N36" s="80"/>
      <c r="O36" s="103">
        <f>AVERAGE(G36:M36)</f>
        <v>110</v>
      </c>
      <c r="P36" s="69">
        <f>MIN(13.2, MAX(0, 120 - O36) * 0.66)</f>
        <v>6.6000000000000005</v>
      </c>
      <c r="Q36" s="98">
        <f>N36</f>
        <v>0</v>
      </c>
      <c r="R36" s="85"/>
      <c r="S36" s="104">
        <f>IF(ISBLANK(N36), 0, N36 + P36)</f>
        <v>0</v>
      </c>
    </row>
    <row r="37" spans="1:19" ht="15.75" hidden="1" customHeight="1" x14ac:dyDescent="0.35">
      <c r="A37" s="54" t="s">
        <v>26</v>
      </c>
      <c r="B37" s="55" t="s">
        <v>58</v>
      </c>
      <c r="C37" s="55" t="s">
        <v>134</v>
      </c>
      <c r="D37" s="55">
        <v>114</v>
      </c>
      <c r="E37" s="55"/>
      <c r="F37" s="55"/>
      <c r="G37" s="55"/>
      <c r="H37" s="55">
        <v>94</v>
      </c>
      <c r="I37" s="70"/>
      <c r="J37" s="55"/>
      <c r="K37" s="55"/>
      <c r="L37" s="80"/>
      <c r="M37" s="80"/>
      <c r="N37" s="80"/>
      <c r="O37" s="103">
        <f>AVERAGE(G37:M37)</f>
        <v>94</v>
      </c>
      <c r="P37" s="69">
        <f>MIN(13.2, MAX(0, 120 - O37) * 0.66)</f>
        <v>13.2</v>
      </c>
      <c r="Q37" s="98">
        <f>N37</f>
        <v>0</v>
      </c>
      <c r="R37" s="85"/>
      <c r="S37" s="104">
        <f>IF(ISBLANK(N37), 0, N37 + P37)</f>
        <v>0</v>
      </c>
    </row>
    <row r="38" spans="1:19" ht="15.75" hidden="1" customHeight="1" x14ac:dyDescent="0.35">
      <c r="A38" s="87" t="s">
        <v>51</v>
      </c>
      <c r="B38" s="88" t="s">
        <v>58</v>
      </c>
      <c r="C38" s="88" t="s">
        <v>134</v>
      </c>
      <c r="D38" s="88"/>
      <c r="E38" s="88"/>
      <c r="F38" s="88"/>
      <c r="G38" s="88"/>
      <c r="H38" s="88"/>
      <c r="I38" s="89"/>
      <c r="J38" s="88">
        <v>118</v>
      </c>
      <c r="K38" s="88">
        <v>118</v>
      </c>
      <c r="L38" s="90"/>
      <c r="M38" s="90"/>
      <c r="N38" s="90"/>
      <c r="O38" s="103">
        <f>AVERAGE(G38:M38)</f>
        <v>118</v>
      </c>
      <c r="P38" s="91">
        <f>MIN(13.2, MAX(0, 120 - O38) * 0.66)</f>
        <v>1.32</v>
      </c>
      <c r="Q38" s="98">
        <f>N38</f>
        <v>0</v>
      </c>
      <c r="R38" s="85"/>
      <c r="S38" s="104">
        <f>IF(ISBLANK(N38), 0, N38 + P38)</f>
        <v>0</v>
      </c>
    </row>
    <row r="39" spans="1:19" ht="15.75" hidden="1" customHeight="1" x14ac:dyDescent="0.35">
      <c r="A39" s="54" t="s">
        <v>53</v>
      </c>
      <c r="B39" s="55" t="s">
        <v>58</v>
      </c>
      <c r="C39" s="55" t="s">
        <v>134</v>
      </c>
      <c r="D39" s="55"/>
      <c r="E39" s="55"/>
      <c r="F39" s="55">
        <v>119</v>
      </c>
      <c r="G39" s="55">
        <v>110</v>
      </c>
      <c r="H39" s="55"/>
      <c r="I39" s="70"/>
      <c r="J39" s="55">
        <v>119</v>
      </c>
      <c r="K39" s="55">
        <v>118</v>
      </c>
      <c r="L39" s="80">
        <v>109</v>
      </c>
      <c r="M39" s="80"/>
      <c r="N39" s="80"/>
      <c r="O39" s="103">
        <f>AVERAGE(G39:M39)</f>
        <v>114</v>
      </c>
      <c r="P39" s="69">
        <f>MIN(13.2, MAX(0, 120 - O39) * 0.66)</f>
        <v>3.96</v>
      </c>
      <c r="Q39" s="98">
        <f>N39</f>
        <v>0</v>
      </c>
      <c r="R39" s="85"/>
      <c r="S39" s="104">
        <f>IF(ISBLANK(N39), 0, N39 + P39)</f>
        <v>0</v>
      </c>
    </row>
    <row r="40" spans="1:19" ht="15.75" hidden="1" customHeight="1" x14ac:dyDescent="0.35">
      <c r="A40" s="87" t="s">
        <v>23</v>
      </c>
      <c r="B40" s="88" t="s">
        <v>58</v>
      </c>
      <c r="C40" s="88" t="s">
        <v>134</v>
      </c>
      <c r="D40" s="88"/>
      <c r="E40" s="88"/>
      <c r="F40" s="88">
        <v>105</v>
      </c>
      <c r="G40" s="88">
        <v>99</v>
      </c>
      <c r="H40" s="88"/>
      <c r="I40" s="89"/>
      <c r="J40" s="88"/>
      <c r="K40" s="88">
        <v>106</v>
      </c>
      <c r="L40" s="90"/>
      <c r="M40" s="90"/>
      <c r="N40" s="90"/>
      <c r="O40" s="103">
        <f>AVERAGE(G40:M40)</f>
        <v>102.5</v>
      </c>
      <c r="P40" s="91">
        <f>MIN(13.2, MAX(0, 120 - O40) * 0.66)</f>
        <v>11.55</v>
      </c>
      <c r="Q40" s="98">
        <f>N40</f>
        <v>0</v>
      </c>
      <c r="R40" s="85"/>
      <c r="S40" s="104">
        <f>IF(ISBLANK(N40), 0, N40 + P40)</f>
        <v>0</v>
      </c>
    </row>
    <row r="41" spans="1:19" s="68" customFormat="1" ht="15.75" hidden="1" customHeight="1" x14ac:dyDescent="0.35">
      <c r="A41" s="54" t="s">
        <v>118</v>
      </c>
      <c r="B41" s="55" t="s">
        <v>58</v>
      </c>
      <c r="C41" s="55" t="s">
        <v>134</v>
      </c>
      <c r="D41" s="55">
        <v>114</v>
      </c>
      <c r="E41" s="55"/>
      <c r="F41" s="55">
        <v>107</v>
      </c>
      <c r="G41" s="55">
        <v>111</v>
      </c>
      <c r="H41" s="55"/>
      <c r="I41" s="70"/>
      <c r="J41" s="55"/>
      <c r="K41" s="55">
        <v>112</v>
      </c>
      <c r="L41" s="80">
        <v>100</v>
      </c>
      <c r="M41" s="80">
        <v>112</v>
      </c>
      <c r="N41" s="80"/>
      <c r="O41" s="103">
        <f>AVERAGE(G41:M41)</f>
        <v>108.75</v>
      </c>
      <c r="P41" s="69">
        <f>MIN(13.2, MAX(0, 120 - O41) * 0.66)</f>
        <v>7.4250000000000007</v>
      </c>
      <c r="Q41" s="98">
        <f>N41</f>
        <v>0</v>
      </c>
      <c r="R41" s="85"/>
      <c r="S41" s="104">
        <f>IF(ISBLANK(N41), 0, N41 + P41)</f>
        <v>0</v>
      </c>
    </row>
    <row r="42" spans="1:19" ht="15.75" hidden="1" customHeight="1" x14ac:dyDescent="0.35">
      <c r="A42" s="87" t="s">
        <v>149</v>
      </c>
      <c r="B42" s="88" t="s">
        <v>58</v>
      </c>
      <c r="C42" s="88" t="s">
        <v>134</v>
      </c>
      <c r="D42" s="88"/>
      <c r="E42" s="88"/>
      <c r="F42" s="88"/>
      <c r="G42" s="88"/>
      <c r="H42" s="88"/>
      <c r="I42" s="89"/>
      <c r="J42" s="88">
        <v>117</v>
      </c>
      <c r="K42" s="88">
        <v>117</v>
      </c>
      <c r="L42" s="90"/>
      <c r="M42" s="90"/>
      <c r="N42" s="90"/>
      <c r="O42" s="103">
        <f>AVERAGE(G42:M42)</f>
        <v>117</v>
      </c>
      <c r="P42" s="91">
        <f>MIN(13.2, MAX(0, 120 - O42) * 0.66)</f>
        <v>1.98</v>
      </c>
      <c r="Q42" s="98">
        <f>N42</f>
        <v>0</v>
      </c>
      <c r="R42" s="85"/>
      <c r="S42" s="104">
        <f>IF(ISBLANK(N42), 0, N42 + P42)</f>
        <v>0</v>
      </c>
    </row>
    <row r="43" spans="1:19" ht="15.75" hidden="1" customHeight="1" x14ac:dyDescent="0.35">
      <c r="A43" s="54" t="s">
        <v>36</v>
      </c>
      <c r="B43" s="55" t="s">
        <v>58</v>
      </c>
      <c r="C43" s="55" t="s">
        <v>134</v>
      </c>
      <c r="D43" s="55"/>
      <c r="E43" s="55">
        <v>116</v>
      </c>
      <c r="F43" s="55">
        <v>116</v>
      </c>
      <c r="G43" s="55"/>
      <c r="H43" s="55">
        <v>106</v>
      </c>
      <c r="I43" s="70"/>
      <c r="J43" s="55"/>
      <c r="K43" s="55">
        <v>120</v>
      </c>
      <c r="L43" s="80"/>
      <c r="M43" s="80"/>
      <c r="N43" s="80"/>
      <c r="O43" s="103">
        <f>AVERAGE(G43:M43)</f>
        <v>113</v>
      </c>
      <c r="P43" s="69">
        <f>MIN(13.2, MAX(0, 120 - O43) * 0.66)</f>
        <v>4.62</v>
      </c>
      <c r="Q43" s="98">
        <f>N43</f>
        <v>0</v>
      </c>
      <c r="R43" s="85"/>
      <c r="S43" s="104">
        <f>IF(ISBLANK(N43), 0, N43 + P43)</f>
        <v>0</v>
      </c>
    </row>
    <row r="44" spans="1:19" s="68" customFormat="1" ht="15.75" hidden="1" customHeight="1" x14ac:dyDescent="0.35">
      <c r="A44" s="54" t="s">
        <v>34</v>
      </c>
      <c r="B44" s="55" t="s">
        <v>58</v>
      </c>
      <c r="C44" s="55" t="s">
        <v>134</v>
      </c>
      <c r="D44" s="55">
        <v>119</v>
      </c>
      <c r="E44" s="55"/>
      <c r="F44" s="55"/>
      <c r="G44" s="55">
        <v>112</v>
      </c>
      <c r="H44" s="55">
        <v>115</v>
      </c>
      <c r="I44" s="70"/>
      <c r="J44" s="55"/>
      <c r="K44" s="55">
        <v>119</v>
      </c>
      <c r="L44" s="80"/>
      <c r="M44" s="80"/>
      <c r="N44" s="80"/>
      <c r="O44" s="103">
        <f>AVERAGE(G44:M44)</f>
        <v>115.33333333333333</v>
      </c>
      <c r="P44" s="69">
        <f>MIN(13.2, MAX(0, 120 - O44) * 0.66)</f>
        <v>3.0800000000000032</v>
      </c>
      <c r="Q44" s="98">
        <f>N44</f>
        <v>0</v>
      </c>
      <c r="R44" s="85"/>
      <c r="S44" s="104">
        <f>IF(ISBLANK(N44), 0, N44 + P44)</f>
        <v>0</v>
      </c>
    </row>
    <row r="45" spans="1:19" ht="15.75" hidden="1" customHeight="1" x14ac:dyDescent="0.35">
      <c r="A45" s="54" t="s">
        <v>33</v>
      </c>
      <c r="B45" s="55" t="s">
        <v>58</v>
      </c>
      <c r="C45" s="55" t="s">
        <v>134</v>
      </c>
      <c r="D45" s="55">
        <v>115</v>
      </c>
      <c r="E45" s="55"/>
      <c r="F45" s="55">
        <v>115</v>
      </c>
      <c r="G45" s="55"/>
      <c r="H45" s="55"/>
      <c r="I45" s="70"/>
      <c r="J45" s="55"/>
      <c r="K45" s="55"/>
      <c r="L45" s="80"/>
      <c r="M45" s="80"/>
      <c r="N45" s="80"/>
      <c r="O45" s="103">
        <f>AVERAGE(D45:M45)</f>
        <v>115</v>
      </c>
      <c r="P45" s="69">
        <f>MIN(13.2, MAX(0, 120 - O45) * 0.66)</f>
        <v>3.3000000000000003</v>
      </c>
      <c r="Q45" s="98">
        <f>N45</f>
        <v>0</v>
      </c>
      <c r="R45" s="85"/>
      <c r="S45" s="104">
        <f>IF(ISBLANK(N45), 0, N45 + P45)</f>
        <v>0</v>
      </c>
    </row>
    <row r="46" spans="1:19" ht="15.75" hidden="1" customHeight="1" x14ac:dyDescent="0.35">
      <c r="A46" s="54" t="s">
        <v>44</v>
      </c>
      <c r="B46" s="55" t="s">
        <v>58</v>
      </c>
      <c r="C46" s="55" t="s">
        <v>134</v>
      </c>
      <c r="D46" s="55"/>
      <c r="E46" s="55"/>
      <c r="F46" s="55"/>
      <c r="G46" s="55">
        <v>115</v>
      </c>
      <c r="H46" s="55"/>
      <c r="I46" s="70"/>
      <c r="J46" s="55"/>
      <c r="K46" s="55"/>
      <c r="L46" s="80"/>
      <c r="M46" s="80"/>
      <c r="N46" s="80"/>
      <c r="O46" s="103">
        <f>AVERAGE(G46:M46)</f>
        <v>115</v>
      </c>
      <c r="P46" s="69">
        <f>MIN(13.2, MAX(0, 120 - O46) * 0.66)</f>
        <v>3.3000000000000003</v>
      </c>
      <c r="Q46" s="98">
        <f>N46</f>
        <v>0</v>
      </c>
      <c r="R46" s="85"/>
      <c r="S46" s="104">
        <f>IF(ISBLANK(N46), 0, N46 + P46)</f>
        <v>0</v>
      </c>
    </row>
    <row r="47" spans="1:19" ht="15.75" hidden="1" customHeight="1" x14ac:dyDescent="0.35">
      <c r="A47" s="54" t="s">
        <v>60</v>
      </c>
      <c r="B47" s="55" t="s">
        <v>58</v>
      </c>
      <c r="C47" s="55" t="s">
        <v>134</v>
      </c>
      <c r="D47" s="55">
        <v>106</v>
      </c>
      <c r="E47" s="55">
        <v>112</v>
      </c>
      <c r="F47" s="55">
        <v>114</v>
      </c>
      <c r="G47" s="55">
        <v>102</v>
      </c>
      <c r="H47" s="55">
        <v>107</v>
      </c>
      <c r="I47" s="70"/>
      <c r="J47" s="55">
        <v>115</v>
      </c>
      <c r="K47" s="55">
        <v>113</v>
      </c>
      <c r="L47" s="80">
        <v>108</v>
      </c>
      <c r="M47" s="80"/>
      <c r="N47" s="80"/>
      <c r="O47" s="103">
        <f>AVERAGE(G47:M47)</f>
        <v>109</v>
      </c>
      <c r="P47" s="69">
        <f>MIN(13.2, MAX(0, 120 - O47) * 0.66)</f>
        <v>7.2600000000000007</v>
      </c>
      <c r="Q47" s="98">
        <f>N47</f>
        <v>0</v>
      </c>
      <c r="R47" s="85"/>
      <c r="S47" s="104">
        <f>IF(ISBLANK(N47), 0, N47 + P47)</f>
        <v>0</v>
      </c>
    </row>
    <row r="48" spans="1:19" ht="15.75" hidden="1" customHeight="1" x14ac:dyDescent="0.35">
      <c r="A48" s="54" t="s">
        <v>31</v>
      </c>
      <c r="B48" s="55" t="s">
        <v>58</v>
      </c>
      <c r="C48" s="55" t="s">
        <v>134</v>
      </c>
      <c r="D48" s="55">
        <v>114</v>
      </c>
      <c r="E48" s="55">
        <v>116</v>
      </c>
      <c r="F48" s="55"/>
      <c r="G48" s="55">
        <v>112</v>
      </c>
      <c r="H48" s="55"/>
      <c r="I48" s="70"/>
      <c r="J48" s="55"/>
      <c r="K48" s="55">
        <v>115</v>
      </c>
      <c r="L48" s="80">
        <v>100</v>
      </c>
      <c r="M48" s="80">
        <v>113</v>
      </c>
      <c r="N48" s="80"/>
      <c r="O48" s="103">
        <f>AVERAGE(G48:M48)</f>
        <v>110</v>
      </c>
      <c r="P48" s="69">
        <f>MIN(13.2, MAX(0, 120 - O48) * 0.66)</f>
        <v>6.6000000000000005</v>
      </c>
      <c r="Q48" s="98">
        <f>N48</f>
        <v>0</v>
      </c>
      <c r="R48" s="85"/>
      <c r="S48" s="104">
        <f>IF(ISBLANK(N48), 0, N48 + P48)</f>
        <v>0</v>
      </c>
    </row>
    <row r="49" spans="1:19" s="68" customFormat="1" ht="15.75" hidden="1" customHeight="1" x14ac:dyDescent="0.35">
      <c r="A49" s="54" t="s">
        <v>47</v>
      </c>
      <c r="B49" s="55" t="s">
        <v>58</v>
      </c>
      <c r="C49" s="55" t="s">
        <v>134</v>
      </c>
      <c r="D49" s="55"/>
      <c r="E49" s="55"/>
      <c r="F49" s="55"/>
      <c r="G49" s="55"/>
      <c r="H49" s="55">
        <v>107</v>
      </c>
      <c r="I49" s="70"/>
      <c r="J49" s="55"/>
      <c r="K49" s="55"/>
      <c r="L49" s="80"/>
      <c r="M49" s="80">
        <v>106</v>
      </c>
      <c r="N49" s="80"/>
      <c r="O49" s="103">
        <f>AVERAGE(G49:M49)</f>
        <v>106.5</v>
      </c>
      <c r="P49" s="69">
        <f>MIN(13.2, MAX(0, 120 - O49) * 0.66)</f>
        <v>8.91</v>
      </c>
      <c r="Q49" s="98">
        <f>N49</f>
        <v>0</v>
      </c>
      <c r="R49" s="85"/>
      <c r="S49" s="104">
        <f>IF(ISBLANK(N49), 0, N49 + P49)</f>
        <v>0</v>
      </c>
    </row>
    <row r="50" spans="1:19" ht="15.75" hidden="1" customHeight="1" x14ac:dyDescent="0.35">
      <c r="A50" s="54" t="s">
        <v>24</v>
      </c>
      <c r="B50" s="55" t="s">
        <v>58</v>
      </c>
      <c r="C50" s="55" t="s">
        <v>134</v>
      </c>
      <c r="D50" s="55"/>
      <c r="E50" s="55"/>
      <c r="F50" s="55"/>
      <c r="G50" s="55"/>
      <c r="H50" s="55">
        <v>109</v>
      </c>
      <c r="I50" s="70"/>
      <c r="J50" s="55"/>
      <c r="K50" s="55"/>
      <c r="L50" s="80"/>
      <c r="M50" s="80"/>
      <c r="N50" s="80"/>
      <c r="O50" s="103">
        <f>AVERAGE(G50:M50)</f>
        <v>109</v>
      </c>
      <c r="P50" s="69">
        <f>MIN(13.2, MAX(0, 120 - O50) * 0.66)</f>
        <v>7.2600000000000007</v>
      </c>
      <c r="Q50" s="98">
        <f>N50</f>
        <v>0</v>
      </c>
      <c r="R50" s="85"/>
      <c r="S50" s="104">
        <f>IF(ISBLANK(N50), 0, N50 + P50)</f>
        <v>0</v>
      </c>
    </row>
    <row r="51" spans="1:19" ht="15.75" hidden="1" customHeight="1" x14ac:dyDescent="0.35">
      <c r="A51" s="54" t="s">
        <v>25</v>
      </c>
      <c r="B51" s="55" t="s">
        <v>58</v>
      </c>
      <c r="C51" s="55" t="s">
        <v>134</v>
      </c>
      <c r="D51" s="55"/>
      <c r="E51" s="55"/>
      <c r="F51" s="55">
        <v>114</v>
      </c>
      <c r="G51" s="55"/>
      <c r="H51" s="55"/>
      <c r="I51" s="70"/>
      <c r="J51" s="55"/>
      <c r="K51" s="55"/>
      <c r="L51" s="80"/>
      <c r="M51" s="80"/>
      <c r="N51" s="80"/>
      <c r="O51" s="103">
        <f>AVERAGE(D51:M51)</f>
        <v>114</v>
      </c>
      <c r="P51" s="69">
        <f>MIN(13.2, MAX(0, 120 - O51) * 0.66)</f>
        <v>3.96</v>
      </c>
      <c r="Q51" s="98">
        <f>N51</f>
        <v>0</v>
      </c>
      <c r="R51" s="85"/>
      <c r="S51" s="104">
        <f>IF(ISBLANK(N51), 0, N51 + P51)</f>
        <v>0</v>
      </c>
    </row>
    <row r="52" spans="1:19" ht="15.75" hidden="1" customHeight="1" x14ac:dyDescent="0.35">
      <c r="A52" s="54" t="s">
        <v>114</v>
      </c>
      <c r="B52" s="55" t="s">
        <v>58</v>
      </c>
      <c r="C52" s="55" t="s">
        <v>134</v>
      </c>
      <c r="D52" s="55">
        <v>98</v>
      </c>
      <c r="E52" s="55"/>
      <c r="F52" s="55"/>
      <c r="G52" s="55"/>
      <c r="H52" s="55">
        <v>87</v>
      </c>
      <c r="I52" s="70"/>
      <c r="J52" s="55"/>
      <c r="K52" s="55">
        <v>104</v>
      </c>
      <c r="L52" s="80">
        <v>86</v>
      </c>
      <c r="M52" s="80"/>
      <c r="N52" s="80"/>
      <c r="O52" s="103">
        <f>AVERAGE(G52:M52)</f>
        <v>92.333333333333329</v>
      </c>
      <c r="P52" s="69">
        <f>MIN(13.2, MAX(0, 120 - O52) * 0.66)</f>
        <v>13.2</v>
      </c>
      <c r="Q52" s="98">
        <f>N52</f>
        <v>0</v>
      </c>
      <c r="R52" s="85"/>
      <c r="S52" s="104">
        <f>IF(ISBLANK(N52), 0, N52 + P52)</f>
        <v>0</v>
      </c>
    </row>
    <row r="53" spans="1:19" ht="15.75" hidden="1" customHeight="1" x14ac:dyDescent="0.35">
      <c r="A53" s="54" t="s">
        <v>94</v>
      </c>
      <c r="B53" s="55" t="s">
        <v>58</v>
      </c>
      <c r="C53" s="55" t="s">
        <v>95</v>
      </c>
      <c r="D53" s="55">
        <v>106</v>
      </c>
      <c r="E53" s="55">
        <v>103</v>
      </c>
      <c r="F53" s="55"/>
      <c r="G53" s="55"/>
      <c r="H53" s="55"/>
      <c r="I53" s="70"/>
      <c r="J53" s="55">
        <v>106</v>
      </c>
      <c r="K53" s="55"/>
      <c r="L53" s="80"/>
      <c r="M53" s="80"/>
      <c r="N53" s="80"/>
      <c r="O53" s="103">
        <f>AVERAGE(G53:M53)</f>
        <v>106</v>
      </c>
      <c r="P53" s="69">
        <f>MIN(13.2, MAX(0, 120 - O53) * 0.66)</f>
        <v>9.24</v>
      </c>
      <c r="Q53" s="98">
        <f>N53</f>
        <v>0</v>
      </c>
      <c r="R53" s="85"/>
      <c r="S53" s="104">
        <f>IF(ISBLANK(N53), 0, N53 + P53)</f>
        <v>0</v>
      </c>
    </row>
    <row r="54" spans="1:19" ht="15.75" hidden="1" customHeight="1" x14ac:dyDescent="0.35">
      <c r="A54" s="54" t="s">
        <v>96</v>
      </c>
      <c r="B54" s="55" t="s">
        <v>58</v>
      </c>
      <c r="C54" s="55" t="s">
        <v>95</v>
      </c>
      <c r="D54" s="55">
        <v>100</v>
      </c>
      <c r="E54" s="55"/>
      <c r="F54" s="55"/>
      <c r="G54" s="55"/>
      <c r="H54" s="55"/>
      <c r="I54" s="70"/>
      <c r="J54" s="55"/>
      <c r="K54" s="55"/>
      <c r="L54" s="80"/>
      <c r="M54" s="80"/>
      <c r="N54" s="80"/>
      <c r="O54" s="103">
        <f>AVERAGE(D54:M54)</f>
        <v>100</v>
      </c>
      <c r="P54" s="69">
        <f>MIN(13.2, MAX(0, 120 - O54) * 0.66)</f>
        <v>13.2</v>
      </c>
      <c r="Q54" s="98">
        <f>N54</f>
        <v>0</v>
      </c>
      <c r="R54" s="85"/>
      <c r="S54" s="104">
        <f>IF(ISBLANK(N54), 0, N54 + P54)</f>
        <v>0</v>
      </c>
    </row>
    <row r="55" spans="1:19" ht="15.75" hidden="1" customHeight="1" x14ac:dyDescent="0.35">
      <c r="A55" s="78" t="s">
        <v>146</v>
      </c>
      <c r="B55" s="71" t="s">
        <v>58</v>
      </c>
      <c r="C55" s="71" t="s">
        <v>144</v>
      </c>
      <c r="D55" s="71"/>
      <c r="E55" s="71"/>
      <c r="F55" s="71"/>
      <c r="G55" s="71"/>
      <c r="H55" s="71"/>
      <c r="I55" s="72"/>
      <c r="J55" s="71">
        <v>119</v>
      </c>
      <c r="K55" s="71">
        <v>119</v>
      </c>
      <c r="L55" s="80"/>
      <c r="M55" s="80"/>
      <c r="N55" s="80"/>
      <c r="O55" s="103">
        <f>AVERAGE(G55:M55)</f>
        <v>119</v>
      </c>
      <c r="P55" s="69">
        <f>MIN(13.2, MAX(0, 120 - O55) * 0.66)</f>
        <v>0.66</v>
      </c>
      <c r="Q55" s="98">
        <f>N55</f>
        <v>0</v>
      </c>
      <c r="R55" s="85"/>
      <c r="S55" s="104">
        <f>IF(ISBLANK(N55), 0, N55 + P55)</f>
        <v>0</v>
      </c>
    </row>
    <row r="56" spans="1:19" s="68" customFormat="1" ht="15.75" hidden="1" customHeight="1" x14ac:dyDescent="0.35">
      <c r="A56" s="54" t="s">
        <v>101</v>
      </c>
      <c r="B56" s="55" t="s">
        <v>58</v>
      </c>
      <c r="C56" s="55" t="s">
        <v>144</v>
      </c>
      <c r="D56" s="55">
        <v>116</v>
      </c>
      <c r="E56" s="55">
        <v>116</v>
      </c>
      <c r="F56" s="55">
        <v>117</v>
      </c>
      <c r="G56" s="55">
        <v>120</v>
      </c>
      <c r="H56" s="55">
        <v>109</v>
      </c>
      <c r="I56" s="70"/>
      <c r="J56" s="55">
        <v>113</v>
      </c>
      <c r="K56" s="55">
        <v>120</v>
      </c>
      <c r="L56" s="80">
        <v>112</v>
      </c>
      <c r="M56" s="80">
        <v>119</v>
      </c>
      <c r="N56" s="80"/>
      <c r="O56" s="103">
        <f>AVERAGE(G56:M56)</f>
        <v>115.5</v>
      </c>
      <c r="P56" s="69">
        <f>MIN(13.2, MAX(0, 120 - O56) * 0.66)</f>
        <v>2.97</v>
      </c>
      <c r="Q56" s="98">
        <f>N56</f>
        <v>0</v>
      </c>
      <c r="R56" s="85"/>
      <c r="S56" s="104">
        <f>IF(ISBLANK(N56), 0, N56 + P56)</f>
        <v>0</v>
      </c>
    </row>
    <row r="57" spans="1:19" ht="15.75" hidden="1" customHeight="1" x14ac:dyDescent="0.35">
      <c r="A57" s="54" t="s">
        <v>63</v>
      </c>
      <c r="B57" s="55" t="s">
        <v>58</v>
      </c>
      <c r="C57" s="55" t="s">
        <v>144</v>
      </c>
      <c r="D57" s="55">
        <v>114</v>
      </c>
      <c r="E57" s="55">
        <v>119</v>
      </c>
      <c r="F57" s="55">
        <v>117</v>
      </c>
      <c r="G57" s="55"/>
      <c r="H57" s="55"/>
      <c r="I57" s="70"/>
      <c r="J57" s="55">
        <v>113</v>
      </c>
      <c r="K57" s="55">
        <f>58+56</f>
        <v>114</v>
      </c>
      <c r="L57" s="80"/>
      <c r="M57" s="80"/>
      <c r="N57" s="80"/>
      <c r="O57" s="103">
        <f>AVERAGE(G57:M57)</f>
        <v>113.5</v>
      </c>
      <c r="P57" s="69">
        <f>MIN(13.2, MAX(0, 120 - O57) * 0.66)</f>
        <v>4.29</v>
      </c>
      <c r="Q57" s="98">
        <f>N57</f>
        <v>0</v>
      </c>
      <c r="R57" s="85"/>
      <c r="S57" s="104">
        <f>IF(ISBLANK(N57), 0, N57 + P57)</f>
        <v>0</v>
      </c>
    </row>
    <row r="58" spans="1:19" ht="15.75" hidden="1" customHeight="1" x14ac:dyDescent="0.35">
      <c r="A58" s="54" t="s">
        <v>145</v>
      </c>
      <c r="B58" s="55" t="s">
        <v>58</v>
      </c>
      <c r="C58" s="55" t="s">
        <v>144</v>
      </c>
      <c r="D58" s="55"/>
      <c r="E58" s="55"/>
      <c r="F58" s="55"/>
      <c r="G58" s="55"/>
      <c r="H58" s="55"/>
      <c r="I58" s="70"/>
      <c r="J58" s="55">
        <v>116</v>
      </c>
      <c r="K58" s="55">
        <f>58+58</f>
        <v>116</v>
      </c>
      <c r="L58" s="80"/>
      <c r="M58" s="80"/>
      <c r="N58" s="80"/>
      <c r="O58" s="103">
        <f>AVERAGE(G58:M58)</f>
        <v>116</v>
      </c>
      <c r="P58" s="69">
        <f>MIN(13.2, MAX(0, 120 - O58) * 0.66)</f>
        <v>2.64</v>
      </c>
      <c r="Q58" s="98">
        <f>N58</f>
        <v>0</v>
      </c>
      <c r="R58" s="85"/>
      <c r="S58" s="104">
        <f>IF(ISBLANK(N58), 0, N58 + P58)</f>
        <v>0</v>
      </c>
    </row>
    <row r="59" spans="1:19" ht="15.75" hidden="1" customHeight="1" x14ac:dyDescent="0.35">
      <c r="A59" s="54" t="s">
        <v>103</v>
      </c>
      <c r="B59" s="55" t="s">
        <v>58</v>
      </c>
      <c r="C59" s="55" t="s">
        <v>136</v>
      </c>
      <c r="D59" s="55"/>
      <c r="E59" s="55"/>
      <c r="F59" s="55">
        <v>109</v>
      </c>
      <c r="G59" s="55"/>
      <c r="H59" s="55">
        <v>108</v>
      </c>
      <c r="I59" s="70"/>
      <c r="J59" s="55"/>
      <c r="K59" s="55">
        <v>104</v>
      </c>
      <c r="L59" s="80"/>
      <c r="M59" s="80"/>
      <c r="N59" s="80"/>
      <c r="O59" s="103">
        <f>AVERAGE(G59:M59)</f>
        <v>106</v>
      </c>
      <c r="P59" s="69">
        <f>MIN(13.2, MAX(0, 120 - O59) * 0.66)</f>
        <v>9.24</v>
      </c>
      <c r="Q59" s="98">
        <f>N59</f>
        <v>0</v>
      </c>
      <c r="R59" s="85"/>
      <c r="S59" s="104">
        <f>IF(ISBLANK(N59), 0, N59 + P59)</f>
        <v>0</v>
      </c>
    </row>
    <row r="60" spans="1:19" ht="15.75" hidden="1" customHeight="1" x14ac:dyDescent="0.35">
      <c r="A60" s="54" t="s">
        <v>111</v>
      </c>
      <c r="B60" s="55" t="s">
        <v>58</v>
      </c>
      <c r="C60" s="55" t="s">
        <v>136</v>
      </c>
      <c r="D60" s="55"/>
      <c r="E60" s="55">
        <v>115</v>
      </c>
      <c r="F60" s="55">
        <v>118</v>
      </c>
      <c r="G60" s="55">
        <v>111</v>
      </c>
      <c r="H60" s="55">
        <v>104</v>
      </c>
      <c r="I60" s="70"/>
      <c r="J60" s="55"/>
      <c r="K60" s="55">
        <v>120</v>
      </c>
      <c r="L60" s="80"/>
      <c r="M60" s="80"/>
      <c r="N60" s="80"/>
      <c r="O60" s="103">
        <f>AVERAGE(G60:M60)</f>
        <v>111.66666666666667</v>
      </c>
      <c r="P60" s="69">
        <f>MIN(13.2, MAX(0, 120 - O60) * 0.66)</f>
        <v>5.4999999999999973</v>
      </c>
      <c r="Q60" s="98">
        <f>N60</f>
        <v>0</v>
      </c>
      <c r="R60" s="85"/>
      <c r="S60" s="104">
        <f>IF(ISBLANK(N60), 0, N60 + P60)</f>
        <v>0</v>
      </c>
    </row>
    <row r="61" spans="1:19" ht="15.75" hidden="1" customHeight="1" x14ac:dyDescent="0.35">
      <c r="A61" s="54" t="s">
        <v>113</v>
      </c>
      <c r="B61" s="55" t="s">
        <v>58</v>
      </c>
      <c r="C61" s="55" t="s">
        <v>136</v>
      </c>
      <c r="D61" s="55">
        <v>108</v>
      </c>
      <c r="E61" s="55"/>
      <c r="F61" s="55"/>
      <c r="G61" s="55"/>
      <c r="H61" s="55"/>
      <c r="I61" s="70"/>
      <c r="J61" s="55"/>
      <c r="K61" s="55"/>
      <c r="L61" s="80"/>
      <c r="M61" s="80"/>
      <c r="N61" s="80"/>
      <c r="O61" s="103">
        <f>AVERAGE(D61:M61)</f>
        <v>108</v>
      </c>
      <c r="P61" s="69">
        <f>MIN(13.2, MAX(0, 120 - O61) * 0.66)</f>
        <v>7.92</v>
      </c>
      <c r="Q61" s="98">
        <f>N61</f>
        <v>0</v>
      </c>
      <c r="R61" s="85"/>
      <c r="S61" s="104">
        <f>IF(ISBLANK(N61), 0, N61 + P61)</f>
        <v>0</v>
      </c>
    </row>
    <row r="62" spans="1:19" s="68" customFormat="1" ht="15.75" hidden="1" customHeight="1" x14ac:dyDescent="0.35">
      <c r="A62" s="54" t="s">
        <v>115</v>
      </c>
      <c r="B62" s="55" t="s">
        <v>58</v>
      </c>
      <c r="C62" s="55" t="s">
        <v>136</v>
      </c>
      <c r="D62" s="55">
        <v>114</v>
      </c>
      <c r="E62" s="55"/>
      <c r="F62" s="55">
        <v>105</v>
      </c>
      <c r="G62" s="55"/>
      <c r="H62" s="55"/>
      <c r="I62" s="70"/>
      <c r="J62" s="55"/>
      <c r="K62" s="55"/>
      <c r="L62" s="80"/>
      <c r="M62" s="80"/>
      <c r="N62" s="80"/>
      <c r="O62" s="103">
        <f>AVERAGE(D62:M62)</f>
        <v>109.5</v>
      </c>
      <c r="P62" s="69">
        <f>MIN(13.2, MAX(0, 120 - O62) * 0.66)</f>
        <v>6.9300000000000006</v>
      </c>
      <c r="Q62" s="98">
        <f>N62</f>
        <v>0</v>
      </c>
      <c r="R62" s="85"/>
      <c r="S62" s="104">
        <f>IF(ISBLANK(N62), 0, N62 + P62)</f>
        <v>0</v>
      </c>
    </row>
    <row r="63" spans="1:19" ht="15.75" hidden="1" customHeight="1" x14ac:dyDescent="0.35">
      <c r="A63" s="54" t="s">
        <v>123</v>
      </c>
      <c r="B63" s="55" t="s">
        <v>58</v>
      </c>
      <c r="C63" s="55" t="s">
        <v>136</v>
      </c>
      <c r="D63" s="55"/>
      <c r="E63" s="55"/>
      <c r="F63" s="55"/>
      <c r="G63" s="55">
        <v>98</v>
      </c>
      <c r="H63" s="55">
        <v>96</v>
      </c>
      <c r="I63" s="70"/>
      <c r="J63" s="55"/>
      <c r="K63" s="55">
        <v>109</v>
      </c>
      <c r="L63" s="80"/>
      <c r="M63" s="80"/>
      <c r="N63" s="80"/>
      <c r="O63" s="103">
        <f>AVERAGE(G63:M63)</f>
        <v>101</v>
      </c>
      <c r="P63" s="69">
        <f>MIN(13.2, MAX(0, 120 - O63) * 0.66)</f>
        <v>12.540000000000001</v>
      </c>
      <c r="Q63" s="98">
        <f>N63</f>
        <v>0</v>
      </c>
      <c r="R63" s="85"/>
      <c r="S63" s="104">
        <f>IF(ISBLANK(N63), 0, N63 + P63)</f>
        <v>0</v>
      </c>
    </row>
    <row r="64" spans="1:19" ht="15.75" hidden="1" customHeight="1" x14ac:dyDescent="0.35">
      <c r="A64" s="54" t="s">
        <v>124</v>
      </c>
      <c r="B64" s="55" t="s">
        <v>58</v>
      </c>
      <c r="C64" s="55" t="s">
        <v>136</v>
      </c>
      <c r="D64" s="55"/>
      <c r="E64" s="55"/>
      <c r="F64" s="55"/>
      <c r="G64" s="55"/>
      <c r="H64" s="55">
        <v>117</v>
      </c>
      <c r="I64" s="70"/>
      <c r="J64" s="55"/>
      <c r="K64" s="55"/>
      <c r="L64" s="80"/>
      <c r="M64" s="80"/>
      <c r="N64" s="80"/>
      <c r="O64" s="103">
        <f>AVERAGE(G64:M64)</f>
        <v>117</v>
      </c>
      <c r="P64" s="69">
        <f>MIN(13.2, MAX(0, 120 - O64) * 0.66)</f>
        <v>1.98</v>
      </c>
      <c r="Q64" s="98">
        <f>N64</f>
        <v>0</v>
      </c>
      <c r="R64" s="85"/>
      <c r="S64" s="104">
        <f>IF(ISBLANK(N64), 0, N64 + P64)</f>
        <v>0</v>
      </c>
    </row>
    <row r="65" spans="1:19" ht="15.75" hidden="1" customHeight="1" x14ac:dyDescent="0.35">
      <c r="A65" s="54" t="s">
        <v>106</v>
      </c>
      <c r="B65" s="55" t="s">
        <v>58</v>
      </c>
      <c r="C65" s="55" t="s">
        <v>136</v>
      </c>
      <c r="D65" s="55"/>
      <c r="E65" s="55">
        <v>95</v>
      </c>
      <c r="F65" s="55"/>
      <c r="G65" s="55"/>
      <c r="H65" s="55"/>
      <c r="I65" s="70"/>
      <c r="J65" s="55"/>
      <c r="K65" s="55"/>
      <c r="L65" s="80"/>
      <c r="M65" s="80"/>
      <c r="N65" s="80"/>
      <c r="O65" s="103">
        <f>AVERAGE(D65:M65)</f>
        <v>95</v>
      </c>
      <c r="P65" s="69">
        <f>MIN(13.2, MAX(0, 120 - O65) * 0.66)</f>
        <v>13.2</v>
      </c>
      <c r="Q65" s="98">
        <f>N65</f>
        <v>0</v>
      </c>
      <c r="R65" s="85"/>
      <c r="S65" s="104">
        <f>IF(ISBLANK(N65), 0, N65 + P65)</f>
        <v>0</v>
      </c>
    </row>
    <row r="66" spans="1:19" ht="15.75" hidden="1" customHeight="1" x14ac:dyDescent="0.35">
      <c r="A66" s="54" t="s">
        <v>110</v>
      </c>
      <c r="B66" s="55" t="s">
        <v>58</v>
      </c>
      <c r="C66" s="55" t="s">
        <v>136</v>
      </c>
      <c r="D66" s="55">
        <v>110</v>
      </c>
      <c r="E66" s="55">
        <v>99</v>
      </c>
      <c r="F66" s="55">
        <v>115</v>
      </c>
      <c r="G66" s="55">
        <v>105</v>
      </c>
      <c r="H66" s="55"/>
      <c r="I66" s="70"/>
      <c r="J66" s="55">
        <v>107</v>
      </c>
      <c r="K66" s="55">
        <v>110</v>
      </c>
      <c r="L66" s="80"/>
      <c r="M66" s="80"/>
      <c r="N66" s="80"/>
      <c r="O66" s="103">
        <f>AVERAGE(G66:M66)</f>
        <v>107.33333333333333</v>
      </c>
      <c r="P66" s="69">
        <f>MIN(13.2, MAX(0, 120 - O66) * 0.66)</f>
        <v>8.360000000000003</v>
      </c>
      <c r="Q66" s="98">
        <f>N66</f>
        <v>0</v>
      </c>
      <c r="R66" s="85"/>
      <c r="S66" s="104">
        <f>IF(ISBLANK(N66), 0, N66 + P66)</f>
        <v>0</v>
      </c>
    </row>
    <row r="67" spans="1:19" ht="15.75" hidden="1" customHeight="1" x14ac:dyDescent="0.35">
      <c r="A67" s="54" t="s">
        <v>121</v>
      </c>
      <c r="B67" s="55" t="s">
        <v>58</v>
      </c>
      <c r="C67" s="55" t="s">
        <v>136</v>
      </c>
      <c r="D67" s="55"/>
      <c r="E67" s="55"/>
      <c r="F67" s="55">
        <v>116</v>
      </c>
      <c r="G67" s="55">
        <v>109</v>
      </c>
      <c r="H67" s="55">
        <v>107</v>
      </c>
      <c r="I67" s="70"/>
      <c r="J67" s="55"/>
      <c r="K67" s="55">
        <v>114</v>
      </c>
      <c r="L67" s="80"/>
      <c r="M67" s="80"/>
      <c r="N67" s="80"/>
      <c r="O67" s="103">
        <f>AVERAGE(G67:M67)</f>
        <v>110</v>
      </c>
      <c r="P67" s="69">
        <f>MIN(13.2, MAX(0, 120 - O67) * 0.66)</f>
        <v>6.6000000000000005</v>
      </c>
      <c r="Q67" s="98">
        <f>N67</f>
        <v>0</v>
      </c>
      <c r="R67" s="85"/>
      <c r="S67" s="104">
        <f>IF(ISBLANK(N67), 0, N67 + P67)</f>
        <v>0</v>
      </c>
    </row>
    <row r="68" spans="1:19" s="68" customFormat="1" ht="15.75" hidden="1" customHeight="1" x14ac:dyDescent="0.35">
      <c r="A68" s="87" t="s">
        <v>122</v>
      </c>
      <c r="B68" s="55" t="s">
        <v>162</v>
      </c>
      <c r="C68" s="55" t="s">
        <v>134</v>
      </c>
      <c r="D68" s="55">
        <v>90</v>
      </c>
      <c r="E68" s="71"/>
      <c r="F68" s="71"/>
      <c r="G68" s="71"/>
      <c r="H68" s="71"/>
      <c r="I68" s="72"/>
      <c r="J68" s="71"/>
      <c r="K68" s="71"/>
      <c r="L68" s="80">
        <f>43+48</f>
        <v>91</v>
      </c>
      <c r="M68" s="80"/>
      <c r="N68" s="80"/>
      <c r="O68" s="103">
        <f>AVERAGE(G68:M68)</f>
        <v>91</v>
      </c>
      <c r="P68" s="69">
        <f>MIN(13.2, MAX(0, 100 - O68) * 0.66)</f>
        <v>5.94</v>
      </c>
      <c r="Q68" s="98">
        <f>N68</f>
        <v>0</v>
      </c>
      <c r="R68" s="85"/>
      <c r="S68" s="104">
        <f>IF(ISBLANK(N68), 0, N68 + P68)</f>
        <v>0</v>
      </c>
    </row>
    <row r="69" spans="1:19" ht="15.75" hidden="1" customHeight="1" x14ac:dyDescent="0.35">
      <c r="A69" s="54" t="s">
        <v>51</v>
      </c>
      <c r="B69" s="55" t="s">
        <v>162</v>
      </c>
      <c r="C69" s="55" t="s">
        <v>134</v>
      </c>
      <c r="D69" s="55">
        <v>99</v>
      </c>
      <c r="E69" s="55"/>
      <c r="F69" s="55"/>
      <c r="G69" s="55"/>
      <c r="H69" s="55"/>
      <c r="I69" s="70"/>
      <c r="J69" s="55"/>
      <c r="K69" s="55"/>
      <c r="L69" s="80"/>
      <c r="M69" s="80"/>
      <c r="N69" s="80"/>
      <c r="O69" s="103">
        <f>AVERAGE(D69:M69)</f>
        <v>99</v>
      </c>
      <c r="P69" s="69">
        <f>MIN(13.2, MAX(0, 100 - O69) * 0.66)</f>
        <v>0.66</v>
      </c>
      <c r="Q69" s="98">
        <f>N69</f>
        <v>0</v>
      </c>
      <c r="R69" s="85"/>
      <c r="S69" s="104">
        <f>IF(ISBLANK(N69), 0, N69 + P69)</f>
        <v>0</v>
      </c>
    </row>
    <row r="70" spans="1:19" ht="15.75" hidden="1" customHeight="1" x14ac:dyDescent="0.35">
      <c r="A70" s="54" t="s">
        <v>147</v>
      </c>
      <c r="B70" s="55" t="s">
        <v>162</v>
      </c>
      <c r="C70" s="55" t="s">
        <v>134</v>
      </c>
      <c r="D70" s="55"/>
      <c r="E70" s="55"/>
      <c r="F70" s="55"/>
      <c r="G70" s="55"/>
      <c r="H70" s="55"/>
      <c r="I70" s="70"/>
      <c r="J70" s="55">
        <v>100</v>
      </c>
      <c r="K70" s="55">
        <v>100</v>
      </c>
      <c r="L70" s="80"/>
      <c r="M70" s="80"/>
      <c r="N70" s="80"/>
      <c r="O70" s="103">
        <f>AVERAGE(G70:M70)</f>
        <v>100</v>
      </c>
      <c r="P70" s="69">
        <f>MIN(13.2, MAX(0, 100 - O70) * 0.66)</f>
        <v>0</v>
      </c>
      <c r="Q70" s="98">
        <f>N70</f>
        <v>0</v>
      </c>
      <c r="R70" s="85"/>
      <c r="S70" s="104">
        <f>IF(ISBLANK(N70), 0, N70 + P70)</f>
        <v>0</v>
      </c>
    </row>
    <row r="71" spans="1:19" ht="15.75" hidden="1" customHeight="1" x14ac:dyDescent="0.35">
      <c r="A71" s="54" t="s">
        <v>155</v>
      </c>
      <c r="B71" s="55" t="s">
        <v>162</v>
      </c>
      <c r="C71" s="55" t="s">
        <v>134</v>
      </c>
      <c r="D71" s="55">
        <v>90</v>
      </c>
      <c r="E71" s="55"/>
      <c r="F71" s="55"/>
      <c r="G71" s="55"/>
      <c r="H71" s="55"/>
      <c r="I71" s="70"/>
      <c r="J71" s="55"/>
      <c r="K71" s="55"/>
      <c r="L71" s="80">
        <v>79</v>
      </c>
      <c r="M71" s="80"/>
      <c r="N71" s="80"/>
      <c r="O71" s="103">
        <f>AVERAGE(G71:M71)</f>
        <v>79</v>
      </c>
      <c r="P71" s="69">
        <f>MIN(13.2, MAX(0, 100 - O71) * 0.66)</f>
        <v>13.2</v>
      </c>
      <c r="Q71" s="98">
        <f>N71</f>
        <v>0</v>
      </c>
      <c r="R71" s="85"/>
      <c r="S71" s="104">
        <f>IF(ISBLANK(N71), 0, N71 + P71)</f>
        <v>0</v>
      </c>
    </row>
    <row r="72" spans="1:19" ht="15.75" hidden="1" customHeight="1" x14ac:dyDescent="0.35">
      <c r="A72" s="54" t="s">
        <v>46</v>
      </c>
      <c r="B72" s="55" t="s">
        <v>162</v>
      </c>
      <c r="C72" s="55" t="s">
        <v>134</v>
      </c>
      <c r="D72" s="55">
        <v>100</v>
      </c>
      <c r="E72" s="55">
        <v>99</v>
      </c>
      <c r="F72" s="55">
        <v>100</v>
      </c>
      <c r="G72" s="55">
        <v>93</v>
      </c>
      <c r="H72" s="55">
        <v>95</v>
      </c>
      <c r="I72" s="70"/>
      <c r="J72" s="55"/>
      <c r="K72" s="55">
        <v>100</v>
      </c>
      <c r="L72" s="80"/>
      <c r="M72" s="80"/>
      <c r="N72" s="80"/>
      <c r="O72" s="103">
        <f>AVERAGE(G72:M72)</f>
        <v>96</v>
      </c>
      <c r="P72" s="69">
        <f>MIN(13.2, MAX(0, 100 - O72) * 0.66)</f>
        <v>2.64</v>
      </c>
      <c r="Q72" s="98">
        <f>N72</f>
        <v>0</v>
      </c>
      <c r="R72" s="85"/>
      <c r="S72" s="104">
        <f>IF(ISBLANK(N72), 0, N72 + P72)</f>
        <v>0</v>
      </c>
    </row>
    <row r="73" spans="1:19" ht="15.75" hidden="1" customHeight="1" x14ac:dyDescent="0.35">
      <c r="A73" s="54" t="s">
        <v>49</v>
      </c>
      <c r="B73" s="55" t="s">
        <v>162</v>
      </c>
      <c r="C73" s="55" t="s">
        <v>134</v>
      </c>
      <c r="D73" s="55"/>
      <c r="E73" s="55"/>
      <c r="F73" s="55">
        <v>93</v>
      </c>
      <c r="G73" s="55"/>
      <c r="H73" s="55"/>
      <c r="I73" s="70"/>
      <c r="J73" s="55"/>
      <c r="K73" s="55"/>
      <c r="L73" s="80"/>
      <c r="M73" s="80"/>
      <c r="N73" s="80"/>
      <c r="O73" s="103">
        <f>AVERAGE(D73:M73)</f>
        <v>93</v>
      </c>
      <c r="P73" s="69">
        <f>MIN(13.2, MAX(0, 100 - O73) * 0.66)</f>
        <v>4.62</v>
      </c>
      <c r="Q73" s="98">
        <f>N73</f>
        <v>0</v>
      </c>
      <c r="R73" s="85"/>
      <c r="S73" s="104">
        <f>IF(ISBLANK(N73), 0, N73 + P73)</f>
        <v>0</v>
      </c>
    </row>
    <row r="74" spans="1:19" ht="15.75" hidden="1" customHeight="1" x14ac:dyDescent="0.35">
      <c r="A74" s="54" t="s">
        <v>40</v>
      </c>
      <c r="B74" s="55" t="s">
        <v>162</v>
      </c>
      <c r="C74" s="55" t="s">
        <v>134</v>
      </c>
      <c r="D74" s="55">
        <v>91</v>
      </c>
      <c r="E74" s="55">
        <v>93</v>
      </c>
      <c r="F74" s="55">
        <v>97</v>
      </c>
      <c r="G74" s="55">
        <v>95</v>
      </c>
      <c r="H74" s="55"/>
      <c r="I74" s="70"/>
      <c r="J74" s="55">
        <v>96</v>
      </c>
      <c r="K74" s="55">
        <v>96</v>
      </c>
      <c r="L74" s="80">
        <v>86</v>
      </c>
      <c r="M74" s="80">
        <v>94</v>
      </c>
      <c r="N74" s="80"/>
      <c r="O74" s="103">
        <f>AVERAGE(G74:M74)</f>
        <v>93.4</v>
      </c>
      <c r="P74" s="69">
        <f>MIN(13.2, MAX(0, 100 - O74) * 0.66)</f>
        <v>4.3559999999999963</v>
      </c>
      <c r="Q74" s="98">
        <f>N74</f>
        <v>0</v>
      </c>
      <c r="R74" s="85"/>
      <c r="S74" s="104">
        <f>IF(ISBLANK(N74), 0, N74 + P74)</f>
        <v>0</v>
      </c>
    </row>
    <row r="75" spans="1:19" ht="15.75" hidden="1" customHeight="1" x14ac:dyDescent="0.35">
      <c r="A75" s="54" t="s">
        <v>32</v>
      </c>
      <c r="B75" s="55" t="s">
        <v>162</v>
      </c>
      <c r="C75" s="55" t="s">
        <v>134</v>
      </c>
      <c r="D75" s="55"/>
      <c r="E75" s="55"/>
      <c r="F75" s="55">
        <v>98</v>
      </c>
      <c r="G75" s="55"/>
      <c r="H75" s="55"/>
      <c r="I75" s="70"/>
      <c r="J75" s="55"/>
      <c r="K75" s="55"/>
      <c r="L75" s="80"/>
      <c r="M75" s="80"/>
      <c r="N75" s="80"/>
      <c r="O75" s="103">
        <f>AVERAGE(D75:M75)</f>
        <v>98</v>
      </c>
      <c r="P75" s="69">
        <f>MIN(13.2, MAX(0, 100 - O75) * 0.66)</f>
        <v>1.32</v>
      </c>
      <c r="Q75" s="98">
        <f>N75</f>
        <v>0</v>
      </c>
      <c r="R75" s="85"/>
      <c r="S75" s="104">
        <f>IF(ISBLANK(N75), 0, N75 + P75)</f>
        <v>0</v>
      </c>
    </row>
    <row r="76" spans="1:19" ht="15.75" hidden="1" customHeight="1" x14ac:dyDescent="0.35">
      <c r="A76" s="54" t="s">
        <v>52</v>
      </c>
      <c r="B76" s="55" t="s">
        <v>162</v>
      </c>
      <c r="C76" s="55" t="s">
        <v>134</v>
      </c>
      <c r="D76" s="55">
        <v>98</v>
      </c>
      <c r="E76" s="55"/>
      <c r="F76" s="55"/>
      <c r="G76" s="55"/>
      <c r="H76" s="55"/>
      <c r="I76" s="70"/>
      <c r="J76" s="55"/>
      <c r="K76" s="55"/>
      <c r="L76" s="80"/>
      <c r="M76" s="80"/>
      <c r="N76" s="80"/>
      <c r="O76" s="103">
        <f>AVERAGE(D76:M76)</f>
        <v>98</v>
      </c>
      <c r="P76" s="69">
        <f>MIN(13.2, MAX(0, 100 - O76) * 0.66)</f>
        <v>1.32</v>
      </c>
      <c r="Q76" s="98">
        <f>N76</f>
        <v>0</v>
      </c>
      <c r="R76" s="85"/>
      <c r="S76" s="104">
        <f>IF(ISBLANK(N76), 0, N76 + P76)</f>
        <v>0</v>
      </c>
    </row>
    <row r="77" spans="1:19" ht="15.75" hidden="1" customHeight="1" x14ac:dyDescent="0.35">
      <c r="A77" s="54" t="s">
        <v>148</v>
      </c>
      <c r="B77" s="55" t="s">
        <v>162</v>
      </c>
      <c r="C77" s="55" t="s">
        <v>134</v>
      </c>
      <c r="D77" s="55"/>
      <c r="E77" s="55"/>
      <c r="F77" s="55"/>
      <c r="G77" s="55"/>
      <c r="H77" s="55"/>
      <c r="I77" s="70"/>
      <c r="J77" s="55">
        <v>100</v>
      </c>
      <c r="K77" s="55">
        <v>100</v>
      </c>
      <c r="L77" s="80"/>
      <c r="M77" s="80"/>
      <c r="N77" s="80"/>
      <c r="O77" s="103">
        <f>AVERAGE(G77:M77)</f>
        <v>100</v>
      </c>
      <c r="P77" s="69">
        <f>MIN(13.2, MAX(0, 100 - O77) * 0.66)</f>
        <v>0</v>
      </c>
      <c r="Q77" s="98">
        <f>N77</f>
        <v>0</v>
      </c>
      <c r="R77" s="85"/>
      <c r="S77" s="104">
        <f>IF(ISBLANK(N77), 0, N77 + P77)</f>
        <v>0</v>
      </c>
    </row>
    <row r="78" spans="1:19" ht="15.75" hidden="1" customHeight="1" x14ac:dyDescent="0.35">
      <c r="A78" s="54" t="s">
        <v>37</v>
      </c>
      <c r="B78" s="55" t="s">
        <v>162</v>
      </c>
      <c r="C78" s="55" t="s">
        <v>134</v>
      </c>
      <c r="D78" s="55"/>
      <c r="E78" s="55"/>
      <c r="F78" s="55">
        <v>94</v>
      </c>
      <c r="G78" s="55"/>
      <c r="H78" s="55"/>
      <c r="I78" s="70"/>
      <c r="J78" s="55"/>
      <c r="K78" s="55">
        <v>98</v>
      </c>
      <c r="L78" s="80"/>
      <c r="M78" s="80"/>
      <c r="N78" s="80"/>
      <c r="O78" s="103">
        <f>AVERAGE(G78:M78)</f>
        <v>98</v>
      </c>
      <c r="P78" s="69">
        <f>MIN(13.2, MAX(0, 100 - O78) * 0.66)</f>
        <v>1.32</v>
      </c>
      <c r="Q78" s="98">
        <f>N78</f>
        <v>0</v>
      </c>
      <c r="R78" s="85"/>
      <c r="S78" s="104">
        <f>IF(ISBLANK(N78), 0, N78 + P78)</f>
        <v>0</v>
      </c>
    </row>
    <row r="79" spans="1:19" ht="15.75" hidden="1" customHeight="1" x14ac:dyDescent="0.35">
      <c r="A79" s="54" t="s">
        <v>48</v>
      </c>
      <c r="B79" s="55" t="s">
        <v>162</v>
      </c>
      <c r="C79" s="55" t="s">
        <v>134</v>
      </c>
      <c r="D79" s="55">
        <v>98</v>
      </c>
      <c r="E79" s="55">
        <v>99</v>
      </c>
      <c r="F79" s="55">
        <v>99</v>
      </c>
      <c r="G79" s="55">
        <v>92</v>
      </c>
      <c r="H79" s="55">
        <v>96</v>
      </c>
      <c r="I79" s="70"/>
      <c r="J79" s="55">
        <v>98</v>
      </c>
      <c r="K79" s="55"/>
      <c r="L79" s="80">
        <v>92</v>
      </c>
      <c r="M79" s="80">
        <v>98</v>
      </c>
      <c r="N79" s="80"/>
      <c r="O79" s="103">
        <f>AVERAGE(G79:M79)</f>
        <v>95.2</v>
      </c>
      <c r="P79" s="69">
        <f>MIN(13.2, MAX(0, 100 - O79) * 0.66)</f>
        <v>3.1679999999999984</v>
      </c>
      <c r="Q79" s="98">
        <f>N79</f>
        <v>0</v>
      </c>
      <c r="R79" s="85"/>
      <c r="S79" s="104">
        <f>IF(ISBLANK(N79), 0, N79 + P79)</f>
        <v>0</v>
      </c>
    </row>
    <row r="80" spans="1:19" ht="15.75" hidden="1" customHeight="1" x14ac:dyDescent="0.35">
      <c r="A80" s="87" t="s">
        <v>154</v>
      </c>
      <c r="B80" s="55" t="s">
        <v>162</v>
      </c>
      <c r="C80" s="55" t="s">
        <v>134</v>
      </c>
      <c r="D80" s="55"/>
      <c r="E80" s="55"/>
      <c r="F80" s="55"/>
      <c r="G80" s="55"/>
      <c r="H80" s="55"/>
      <c r="I80" s="70"/>
      <c r="J80" s="55">
        <v>95</v>
      </c>
      <c r="K80" s="55">
        <v>98</v>
      </c>
      <c r="L80" s="80">
        <v>95</v>
      </c>
      <c r="M80" s="80"/>
      <c r="N80" s="80"/>
      <c r="O80" s="103">
        <f>AVERAGE(G80:M80)</f>
        <v>96</v>
      </c>
      <c r="P80" s="69">
        <f>MIN(13.2, MAX(0, 100 - O80) * 0.66)</f>
        <v>2.64</v>
      </c>
      <c r="Q80" s="98">
        <f>N80</f>
        <v>0</v>
      </c>
      <c r="R80" s="85"/>
      <c r="S80" s="104">
        <f>IF(ISBLANK(N80), 0, N80 + P80)</f>
        <v>0</v>
      </c>
    </row>
    <row r="81" spans="1:19" ht="15.75" hidden="1" customHeight="1" x14ac:dyDescent="0.35">
      <c r="A81" s="54" t="s">
        <v>25</v>
      </c>
      <c r="B81" s="55" t="s">
        <v>162</v>
      </c>
      <c r="C81" s="55" t="s">
        <v>134</v>
      </c>
      <c r="D81" s="55"/>
      <c r="E81" s="55"/>
      <c r="F81" s="55"/>
      <c r="G81" s="55"/>
      <c r="H81" s="55"/>
      <c r="I81" s="70"/>
      <c r="J81" s="55">
        <v>97</v>
      </c>
      <c r="K81" s="55"/>
      <c r="L81" s="80"/>
      <c r="M81" s="80"/>
      <c r="N81" s="80"/>
      <c r="O81" s="103">
        <f>AVERAGE(G81:M81)</f>
        <v>97</v>
      </c>
      <c r="P81" s="69">
        <f>MIN(13.2, MAX(0, 100 - O81) * 0.66)</f>
        <v>1.98</v>
      </c>
      <c r="Q81" s="98">
        <f>N81</f>
        <v>0</v>
      </c>
      <c r="R81" s="85"/>
      <c r="S81" s="104">
        <f>IF(ISBLANK(N81), 0, N81 + P81)</f>
        <v>0</v>
      </c>
    </row>
    <row r="82" spans="1:19" ht="15.75" hidden="1" customHeight="1" x14ac:dyDescent="0.35">
      <c r="A82" s="54" t="s">
        <v>39</v>
      </c>
      <c r="B82" s="55" t="s">
        <v>162</v>
      </c>
      <c r="C82" s="55" t="s">
        <v>134</v>
      </c>
      <c r="D82" s="55"/>
      <c r="E82" s="55">
        <v>98</v>
      </c>
      <c r="F82" s="55"/>
      <c r="G82" s="55"/>
      <c r="H82" s="55"/>
      <c r="I82" s="70"/>
      <c r="J82" s="55"/>
      <c r="K82" s="55">
        <v>99</v>
      </c>
      <c r="L82" s="80"/>
      <c r="M82" s="80">
        <v>100</v>
      </c>
      <c r="N82" s="80"/>
      <c r="O82" s="103">
        <f>AVERAGE(G82:M82)</f>
        <v>99.5</v>
      </c>
      <c r="P82" s="69">
        <f>MIN(13.2, MAX(0, 100 - O82) * 0.66)</f>
        <v>0.33</v>
      </c>
      <c r="Q82" s="98">
        <f>N82</f>
        <v>0</v>
      </c>
      <c r="R82" s="85"/>
      <c r="S82" s="104">
        <f>IF(ISBLANK(N82), 0, N82 + P82)</f>
        <v>0</v>
      </c>
    </row>
    <row r="83" spans="1:19" ht="15.75" customHeight="1" x14ac:dyDescent="0.35">
      <c r="A83" s="54" t="s">
        <v>98</v>
      </c>
      <c r="B83" s="55" t="s">
        <v>28</v>
      </c>
      <c r="C83" s="55" t="s">
        <v>95</v>
      </c>
      <c r="D83" s="55">
        <v>95</v>
      </c>
      <c r="E83" s="55">
        <v>99</v>
      </c>
      <c r="F83" s="55"/>
      <c r="G83" s="55"/>
      <c r="H83" s="55">
        <v>98</v>
      </c>
      <c r="I83" s="70"/>
      <c r="J83" s="55">
        <v>97</v>
      </c>
      <c r="K83" s="55">
        <v>99</v>
      </c>
      <c r="L83" s="80">
        <v>85</v>
      </c>
      <c r="M83" s="80">
        <v>97</v>
      </c>
      <c r="N83" s="80">
        <v>99</v>
      </c>
      <c r="O83" s="103">
        <f>AVERAGE(G83:M83)</f>
        <v>95.2</v>
      </c>
      <c r="P83" s="69">
        <f>MIN(13.2, MAX(0, 100 - O83) * 0.66)</f>
        <v>3.1679999999999984</v>
      </c>
      <c r="Q83" s="98">
        <f>N83</f>
        <v>99</v>
      </c>
      <c r="R83" s="85">
        <v>13</v>
      </c>
      <c r="S83" s="104">
        <f>IF(ISBLANK(N83), 0, N83 + P83)</f>
        <v>102.16799999999999</v>
      </c>
    </row>
    <row r="84" spans="1:19" ht="15.75" customHeight="1" x14ac:dyDescent="0.35">
      <c r="A84" s="54" t="s">
        <v>79</v>
      </c>
      <c r="B84" s="55" t="s">
        <v>28</v>
      </c>
      <c r="C84" s="55" t="s">
        <v>59</v>
      </c>
      <c r="D84" s="55">
        <v>98</v>
      </c>
      <c r="E84" s="55">
        <v>100</v>
      </c>
      <c r="F84" s="55"/>
      <c r="G84" s="55"/>
      <c r="H84" s="55">
        <v>97</v>
      </c>
      <c r="I84" s="70"/>
      <c r="J84" s="55">
        <v>99</v>
      </c>
      <c r="K84" s="55">
        <v>98</v>
      </c>
      <c r="L84" s="80"/>
      <c r="M84" s="80"/>
      <c r="N84" s="80">
        <v>99</v>
      </c>
      <c r="O84" s="103">
        <f>AVERAGE(G84:M84)</f>
        <v>98</v>
      </c>
      <c r="P84" s="69">
        <f>MIN(13.2, MAX(0, 100 - O84) * 0.66)</f>
        <v>1.32</v>
      </c>
      <c r="Q84" s="98">
        <f>N84</f>
        <v>99</v>
      </c>
      <c r="R84" s="85">
        <v>9</v>
      </c>
      <c r="S84" s="104">
        <f>IF(ISBLANK(N84), 0, N84 + P84)</f>
        <v>100.32</v>
      </c>
    </row>
    <row r="85" spans="1:19" ht="15.75" customHeight="1" x14ac:dyDescent="0.35">
      <c r="A85" s="54" t="s">
        <v>97</v>
      </c>
      <c r="B85" s="55" t="s">
        <v>28</v>
      </c>
      <c r="C85" s="55" t="s">
        <v>95</v>
      </c>
      <c r="D85" s="55">
        <v>98</v>
      </c>
      <c r="E85" s="55">
        <v>98</v>
      </c>
      <c r="F85" s="55">
        <v>95</v>
      </c>
      <c r="G85" s="55">
        <v>96</v>
      </c>
      <c r="H85" s="55">
        <v>90</v>
      </c>
      <c r="I85" s="70"/>
      <c r="J85" s="55">
        <v>99</v>
      </c>
      <c r="K85" s="55">
        <v>94</v>
      </c>
      <c r="L85" s="80">
        <v>85</v>
      </c>
      <c r="M85" s="80">
        <v>98</v>
      </c>
      <c r="N85" s="80">
        <v>98</v>
      </c>
      <c r="O85" s="103">
        <f>AVERAGE(G85:M85)</f>
        <v>93.666666666666671</v>
      </c>
      <c r="P85" s="69">
        <f>MIN(13.2, MAX(0, 100 - O85) * 0.66)</f>
        <v>4.1799999999999971</v>
      </c>
      <c r="Q85" s="98">
        <f>N85</f>
        <v>98</v>
      </c>
      <c r="R85" s="85">
        <v>9</v>
      </c>
      <c r="S85" s="104">
        <f>IF(ISBLANK(N85), 0, N85 + P85)</f>
        <v>102.17999999999999</v>
      </c>
    </row>
    <row r="86" spans="1:19" ht="15.75" customHeight="1" x14ac:dyDescent="0.35">
      <c r="A86" s="54" t="s">
        <v>99</v>
      </c>
      <c r="B86" s="55" t="s">
        <v>28</v>
      </c>
      <c r="C86" s="55" t="s">
        <v>95</v>
      </c>
      <c r="D86" s="55">
        <v>95</v>
      </c>
      <c r="E86" s="55">
        <v>99</v>
      </c>
      <c r="F86" s="55">
        <v>97</v>
      </c>
      <c r="G86" s="55"/>
      <c r="H86" s="55"/>
      <c r="I86" s="70"/>
      <c r="J86" s="55">
        <v>83</v>
      </c>
      <c r="K86" s="55"/>
      <c r="L86" s="80"/>
      <c r="M86" s="80">
        <v>95</v>
      </c>
      <c r="N86" s="80">
        <v>97</v>
      </c>
      <c r="O86" s="103">
        <f>AVERAGE(G86:M86)</f>
        <v>89</v>
      </c>
      <c r="P86" s="69">
        <f>MIN(13.2, MAX(0, 100 - O86) * 0.66)</f>
        <v>7.2600000000000007</v>
      </c>
      <c r="Q86" s="98">
        <f>N86</f>
        <v>97</v>
      </c>
      <c r="R86" s="85">
        <v>8</v>
      </c>
      <c r="S86" s="104">
        <f>IF(ISBLANK(N86), 0, N86 + P86)</f>
        <v>104.26</v>
      </c>
    </row>
    <row r="87" spans="1:19" ht="15.75" customHeight="1" x14ac:dyDescent="0.35">
      <c r="A87" s="54" t="s">
        <v>91</v>
      </c>
      <c r="B87" s="55" t="s">
        <v>28</v>
      </c>
      <c r="C87" s="55" t="s">
        <v>83</v>
      </c>
      <c r="D87" s="55"/>
      <c r="E87" s="55">
        <v>66</v>
      </c>
      <c r="F87" s="55"/>
      <c r="G87" s="55"/>
      <c r="H87" s="55"/>
      <c r="I87" s="70"/>
      <c r="J87" s="55"/>
      <c r="K87" s="55">
        <v>95</v>
      </c>
      <c r="L87" s="80">
        <v>91</v>
      </c>
      <c r="M87" s="80">
        <v>88</v>
      </c>
      <c r="N87" s="80">
        <v>90</v>
      </c>
      <c r="O87" s="103">
        <f>AVERAGE(G87:M87)</f>
        <v>91.333333333333329</v>
      </c>
      <c r="P87" s="69">
        <f>MIN(13.2, MAX(0, 100 - O87) * 0.66)</f>
        <v>5.7200000000000033</v>
      </c>
      <c r="Q87" s="98">
        <f>N87</f>
        <v>90</v>
      </c>
      <c r="R87" s="85">
        <v>6</v>
      </c>
      <c r="S87" s="104">
        <f>IF(ISBLANK(N87), 0, N87 + P87)</f>
        <v>95.72</v>
      </c>
    </row>
    <row r="88" spans="1:19" ht="15.75" customHeight="1" x14ac:dyDescent="0.35">
      <c r="A88" s="54" t="s">
        <v>85</v>
      </c>
      <c r="B88" s="55" t="s">
        <v>28</v>
      </c>
      <c r="C88" s="55" t="s">
        <v>83</v>
      </c>
      <c r="D88" s="55">
        <v>94</v>
      </c>
      <c r="E88" s="55">
        <v>94</v>
      </c>
      <c r="F88" s="55">
        <v>97</v>
      </c>
      <c r="G88" s="55">
        <v>88</v>
      </c>
      <c r="H88" s="55">
        <v>92</v>
      </c>
      <c r="I88" s="70"/>
      <c r="J88" s="55">
        <v>92</v>
      </c>
      <c r="K88" s="55">
        <v>95</v>
      </c>
      <c r="L88" s="80">
        <v>90</v>
      </c>
      <c r="M88" s="80"/>
      <c r="N88" s="80">
        <v>90</v>
      </c>
      <c r="O88" s="103">
        <f>AVERAGE(G88:M88)</f>
        <v>91.4</v>
      </c>
      <c r="P88" s="69">
        <f>MIN(13.2, MAX(0, 100 - O88) * 0.66)</f>
        <v>5.6759999999999966</v>
      </c>
      <c r="Q88" s="98">
        <f>N88</f>
        <v>90</v>
      </c>
      <c r="R88" s="85">
        <v>7</v>
      </c>
      <c r="S88" s="104">
        <f>IF(ISBLANK(N88), 0, N88 + P88)</f>
        <v>95.676000000000002</v>
      </c>
    </row>
    <row r="89" spans="1:19" ht="15.75" customHeight="1" x14ac:dyDescent="0.35">
      <c r="A89" s="87" t="s">
        <v>167</v>
      </c>
      <c r="B89" s="88" t="s">
        <v>28</v>
      </c>
      <c r="C89" s="88" t="s">
        <v>83</v>
      </c>
      <c r="D89" s="88"/>
      <c r="E89" s="88"/>
      <c r="F89" s="88"/>
      <c r="G89" s="88"/>
      <c r="H89" s="88"/>
      <c r="I89" s="89"/>
      <c r="J89" s="88"/>
      <c r="K89" s="88">
        <v>85</v>
      </c>
      <c r="L89" s="90">
        <v>85</v>
      </c>
      <c r="M89" s="90">
        <v>85</v>
      </c>
      <c r="N89" s="90">
        <v>87</v>
      </c>
      <c r="O89" s="103">
        <f>AVERAGE(G89:M89)</f>
        <v>85</v>
      </c>
      <c r="P89" s="69">
        <f>MIN(13.2, MAX(0, 100 - O89) * 0.66)</f>
        <v>9.9</v>
      </c>
      <c r="Q89" s="98">
        <f>N89</f>
        <v>87</v>
      </c>
      <c r="R89" s="85">
        <v>2</v>
      </c>
      <c r="S89" s="104">
        <f>IF(ISBLANK(N89), 0, N89 + P89)</f>
        <v>96.9</v>
      </c>
    </row>
    <row r="90" spans="1:19" ht="15.75" hidden="1" customHeight="1" x14ac:dyDescent="0.35">
      <c r="A90" s="54" t="s">
        <v>87</v>
      </c>
      <c r="B90" s="55" t="s">
        <v>28</v>
      </c>
      <c r="C90" s="55" t="s">
        <v>83</v>
      </c>
      <c r="D90" s="55">
        <v>94</v>
      </c>
      <c r="E90" s="55">
        <v>97</v>
      </c>
      <c r="F90" s="55">
        <v>100</v>
      </c>
      <c r="G90" s="55">
        <v>91</v>
      </c>
      <c r="H90" s="55">
        <v>89</v>
      </c>
      <c r="I90" s="70"/>
      <c r="J90" s="55"/>
      <c r="K90" s="55">
        <v>98</v>
      </c>
      <c r="L90" s="80">
        <v>94</v>
      </c>
      <c r="M90" s="80">
        <v>91</v>
      </c>
      <c r="N90" s="80"/>
      <c r="O90" s="103">
        <f>AVERAGE(G90:M90)</f>
        <v>92.6</v>
      </c>
      <c r="P90" s="69">
        <f>MIN(13.2, MAX(0, 100 - O90) * 0.66)</f>
        <v>4.8840000000000039</v>
      </c>
      <c r="Q90" s="98">
        <f>N90</f>
        <v>0</v>
      </c>
      <c r="R90" s="85"/>
      <c r="S90" s="104">
        <f>IF(ISBLANK(N90), 0, N90 + P90)</f>
        <v>0</v>
      </c>
    </row>
    <row r="91" spans="1:19" ht="15.75" hidden="1" customHeight="1" x14ac:dyDescent="0.35">
      <c r="A91" s="54" t="s">
        <v>88</v>
      </c>
      <c r="B91" s="55" t="s">
        <v>28</v>
      </c>
      <c r="C91" s="55" t="s">
        <v>83</v>
      </c>
      <c r="D91" s="55">
        <v>95</v>
      </c>
      <c r="E91" s="55"/>
      <c r="F91" s="55"/>
      <c r="G91" s="55">
        <v>97</v>
      </c>
      <c r="H91" s="55"/>
      <c r="I91" s="70"/>
      <c r="J91" s="55">
        <v>91</v>
      </c>
      <c r="K91" s="55">
        <v>97</v>
      </c>
      <c r="L91" s="80"/>
      <c r="M91" s="80"/>
      <c r="N91" s="80"/>
      <c r="O91" s="103">
        <f>AVERAGE(G91:M91)</f>
        <v>95</v>
      </c>
      <c r="P91" s="69">
        <f>MIN(13.2, MAX(0, 100 - O91) * 0.66)</f>
        <v>3.3000000000000003</v>
      </c>
      <c r="Q91" s="98">
        <f>N91</f>
        <v>0</v>
      </c>
      <c r="R91" s="85"/>
      <c r="S91" s="104">
        <f>IF(ISBLANK(N91), 0, N91 + P91)</f>
        <v>0</v>
      </c>
    </row>
    <row r="92" spans="1:19" ht="15.75" hidden="1" customHeight="1" x14ac:dyDescent="0.35">
      <c r="A92" s="54" t="s">
        <v>90</v>
      </c>
      <c r="B92" s="55" t="s">
        <v>28</v>
      </c>
      <c r="C92" s="55" t="s">
        <v>83</v>
      </c>
      <c r="D92" s="55">
        <v>88</v>
      </c>
      <c r="E92" s="55">
        <v>92</v>
      </c>
      <c r="F92" s="55"/>
      <c r="G92" s="55"/>
      <c r="H92" s="55">
        <v>94</v>
      </c>
      <c r="I92" s="70"/>
      <c r="J92" s="55">
        <v>96</v>
      </c>
      <c r="K92" s="55"/>
      <c r="L92" s="80"/>
      <c r="M92" s="80"/>
      <c r="N92" s="80"/>
      <c r="O92" s="103">
        <f>AVERAGE(G92:M92)</f>
        <v>95</v>
      </c>
      <c r="P92" s="69">
        <f>MIN(13.2, MAX(0, 100 - O92) * 0.66)</f>
        <v>3.3000000000000003</v>
      </c>
      <c r="Q92" s="98">
        <f>N92</f>
        <v>0</v>
      </c>
      <c r="R92" s="85"/>
      <c r="S92" s="104">
        <f>IF(ISBLANK(N92), 0, N92 + P92)</f>
        <v>0</v>
      </c>
    </row>
    <row r="93" spans="1:19" ht="15.75" hidden="1" customHeight="1" x14ac:dyDescent="0.35">
      <c r="A93" s="54" t="s">
        <v>89</v>
      </c>
      <c r="B93" s="55" t="s">
        <v>28</v>
      </c>
      <c r="C93" s="55" t="s">
        <v>83</v>
      </c>
      <c r="D93" s="55">
        <v>85</v>
      </c>
      <c r="E93" s="55">
        <v>94</v>
      </c>
      <c r="F93" s="55">
        <v>89</v>
      </c>
      <c r="G93" s="55">
        <v>88</v>
      </c>
      <c r="H93" s="55">
        <v>81</v>
      </c>
      <c r="I93" s="70"/>
      <c r="J93" s="55">
        <v>87</v>
      </c>
      <c r="K93" s="55"/>
      <c r="L93" s="80">
        <v>91</v>
      </c>
      <c r="M93" s="80">
        <v>88</v>
      </c>
      <c r="N93" s="80"/>
      <c r="O93" s="103">
        <f>AVERAGE(G93:M93)</f>
        <v>87</v>
      </c>
      <c r="P93" s="69">
        <f>MIN(13.2, MAX(0, 100 - O93) * 0.66)</f>
        <v>8.58</v>
      </c>
      <c r="Q93" s="98">
        <f>N93</f>
        <v>0</v>
      </c>
      <c r="R93" s="85"/>
      <c r="S93" s="104">
        <f>IF(ISBLANK(N93), 0, N93 + P93)</f>
        <v>0</v>
      </c>
    </row>
    <row r="94" spans="1:19" ht="15.75" hidden="1" customHeight="1" x14ac:dyDescent="0.35">
      <c r="A94" s="54" t="s">
        <v>112</v>
      </c>
      <c r="B94" s="55" t="s">
        <v>28</v>
      </c>
      <c r="C94" s="55" t="s">
        <v>134</v>
      </c>
      <c r="D94" s="55">
        <v>95</v>
      </c>
      <c r="E94" s="55">
        <v>95</v>
      </c>
      <c r="F94" s="55">
        <v>98</v>
      </c>
      <c r="G94" s="55">
        <v>83</v>
      </c>
      <c r="H94" s="55">
        <v>83</v>
      </c>
      <c r="I94" s="70"/>
      <c r="J94" s="55"/>
      <c r="K94" s="55">
        <v>95</v>
      </c>
      <c r="L94" s="80"/>
      <c r="M94" s="80"/>
      <c r="N94" s="80"/>
      <c r="O94" s="103">
        <f>AVERAGE(G94:M94)</f>
        <v>87</v>
      </c>
      <c r="P94" s="69">
        <f>MIN(13.2, MAX(0, 100 - O94) * 0.66)</f>
        <v>8.58</v>
      </c>
      <c r="Q94" s="98">
        <f>N94</f>
        <v>0</v>
      </c>
      <c r="R94" s="85"/>
      <c r="S94" s="104">
        <f>IF(ISBLANK(N94), 0, N94 + P94)</f>
        <v>0</v>
      </c>
    </row>
    <row r="95" spans="1:19" ht="15.75" hidden="1" customHeight="1" x14ac:dyDescent="0.35">
      <c r="A95" s="54" t="s">
        <v>56</v>
      </c>
      <c r="B95" s="55" t="s">
        <v>28</v>
      </c>
      <c r="C95" s="55" t="s">
        <v>134</v>
      </c>
      <c r="D95" s="55">
        <v>98</v>
      </c>
      <c r="E95" s="55">
        <v>92</v>
      </c>
      <c r="F95" s="55"/>
      <c r="G95" s="55">
        <v>92</v>
      </c>
      <c r="H95" s="55">
        <v>85</v>
      </c>
      <c r="I95" s="70"/>
      <c r="J95" s="55">
        <v>97</v>
      </c>
      <c r="K95" s="55">
        <f>45+50</f>
        <v>95</v>
      </c>
      <c r="L95" s="80"/>
      <c r="M95" s="80"/>
      <c r="N95" s="80"/>
      <c r="O95" s="103">
        <f>AVERAGE(G95:M95)</f>
        <v>92.25</v>
      </c>
      <c r="P95" s="69">
        <f>MIN(13.2, MAX(0, 100 - O95) * 0.66)</f>
        <v>5.1150000000000002</v>
      </c>
      <c r="Q95" s="98">
        <f>N95</f>
        <v>0</v>
      </c>
      <c r="R95" s="85"/>
      <c r="S95" s="104">
        <f>IF(ISBLANK(N95), 0, N95 + P95)</f>
        <v>0</v>
      </c>
    </row>
    <row r="96" spans="1:19" ht="15.75" hidden="1" customHeight="1" x14ac:dyDescent="0.35">
      <c r="A96" s="54" t="s">
        <v>30</v>
      </c>
      <c r="B96" s="55" t="s">
        <v>28</v>
      </c>
      <c r="C96" s="55" t="s">
        <v>134</v>
      </c>
      <c r="D96" s="55">
        <v>93</v>
      </c>
      <c r="E96" s="55"/>
      <c r="F96" s="55">
        <v>96</v>
      </c>
      <c r="G96" s="55">
        <v>77</v>
      </c>
      <c r="H96" s="55"/>
      <c r="I96" s="70"/>
      <c r="J96" s="55"/>
      <c r="K96" s="55"/>
      <c r="L96" s="80"/>
      <c r="M96" s="80"/>
      <c r="N96" s="80"/>
      <c r="O96" s="103">
        <f>AVERAGE(G96:M96)</f>
        <v>77</v>
      </c>
      <c r="P96" s="69">
        <f>MIN(13.2, MAX(0, 100 - O96) * 0.66)</f>
        <v>13.2</v>
      </c>
      <c r="Q96" s="98">
        <f>N96</f>
        <v>0</v>
      </c>
      <c r="R96" s="85"/>
      <c r="S96" s="104">
        <f>IF(ISBLANK(N96), 0, N96 + P96)</f>
        <v>0</v>
      </c>
    </row>
    <row r="97" spans="1:19" ht="15.75" hidden="1" customHeight="1" x14ac:dyDescent="0.35">
      <c r="A97" s="54" t="s">
        <v>55</v>
      </c>
      <c r="B97" s="55" t="s">
        <v>28</v>
      </c>
      <c r="C97" s="55" t="s">
        <v>134</v>
      </c>
      <c r="D97" s="55"/>
      <c r="E97" s="55"/>
      <c r="F97" s="55"/>
      <c r="G97" s="55"/>
      <c r="H97" s="55">
        <f>46+47</f>
        <v>93</v>
      </c>
      <c r="I97" s="70"/>
      <c r="J97" s="55"/>
      <c r="K97" s="55"/>
      <c r="L97" s="80"/>
      <c r="M97" s="80"/>
      <c r="N97" s="80"/>
      <c r="O97" s="103">
        <f>AVERAGE(G97:M97)</f>
        <v>93</v>
      </c>
      <c r="P97" s="69">
        <f>MIN(13.2, MAX(0, 100 - O97) * 0.66)</f>
        <v>4.62</v>
      </c>
      <c r="Q97" s="98">
        <f>N97</f>
        <v>0</v>
      </c>
      <c r="R97" s="85"/>
      <c r="S97" s="104">
        <f>IF(ISBLANK(N97), 0, N97 + P97)</f>
        <v>0</v>
      </c>
    </row>
    <row r="98" spans="1:19" ht="15.75" hidden="1" customHeight="1" x14ac:dyDescent="0.35">
      <c r="A98" s="54" t="s">
        <v>29</v>
      </c>
      <c r="B98" s="55" t="s">
        <v>28</v>
      </c>
      <c r="C98" s="55" t="s">
        <v>134</v>
      </c>
      <c r="D98" s="55"/>
      <c r="E98" s="55"/>
      <c r="F98" s="55">
        <v>99</v>
      </c>
      <c r="G98" s="55">
        <v>99</v>
      </c>
      <c r="H98" s="55">
        <f>39+48</f>
        <v>87</v>
      </c>
      <c r="I98" s="70"/>
      <c r="J98" s="55"/>
      <c r="K98" s="55"/>
      <c r="L98" s="80">
        <v>92</v>
      </c>
      <c r="M98" s="80"/>
      <c r="N98" s="80"/>
      <c r="O98" s="103">
        <f>AVERAGE(G98:M98)</f>
        <v>92.666666666666671</v>
      </c>
      <c r="P98" s="69">
        <f>MIN(13.2, MAX(0, 100 - O98) * 0.66)</f>
        <v>4.8399999999999972</v>
      </c>
      <c r="Q98" s="98">
        <f>N98</f>
        <v>0</v>
      </c>
      <c r="R98" s="85"/>
      <c r="S98" s="104">
        <f>IF(ISBLANK(N98), 0, N98 + P98)</f>
        <v>0</v>
      </c>
    </row>
    <row r="99" spans="1:19" ht="15.75" hidden="1" customHeight="1" x14ac:dyDescent="0.35">
      <c r="A99" s="54" t="s">
        <v>27</v>
      </c>
      <c r="B99" s="55" t="s">
        <v>28</v>
      </c>
      <c r="C99" s="55" t="s">
        <v>134</v>
      </c>
      <c r="D99" s="55">
        <v>96</v>
      </c>
      <c r="E99" s="55"/>
      <c r="F99" s="55"/>
      <c r="G99" s="55"/>
      <c r="H99" s="55"/>
      <c r="I99" s="70"/>
      <c r="J99" s="55"/>
      <c r="K99" s="55"/>
      <c r="L99" s="80"/>
      <c r="M99" s="80"/>
      <c r="N99" s="80"/>
      <c r="O99" s="103">
        <f>AVERAGE(D99:M99)</f>
        <v>96</v>
      </c>
      <c r="P99" s="69">
        <f>MIN(13.2, MAX(0, 100 - O99) * 0.66)</f>
        <v>2.64</v>
      </c>
      <c r="Q99" s="98">
        <f>N99</f>
        <v>0</v>
      </c>
      <c r="R99" s="85"/>
      <c r="S99" s="104">
        <f>IF(ISBLANK(N99), 0, N99 + P99)</f>
        <v>0</v>
      </c>
    </row>
    <row r="100" spans="1:19" ht="15.75" hidden="1" customHeight="1" x14ac:dyDescent="0.35">
      <c r="A100" s="54" t="s">
        <v>41</v>
      </c>
      <c r="B100" s="55" t="s">
        <v>28</v>
      </c>
      <c r="C100" s="55" t="s">
        <v>134</v>
      </c>
      <c r="D100" s="55">
        <v>87</v>
      </c>
      <c r="E100" s="55"/>
      <c r="F100" s="55">
        <v>93</v>
      </c>
      <c r="G100" s="55">
        <v>85</v>
      </c>
      <c r="H100" s="55">
        <f>39+47</f>
        <v>86</v>
      </c>
      <c r="I100" s="70"/>
      <c r="J100" s="55">
        <v>93</v>
      </c>
      <c r="K100" s="55">
        <f>45+49</f>
        <v>94</v>
      </c>
      <c r="L100" s="80"/>
      <c r="M100" s="80"/>
      <c r="N100" s="80"/>
      <c r="O100" s="103">
        <f>AVERAGE(G100:M100)</f>
        <v>89.5</v>
      </c>
      <c r="P100" s="69">
        <f>MIN(13.2, MAX(0, 100 - O100) * 0.66)</f>
        <v>6.9300000000000006</v>
      </c>
      <c r="Q100" s="98">
        <f>N100</f>
        <v>0</v>
      </c>
      <c r="R100" s="85"/>
      <c r="S100" s="104">
        <f>IF(ISBLANK(N100), 0, N100 + P100)</f>
        <v>0</v>
      </c>
    </row>
    <row r="101" spans="1:19" ht="15.75" hidden="1" customHeight="1" x14ac:dyDescent="0.35">
      <c r="A101" s="54" t="s">
        <v>54</v>
      </c>
      <c r="B101" s="55" t="s">
        <v>28</v>
      </c>
      <c r="C101" s="55" t="s">
        <v>134</v>
      </c>
      <c r="D101" s="55"/>
      <c r="E101" s="55"/>
      <c r="F101" s="55"/>
      <c r="G101" s="55">
        <v>85</v>
      </c>
      <c r="H101" s="55"/>
      <c r="I101" s="70"/>
      <c r="J101" s="55"/>
      <c r="K101" s="55"/>
      <c r="L101" s="80"/>
      <c r="M101" s="80"/>
      <c r="N101" s="80"/>
      <c r="O101" s="103">
        <f>AVERAGE(G101:M101)</f>
        <v>85</v>
      </c>
      <c r="P101" s="69">
        <f>MIN(13.2, MAX(0, 100 - O101) * 0.66)</f>
        <v>9.9</v>
      </c>
      <c r="Q101" s="98">
        <f>N101</f>
        <v>0</v>
      </c>
      <c r="R101" s="85"/>
      <c r="S101" s="104">
        <f>IF(ISBLANK(N101), 0, N101 + P101)</f>
        <v>0</v>
      </c>
    </row>
    <row r="102" spans="1:19" ht="15.75" hidden="1" customHeight="1" x14ac:dyDescent="0.35">
      <c r="A102" s="54" t="s">
        <v>100</v>
      </c>
      <c r="B102" s="55" t="s">
        <v>28</v>
      </c>
      <c r="C102" s="55" t="s">
        <v>95</v>
      </c>
      <c r="D102" s="55">
        <v>94</v>
      </c>
      <c r="E102" s="55"/>
      <c r="F102" s="55">
        <v>97</v>
      </c>
      <c r="G102" s="55">
        <v>88</v>
      </c>
      <c r="H102" s="55">
        <v>87</v>
      </c>
      <c r="I102" s="70"/>
      <c r="J102" s="55">
        <v>86</v>
      </c>
      <c r="K102" s="55">
        <v>98</v>
      </c>
      <c r="L102" s="80"/>
      <c r="M102" s="80"/>
      <c r="N102" s="80"/>
      <c r="O102" s="103">
        <f>AVERAGE(G102:M102)</f>
        <v>89.75</v>
      </c>
      <c r="P102" s="69">
        <f>MIN(13.2, MAX(0, 100 - O102) * 0.66)</f>
        <v>6.7650000000000006</v>
      </c>
      <c r="Q102" s="98">
        <f>N102</f>
        <v>0</v>
      </c>
      <c r="R102" s="85"/>
      <c r="S102" s="104">
        <f>IF(ISBLANK(N102), 0, N102 + P102)</f>
        <v>0</v>
      </c>
    </row>
    <row r="103" spans="1:19" ht="15.75" hidden="1" customHeight="1" x14ac:dyDescent="0.35">
      <c r="A103" s="54" t="s">
        <v>116</v>
      </c>
      <c r="B103" s="55" t="s">
        <v>28</v>
      </c>
      <c r="C103" s="55" t="s">
        <v>136</v>
      </c>
      <c r="D103" s="55">
        <v>94</v>
      </c>
      <c r="E103" s="55"/>
      <c r="F103" s="55">
        <v>90</v>
      </c>
      <c r="G103" s="55">
        <v>85</v>
      </c>
      <c r="H103" s="55">
        <v>82</v>
      </c>
      <c r="I103" s="70"/>
      <c r="J103" s="55"/>
      <c r="K103" s="55"/>
      <c r="L103" s="80"/>
      <c r="M103" s="80"/>
      <c r="N103" s="80"/>
      <c r="O103" s="103">
        <f>AVERAGE(G103:M103)</f>
        <v>83.5</v>
      </c>
      <c r="P103" s="69">
        <f>MIN(13.2, MAX(0, 100 - O103) * 0.66)</f>
        <v>10.89</v>
      </c>
      <c r="Q103" s="98">
        <f>N103</f>
        <v>0</v>
      </c>
      <c r="R103" s="85"/>
      <c r="S103" s="104">
        <f>IF(ISBLANK(N103), 0, N103 + P103)</f>
        <v>0</v>
      </c>
    </row>
    <row r="104" spans="1:19" ht="15.75" hidden="1" customHeight="1" x14ac:dyDescent="0.35">
      <c r="A104" s="54" t="s">
        <v>107</v>
      </c>
      <c r="B104" s="55" t="s">
        <v>28</v>
      </c>
      <c r="C104" s="55" t="s">
        <v>136</v>
      </c>
      <c r="D104" s="55"/>
      <c r="E104" s="55"/>
      <c r="F104" s="55">
        <v>96</v>
      </c>
      <c r="G104" s="55">
        <v>80</v>
      </c>
      <c r="H104" s="55">
        <v>91</v>
      </c>
      <c r="I104" s="70"/>
      <c r="J104" s="55"/>
      <c r="K104" s="55">
        <v>98</v>
      </c>
      <c r="L104" s="80"/>
      <c r="M104" s="80"/>
      <c r="N104" s="80"/>
      <c r="O104" s="103">
        <f>AVERAGE(G104:M104)</f>
        <v>89.666666666666671</v>
      </c>
      <c r="P104" s="69">
        <f>MIN(13.2, MAX(0, 100 - O104) * 0.66)</f>
        <v>6.8199999999999976</v>
      </c>
      <c r="Q104" s="98">
        <f>N104</f>
        <v>0</v>
      </c>
      <c r="R104" s="85"/>
      <c r="S104" s="104">
        <f>IF(ISBLANK(N104), 0, N104 + P104)</f>
        <v>0</v>
      </c>
    </row>
    <row r="105" spans="1:19" ht="15.75" hidden="1" customHeight="1" x14ac:dyDescent="0.35">
      <c r="A105" s="54" t="s">
        <v>109</v>
      </c>
      <c r="B105" s="55" t="s">
        <v>28</v>
      </c>
      <c r="C105" s="55" t="s">
        <v>136</v>
      </c>
      <c r="D105" s="55"/>
      <c r="E105" s="55">
        <v>96</v>
      </c>
      <c r="F105" s="55"/>
      <c r="G105" s="55"/>
      <c r="H105" s="55"/>
      <c r="I105" s="70"/>
      <c r="J105" s="55"/>
      <c r="K105" s="55"/>
      <c r="L105" s="80"/>
      <c r="M105" s="80"/>
      <c r="N105" s="80"/>
      <c r="O105" s="103">
        <f>AVERAGE(D105:M105)</f>
        <v>96</v>
      </c>
      <c r="P105" s="69">
        <f>MIN(13.2, MAX(0, 100 - O105) * 0.66)</f>
        <v>2.64</v>
      </c>
      <c r="Q105" s="98">
        <f>N105</f>
        <v>0</v>
      </c>
      <c r="R105" s="85"/>
      <c r="S105" s="104">
        <f>IF(ISBLANK(N105), 0, N105 + P105)</f>
        <v>0</v>
      </c>
    </row>
    <row r="106" spans="1:19" ht="15.75" hidden="1" customHeight="1" x14ac:dyDescent="0.35">
      <c r="A106" s="54" t="s">
        <v>108</v>
      </c>
      <c r="B106" s="55" t="s">
        <v>28</v>
      </c>
      <c r="C106" s="55" t="s">
        <v>136</v>
      </c>
      <c r="D106" s="55"/>
      <c r="E106" s="55">
        <v>98</v>
      </c>
      <c r="F106" s="55"/>
      <c r="G106" s="55"/>
      <c r="H106" s="55"/>
      <c r="I106" s="70"/>
      <c r="J106" s="55"/>
      <c r="K106" s="55"/>
      <c r="L106" s="80"/>
      <c r="M106" s="80"/>
      <c r="N106" s="80"/>
      <c r="O106" s="103">
        <f>AVERAGE(D106:M106)</f>
        <v>98</v>
      </c>
      <c r="P106" s="69">
        <f>MIN(13.2, MAX(0, 100 - O106) * 0.66)</f>
        <v>1.32</v>
      </c>
      <c r="Q106" s="98">
        <f>N106</f>
        <v>0</v>
      </c>
      <c r="R106" s="85"/>
      <c r="S106" s="104">
        <f>IF(ISBLANK(N106), 0, N106 + P106)</f>
        <v>0</v>
      </c>
    </row>
    <row r="107" spans="1:19" ht="15.75" customHeight="1" x14ac:dyDescent="0.3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84"/>
      <c r="M107" s="84"/>
      <c r="N107" s="84"/>
      <c r="O107" s="30"/>
      <c r="P107" s="39"/>
      <c r="Q107" s="30"/>
      <c r="R107" s="50"/>
      <c r="S107" s="49"/>
    </row>
    <row r="108" spans="1:19" ht="15.75" customHeight="1" x14ac:dyDescent="0.3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84"/>
      <c r="M108" s="84"/>
      <c r="N108" s="84"/>
      <c r="O108" s="30"/>
      <c r="P108" s="39"/>
      <c r="Q108" s="30"/>
      <c r="R108" s="50"/>
      <c r="S108" s="49"/>
    </row>
    <row r="109" spans="1:19" ht="15.75" customHeight="1" x14ac:dyDescent="0.3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84"/>
      <c r="M109" s="84"/>
      <c r="N109" s="84"/>
      <c r="O109" s="30"/>
      <c r="P109" s="39"/>
      <c r="Q109" s="30"/>
      <c r="R109" s="50"/>
      <c r="S109" s="49"/>
    </row>
    <row r="110" spans="1:19" ht="15.75" customHeight="1" x14ac:dyDescent="0.3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84"/>
      <c r="M110" s="84"/>
      <c r="N110" s="84"/>
      <c r="O110" s="30"/>
      <c r="P110" s="39"/>
      <c r="Q110" s="30"/>
      <c r="R110" s="50"/>
      <c r="S110" s="49"/>
    </row>
    <row r="111" spans="1:19" ht="15.75" customHeight="1" x14ac:dyDescent="0.3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84"/>
      <c r="M111" s="84"/>
      <c r="N111" s="84"/>
      <c r="O111" s="30"/>
      <c r="P111" s="39"/>
      <c r="Q111" s="30"/>
      <c r="R111" s="50"/>
      <c r="S111" s="49"/>
    </row>
    <row r="112" spans="1:19" ht="15.75" customHeight="1" x14ac:dyDescent="0.3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84"/>
      <c r="M112" s="84"/>
      <c r="N112" s="84"/>
      <c r="O112" s="30"/>
      <c r="P112" s="39"/>
      <c r="Q112" s="30"/>
      <c r="R112" s="50"/>
      <c r="S112" s="49"/>
    </row>
    <row r="113" spans="1:19" ht="15.75" customHeight="1" x14ac:dyDescent="0.3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84"/>
      <c r="M113" s="84"/>
      <c r="N113" s="84"/>
      <c r="O113" s="30"/>
      <c r="P113" s="39"/>
      <c r="Q113" s="30"/>
      <c r="R113" s="50"/>
      <c r="S113" s="49"/>
    </row>
    <row r="114" spans="1:19" ht="15.75" customHeight="1" x14ac:dyDescent="0.3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84"/>
      <c r="M114" s="84"/>
      <c r="N114" s="84"/>
      <c r="O114" s="30"/>
      <c r="P114" s="39"/>
      <c r="Q114" s="30"/>
      <c r="R114" s="50"/>
      <c r="S114" s="49"/>
    </row>
    <row r="115" spans="1:19" ht="15.75" customHeight="1" x14ac:dyDescent="0.3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84"/>
      <c r="M115" s="84"/>
      <c r="N115" s="84"/>
      <c r="O115" s="30"/>
      <c r="P115" s="39"/>
      <c r="Q115" s="30"/>
      <c r="R115" s="50"/>
      <c r="S115" s="49"/>
    </row>
    <row r="116" spans="1:19" ht="15.75" customHeight="1" x14ac:dyDescent="0.3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84"/>
      <c r="M116" s="84"/>
      <c r="N116" s="84"/>
      <c r="O116" s="30"/>
      <c r="P116" s="39"/>
      <c r="Q116" s="30"/>
      <c r="R116" s="50"/>
      <c r="S116" s="49"/>
    </row>
    <row r="117" spans="1:19" ht="15.75" customHeight="1" x14ac:dyDescent="0.3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84"/>
      <c r="M117" s="84"/>
      <c r="N117" s="84"/>
      <c r="O117" s="30"/>
      <c r="P117" s="39"/>
      <c r="Q117" s="30"/>
      <c r="R117" s="50"/>
      <c r="S117" s="49"/>
    </row>
    <row r="118" spans="1:19" ht="15.75" customHeight="1" x14ac:dyDescent="0.3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84"/>
      <c r="M118" s="84"/>
      <c r="N118" s="84"/>
      <c r="O118" s="30"/>
      <c r="P118" s="39"/>
      <c r="Q118" s="30"/>
      <c r="R118" s="50"/>
      <c r="S118" s="49"/>
    </row>
    <row r="119" spans="1:19" ht="15.75" customHeight="1" x14ac:dyDescent="0.3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84"/>
      <c r="M119" s="84"/>
      <c r="N119" s="84"/>
      <c r="O119" s="30"/>
      <c r="P119" s="39"/>
      <c r="Q119" s="30"/>
      <c r="R119" s="50"/>
      <c r="S119" s="49"/>
    </row>
    <row r="120" spans="1:19" ht="15.75" customHeight="1" x14ac:dyDescent="0.3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84"/>
      <c r="M120" s="84"/>
      <c r="N120" s="84"/>
      <c r="O120" s="30"/>
      <c r="P120" s="39"/>
      <c r="Q120" s="30"/>
      <c r="R120" s="50"/>
      <c r="S120" s="49"/>
    </row>
    <row r="121" spans="1:19" ht="15.75" customHeight="1" x14ac:dyDescent="0.3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84"/>
      <c r="M121" s="84"/>
      <c r="N121" s="84"/>
      <c r="O121" s="30"/>
      <c r="P121" s="39"/>
      <c r="Q121" s="30"/>
      <c r="R121" s="50"/>
      <c r="S121" s="49"/>
    </row>
    <row r="122" spans="1:19" ht="15.75" customHeight="1" x14ac:dyDescent="0.3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84"/>
      <c r="M122" s="84"/>
      <c r="N122" s="84"/>
      <c r="O122" s="30"/>
      <c r="P122" s="39"/>
      <c r="Q122" s="30"/>
      <c r="R122" s="50"/>
      <c r="S122" s="49"/>
    </row>
    <row r="123" spans="1:19" ht="15.75" customHeight="1" x14ac:dyDescent="0.3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84"/>
      <c r="M123" s="84"/>
      <c r="N123" s="84"/>
      <c r="O123" s="30"/>
      <c r="P123" s="39"/>
      <c r="Q123" s="30"/>
      <c r="R123" s="50"/>
      <c r="S123" s="49"/>
    </row>
    <row r="124" spans="1:19" ht="15.75" customHeight="1" x14ac:dyDescent="0.3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84"/>
      <c r="M124" s="84"/>
      <c r="N124" s="84"/>
      <c r="O124" s="30"/>
      <c r="P124" s="39"/>
      <c r="Q124" s="30"/>
      <c r="R124" s="50"/>
      <c r="S124" s="49"/>
    </row>
    <row r="125" spans="1:19" ht="15.75" customHeight="1" x14ac:dyDescent="0.3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84"/>
      <c r="M125" s="84"/>
      <c r="N125" s="84"/>
      <c r="O125" s="30"/>
      <c r="P125" s="39"/>
      <c r="Q125" s="30"/>
      <c r="R125" s="50"/>
      <c r="S125" s="49"/>
    </row>
    <row r="126" spans="1:19" ht="15.75" customHeight="1" x14ac:dyDescent="0.3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84"/>
      <c r="M126" s="84"/>
      <c r="N126" s="84"/>
      <c r="O126" s="30"/>
      <c r="P126" s="39"/>
      <c r="Q126" s="30"/>
      <c r="R126" s="50"/>
      <c r="S126" s="49"/>
    </row>
    <row r="127" spans="1:19" ht="15.75" customHeight="1" x14ac:dyDescent="0.3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84"/>
      <c r="M127" s="84"/>
      <c r="N127" s="84"/>
      <c r="O127" s="30"/>
      <c r="P127" s="39"/>
      <c r="Q127" s="30"/>
      <c r="R127" s="50"/>
      <c r="S127" s="49"/>
    </row>
    <row r="128" spans="1:19" ht="15.75" customHeight="1" x14ac:dyDescent="0.3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84"/>
      <c r="M128" s="84"/>
      <c r="N128" s="84"/>
      <c r="O128" s="30"/>
      <c r="P128" s="39"/>
      <c r="Q128" s="30"/>
      <c r="R128" s="50"/>
      <c r="S128" s="49"/>
    </row>
    <row r="129" spans="1:19" ht="15.75" customHeight="1" x14ac:dyDescent="0.3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84"/>
      <c r="M129" s="84"/>
      <c r="N129" s="84"/>
      <c r="O129" s="30"/>
      <c r="P129" s="39"/>
      <c r="Q129" s="30"/>
      <c r="R129" s="50"/>
      <c r="S129" s="49"/>
    </row>
    <row r="130" spans="1:19" ht="15.75" customHeight="1" x14ac:dyDescent="0.3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84"/>
      <c r="M130" s="84"/>
      <c r="N130" s="84"/>
      <c r="O130" s="30"/>
      <c r="P130" s="39"/>
      <c r="Q130" s="30"/>
      <c r="R130" s="50"/>
      <c r="S130" s="49"/>
    </row>
    <row r="131" spans="1:19" ht="15.75" customHeight="1" x14ac:dyDescent="0.3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84"/>
      <c r="M131" s="84"/>
      <c r="N131" s="84"/>
      <c r="O131" s="30"/>
      <c r="P131" s="39"/>
      <c r="Q131" s="30"/>
      <c r="R131" s="50"/>
      <c r="S131" s="49"/>
    </row>
    <row r="132" spans="1:19" ht="15.75" customHeight="1" x14ac:dyDescent="0.3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84"/>
      <c r="M132" s="84"/>
      <c r="N132" s="84"/>
      <c r="O132" s="30"/>
      <c r="P132" s="39"/>
      <c r="Q132" s="30"/>
      <c r="R132" s="50"/>
      <c r="S132" s="49"/>
    </row>
    <row r="133" spans="1:19" ht="15.75" customHeight="1" x14ac:dyDescent="0.3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84"/>
      <c r="M133" s="84"/>
      <c r="N133" s="84"/>
      <c r="O133" s="30"/>
      <c r="P133" s="39"/>
      <c r="Q133" s="30"/>
      <c r="R133" s="50"/>
      <c r="S133" s="49"/>
    </row>
    <row r="134" spans="1:19" ht="15.75" customHeight="1" x14ac:dyDescent="0.3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84"/>
      <c r="M134" s="84"/>
      <c r="N134" s="84"/>
      <c r="O134" s="30"/>
      <c r="P134" s="39"/>
      <c r="Q134" s="30"/>
      <c r="R134" s="50"/>
      <c r="S134" s="49"/>
    </row>
    <row r="135" spans="1:19" ht="15.75" customHeight="1" x14ac:dyDescent="0.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84"/>
      <c r="M135" s="84"/>
      <c r="N135" s="84"/>
      <c r="O135" s="30"/>
      <c r="P135" s="39"/>
      <c r="Q135" s="30"/>
      <c r="R135" s="50"/>
      <c r="S135" s="49"/>
    </row>
    <row r="136" spans="1:19" ht="15.75" customHeight="1" x14ac:dyDescent="0.3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84"/>
      <c r="M136" s="84"/>
      <c r="N136" s="84"/>
      <c r="O136" s="30"/>
      <c r="P136" s="39"/>
      <c r="Q136" s="30"/>
      <c r="R136" s="50"/>
      <c r="S136" s="49"/>
    </row>
    <row r="137" spans="1:19" ht="15.75" customHeight="1" x14ac:dyDescent="0.3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84"/>
      <c r="M137" s="84"/>
      <c r="N137" s="84"/>
      <c r="O137" s="30"/>
      <c r="P137" s="39"/>
      <c r="Q137" s="30"/>
      <c r="R137" s="50"/>
      <c r="S137" s="49"/>
    </row>
    <row r="138" spans="1:19" ht="15.75" customHeight="1" x14ac:dyDescent="0.3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84"/>
      <c r="M138" s="84"/>
      <c r="N138" s="84"/>
      <c r="O138" s="30"/>
      <c r="P138" s="39"/>
      <c r="Q138" s="30"/>
      <c r="R138" s="50"/>
      <c r="S138" s="49"/>
    </row>
    <row r="139" spans="1:19" ht="15.75" customHeight="1" x14ac:dyDescent="0.3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84"/>
      <c r="M139" s="84"/>
      <c r="N139" s="84"/>
      <c r="O139" s="30"/>
      <c r="P139" s="39"/>
      <c r="Q139" s="30"/>
      <c r="R139" s="50"/>
      <c r="S139" s="49"/>
    </row>
    <row r="140" spans="1:19" ht="15.75" customHeight="1" x14ac:dyDescent="0.3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84"/>
      <c r="M140" s="84"/>
      <c r="N140" s="84"/>
      <c r="O140" s="30"/>
      <c r="P140" s="39"/>
      <c r="Q140" s="30"/>
      <c r="R140" s="50"/>
      <c r="S140" s="49"/>
    </row>
    <row r="141" spans="1:19" ht="15.75" customHeight="1" x14ac:dyDescent="0.3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84"/>
      <c r="M141" s="84"/>
      <c r="N141" s="84"/>
      <c r="O141" s="30"/>
      <c r="P141" s="39"/>
      <c r="Q141" s="30"/>
      <c r="R141" s="50"/>
      <c r="S141" s="49"/>
    </row>
    <row r="142" spans="1:19" ht="15.75" customHeight="1" x14ac:dyDescent="0.3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84"/>
      <c r="M142" s="84"/>
      <c r="N142" s="84"/>
      <c r="O142" s="30"/>
      <c r="P142" s="39"/>
      <c r="Q142" s="30"/>
      <c r="R142" s="50"/>
      <c r="S142" s="49"/>
    </row>
    <row r="143" spans="1:19" ht="15.75" customHeight="1" x14ac:dyDescent="0.3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84"/>
      <c r="M143" s="84"/>
      <c r="N143" s="84"/>
      <c r="O143" s="30"/>
      <c r="P143" s="39"/>
      <c r="Q143" s="30"/>
      <c r="R143" s="50"/>
      <c r="S143" s="49"/>
    </row>
    <row r="144" spans="1:19" ht="15.75" customHeight="1" x14ac:dyDescent="0.3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84"/>
      <c r="M144" s="84"/>
      <c r="N144" s="84"/>
      <c r="O144" s="30"/>
      <c r="P144" s="39"/>
      <c r="Q144" s="30"/>
      <c r="R144" s="50"/>
      <c r="S144" s="49"/>
    </row>
    <row r="145" spans="1:19" ht="15.75" customHeight="1" x14ac:dyDescent="0.3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84"/>
      <c r="M145" s="84"/>
      <c r="N145" s="84"/>
      <c r="O145" s="30"/>
      <c r="P145" s="39"/>
      <c r="Q145" s="30"/>
      <c r="R145" s="50"/>
      <c r="S145" s="49"/>
    </row>
    <row r="146" spans="1:19" ht="15.75" customHeight="1" x14ac:dyDescent="0.3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84"/>
      <c r="M146" s="84"/>
      <c r="N146" s="84"/>
      <c r="O146" s="30"/>
      <c r="P146" s="39"/>
      <c r="Q146" s="30"/>
      <c r="R146" s="50"/>
      <c r="S146" s="49"/>
    </row>
    <row r="147" spans="1:19" ht="15.75" customHeight="1" x14ac:dyDescent="0.3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84"/>
      <c r="M147" s="84"/>
      <c r="N147" s="84"/>
      <c r="O147" s="30"/>
      <c r="P147" s="39"/>
      <c r="Q147" s="30"/>
      <c r="R147" s="50"/>
      <c r="S147" s="49"/>
    </row>
    <row r="148" spans="1:19" ht="15.75" customHeight="1" x14ac:dyDescent="0.3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84"/>
      <c r="M148" s="84"/>
      <c r="N148" s="84"/>
      <c r="O148" s="30"/>
      <c r="P148" s="39"/>
      <c r="Q148" s="30"/>
      <c r="R148" s="50"/>
      <c r="S148" s="49"/>
    </row>
    <row r="149" spans="1:19" ht="15.75" customHeight="1" x14ac:dyDescent="0.3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84"/>
      <c r="M149" s="84"/>
      <c r="N149" s="84"/>
      <c r="O149" s="30"/>
      <c r="P149" s="39"/>
      <c r="Q149" s="30"/>
      <c r="R149" s="50"/>
      <c r="S149" s="49"/>
    </row>
    <row r="150" spans="1:19" ht="15.75" customHeight="1" x14ac:dyDescent="0.3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84"/>
      <c r="M150" s="84"/>
      <c r="N150" s="84"/>
      <c r="O150" s="30"/>
      <c r="P150" s="39"/>
      <c r="Q150" s="30"/>
      <c r="R150" s="50"/>
      <c r="S150" s="49"/>
    </row>
    <row r="151" spans="1:19" ht="15.75" customHeight="1" x14ac:dyDescent="0.3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84"/>
      <c r="M151" s="84"/>
      <c r="N151" s="84"/>
      <c r="O151" s="30"/>
      <c r="P151" s="39"/>
      <c r="Q151" s="30"/>
      <c r="R151" s="50"/>
      <c r="S151" s="49"/>
    </row>
    <row r="152" spans="1:19" ht="15.75" customHeight="1" x14ac:dyDescent="0.3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84"/>
      <c r="M152" s="84"/>
      <c r="N152" s="84"/>
      <c r="O152" s="30"/>
      <c r="P152" s="39"/>
      <c r="Q152" s="30"/>
      <c r="R152" s="50"/>
      <c r="S152" s="49"/>
    </row>
    <row r="153" spans="1:19" ht="15.75" customHeight="1" x14ac:dyDescent="0.3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84"/>
      <c r="M153" s="84"/>
      <c r="N153" s="84"/>
      <c r="O153" s="30"/>
      <c r="P153" s="39"/>
      <c r="Q153" s="30"/>
      <c r="R153" s="50"/>
      <c r="S153" s="49"/>
    </row>
    <row r="154" spans="1:19" ht="15.75" customHeight="1" x14ac:dyDescent="0.3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84"/>
      <c r="M154" s="84"/>
      <c r="N154" s="84"/>
      <c r="O154" s="30"/>
      <c r="P154" s="39"/>
      <c r="Q154" s="30"/>
      <c r="R154" s="50"/>
      <c r="S154" s="49"/>
    </row>
    <row r="155" spans="1:19" ht="15.75" customHeight="1" x14ac:dyDescent="0.3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84"/>
      <c r="M155" s="84"/>
      <c r="N155" s="84"/>
      <c r="O155" s="30"/>
      <c r="P155" s="39"/>
      <c r="Q155" s="30"/>
      <c r="R155" s="50"/>
      <c r="S155" s="49"/>
    </row>
    <row r="156" spans="1:19" ht="15.75" customHeight="1" x14ac:dyDescent="0.3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84"/>
      <c r="M156" s="84"/>
      <c r="N156" s="84"/>
      <c r="O156" s="30"/>
      <c r="P156" s="39"/>
      <c r="Q156" s="30"/>
      <c r="R156" s="50"/>
      <c r="S156" s="49"/>
    </row>
    <row r="157" spans="1:19" ht="15.75" customHeight="1" x14ac:dyDescent="0.3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84"/>
      <c r="M157" s="84"/>
      <c r="N157" s="84"/>
      <c r="O157" s="30"/>
      <c r="P157" s="39"/>
      <c r="Q157" s="30"/>
      <c r="R157" s="50"/>
      <c r="S157" s="49"/>
    </row>
    <row r="158" spans="1:19" ht="15.75" customHeight="1" x14ac:dyDescent="0.3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84"/>
      <c r="M158" s="84"/>
      <c r="N158" s="84"/>
      <c r="O158" s="30"/>
      <c r="P158" s="39"/>
      <c r="Q158" s="30"/>
      <c r="R158" s="50"/>
      <c r="S158" s="49"/>
    </row>
    <row r="159" spans="1:19" ht="15.75" customHeight="1" x14ac:dyDescent="0.3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84"/>
      <c r="M159" s="84"/>
      <c r="N159" s="84"/>
      <c r="O159" s="30"/>
      <c r="P159" s="39"/>
      <c r="Q159" s="30"/>
      <c r="R159" s="50"/>
      <c r="S159" s="49"/>
    </row>
    <row r="160" spans="1:19" ht="15.75" customHeight="1" x14ac:dyDescent="0.3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84"/>
      <c r="M160" s="84"/>
      <c r="N160" s="84"/>
      <c r="O160" s="30"/>
      <c r="P160" s="39"/>
      <c r="Q160" s="30"/>
      <c r="R160" s="50"/>
      <c r="S160" s="49"/>
    </row>
    <row r="161" spans="1:19" ht="15.75" customHeight="1" x14ac:dyDescent="0.3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84"/>
      <c r="M161" s="84"/>
      <c r="N161" s="84"/>
      <c r="O161" s="30"/>
      <c r="P161" s="39"/>
      <c r="Q161" s="30"/>
      <c r="R161" s="50"/>
      <c r="S161" s="49"/>
    </row>
    <row r="162" spans="1:19" ht="15.75" customHeight="1" x14ac:dyDescent="0.3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84"/>
      <c r="M162" s="84"/>
      <c r="N162" s="84"/>
      <c r="O162" s="30"/>
      <c r="P162" s="39"/>
      <c r="Q162" s="30"/>
      <c r="R162" s="50"/>
      <c r="S162" s="49"/>
    </row>
    <row r="163" spans="1:19" ht="15.75" customHeight="1" x14ac:dyDescent="0.3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84"/>
      <c r="M163" s="84"/>
      <c r="N163" s="84"/>
      <c r="O163" s="30"/>
      <c r="P163" s="39"/>
      <c r="Q163" s="30"/>
      <c r="R163" s="50"/>
      <c r="S163" s="49"/>
    </row>
    <row r="164" spans="1:19" ht="15.75" customHeight="1" x14ac:dyDescent="0.3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84"/>
      <c r="M164" s="84"/>
      <c r="N164" s="84"/>
      <c r="O164" s="30"/>
      <c r="P164" s="39"/>
      <c r="Q164" s="30"/>
      <c r="R164" s="50"/>
      <c r="S164" s="49"/>
    </row>
    <row r="165" spans="1:19" ht="15.75" customHeight="1" x14ac:dyDescent="0.3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84"/>
      <c r="M165" s="84"/>
      <c r="N165" s="84"/>
      <c r="O165" s="30"/>
      <c r="P165" s="39"/>
      <c r="Q165" s="30"/>
      <c r="R165" s="50"/>
      <c r="S165" s="49"/>
    </row>
    <row r="166" spans="1:19" ht="15.75" customHeight="1" x14ac:dyDescent="0.3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84"/>
      <c r="M166" s="84"/>
      <c r="N166" s="84"/>
      <c r="O166" s="30"/>
      <c r="P166" s="39"/>
      <c r="Q166" s="30"/>
      <c r="R166" s="50"/>
      <c r="S166" s="49"/>
    </row>
    <row r="167" spans="1:19" ht="15.75" customHeight="1" x14ac:dyDescent="0.3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84"/>
      <c r="M167" s="84"/>
      <c r="N167" s="84"/>
      <c r="O167" s="30"/>
      <c r="P167" s="39"/>
      <c r="Q167" s="30"/>
      <c r="R167" s="50"/>
      <c r="S167" s="49"/>
    </row>
    <row r="168" spans="1:19" ht="15.75" customHeight="1" x14ac:dyDescent="0.3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84"/>
      <c r="M168" s="84"/>
      <c r="N168" s="84"/>
      <c r="O168" s="30"/>
      <c r="P168" s="39"/>
      <c r="Q168" s="30"/>
      <c r="R168" s="50"/>
      <c r="S168" s="49"/>
    </row>
    <row r="169" spans="1:19" ht="15.75" customHeight="1" x14ac:dyDescent="0.3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84"/>
      <c r="M169" s="84"/>
      <c r="N169" s="84"/>
      <c r="O169" s="30"/>
      <c r="P169" s="39"/>
      <c r="Q169" s="30"/>
      <c r="R169" s="50"/>
      <c r="S169" s="49"/>
    </row>
    <row r="170" spans="1:19" ht="15.75" customHeight="1" x14ac:dyDescent="0.3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84"/>
      <c r="M170" s="84"/>
      <c r="N170" s="84"/>
      <c r="O170" s="30"/>
      <c r="P170" s="39"/>
      <c r="Q170" s="30"/>
      <c r="R170" s="50"/>
      <c r="S170" s="49"/>
    </row>
    <row r="171" spans="1:19" ht="15.75" customHeight="1" x14ac:dyDescent="0.3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84"/>
      <c r="M171" s="84"/>
      <c r="N171" s="84"/>
      <c r="O171" s="30"/>
      <c r="P171" s="39"/>
      <c r="Q171" s="30"/>
      <c r="R171" s="50"/>
      <c r="S171" s="49"/>
    </row>
    <row r="172" spans="1:19" ht="15.75" customHeight="1" x14ac:dyDescent="0.3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84"/>
      <c r="M172" s="84"/>
      <c r="N172" s="84"/>
      <c r="O172" s="30"/>
      <c r="P172" s="39"/>
      <c r="Q172" s="30"/>
      <c r="R172" s="50"/>
      <c r="S172" s="49"/>
    </row>
    <row r="173" spans="1:19" ht="15.75" customHeight="1" x14ac:dyDescent="0.3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84"/>
      <c r="M173" s="84"/>
      <c r="N173" s="84"/>
      <c r="O173" s="30"/>
      <c r="P173" s="39"/>
      <c r="Q173" s="30"/>
      <c r="R173" s="50"/>
      <c r="S173" s="49"/>
    </row>
    <row r="174" spans="1:19" ht="15.75" customHeight="1" x14ac:dyDescent="0.3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84"/>
      <c r="M174" s="84"/>
      <c r="N174" s="84"/>
      <c r="O174" s="30"/>
      <c r="P174" s="39"/>
      <c r="Q174" s="30"/>
      <c r="R174" s="50"/>
      <c r="S174" s="49"/>
    </row>
    <row r="175" spans="1:19" ht="15.75" customHeight="1" x14ac:dyDescent="0.3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84"/>
      <c r="M175" s="84"/>
      <c r="N175" s="84"/>
      <c r="O175" s="30"/>
      <c r="P175" s="39"/>
      <c r="Q175" s="30"/>
      <c r="R175" s="50"/>
      <c r="S175" s="49"/>
    </row>
    <row r="176" spans="1:19" ht="15.75" customHeight="1" x14ac:dyDescent="0.3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84"/>
      <c r="M176" s="84"/>
      <c r="N176" s="84"/>
      <c r="O176" s="30"/>
      <c r="P176" s="39"/>
      <c r="Q176" s="30"/>
      <c r="R176" s="50"/>
      <c r="S176" s="49"/>
    </row>
    <row r="177" spans="1:19" ht="15.75" customHeight="1" x14ac:dyDescent="0.3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84"/>
      <c r="M177" s="84"/>
      <c r="N177" s="84"/>
      <c r="O177" s="30"/>
      <c r="P177" s="39"/>
      <c r="Q177" s="30"/>
      <c r="R177" s="50"/>
      <c r="S177" s="49"/>
    </row>
    <row r="178" spans="1:19" ht="15.75" customHeight="1" x14ac:dyDescent="0.3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84"/>
      <c r="M178" s="84"/>
      <c r="N178" s="84"/>
      <c r="O178" s="30"/>
      <c r="P178" s="39"/>
      <c r="Q178" s="30"/>
      <c r="R178" s="50"/>
      <c r="S178" s="49"/>
    </row>
    <row r="179" spans="1:19" ht="15.75" customHeight="1" x14ac:dyDescent="0.3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84"/>
      <c r="M179" s="84"/>
      <c r="N179" s="84"/>
      <c r="O179" s="30"/>
      <c r="P179" s="39"/>
      <c r="Q179" s="30"/>
      <c r="R179" s="50"/>
      <c r="S179" s="49"/>
    </row>
    <row r="180" spans="1:19" ht="15.75" customHeight="1" x14ac:dyDescent="0.3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84"/>
      <c r="M180" s="84"/>
      <c r="N180" s="84"/>
      <c r="O180" s="30"/>
      <c r="P180" s="39"/>
      <c r="Q180" s="30"/>
      <c r="R180" s="50"/>
      <c r="S180" s="49"/>
    </row>
    <row r="181" spans="1:19" ht="15.75" customHeight="1" x14ac:dyDescent="0.3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84"/>
      <c r="M181" s="84"/>
      <c r="N181" s="84"/>
      <c r="O181" s="30"/>
      <c r="P181" s="39"/>
      <c r="Q181" s="30"/>
      <c r="R181" s="50"/>
      <c r="S181" s="49"/>
    </row>
    <row r="182" spans="1:19" ht="15.75" customHeight="1" x14ac:dyDescent="0.3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84"/>
      <c r="M182" s="84"/>
      <c r="N182" s="84"/>
      <c r="O182" s="30"/>
      <c r="P182" s="39"/>
      <c r="Q182" s="30"/>
      <c r="R182" s="50"/>
      <c r="S182" s="49"/>
    </row>
    <row r="183" spans="1:19" ht="15.75" customHeight="1" x14ac:dyDescent="0.3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84"/>
      <c r="M183" s="84"/>
      <c r="N183" s="84"/>
      <c r="O183" s="30"/>
      <c r="P183" s="39"/>
      <c r="Q183" s="30"/>
      <c r="R183" s="50"/>
      <c r="S183" s="49"/>
    </row>
    <row r="184" spans="1:19" ht="15.75" customHeight="1" x14ac:dyDescent="0.3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84"/>
      <c r="M184" s="84"/>
      <c r="N184" s="84"/>
      <c r="O184" s="30"/>
      <c r="P184" s="39"/>
      <c r="Q184" s="30"/>
      <c r="R184" s="50"/>
      <c r="S184" s="49"/>
    </row>
    <row r="185" spans="1:19" ht="15.75" customHeight="1" x14ac:dyDescent="0.3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84"/>
      <c r="M185" s="84"/>
      <c r="N185" s="84"/>
      <c r="O185" s="30"/>
      <c r="P185" s="39"/>
      <c r="Q185" s="30"/>
      <c r="R185" s="50"/>
      <c r="S185" s="49"/>
    </row>
    <row r="186" spans="1:19" ht="15.75" customHeight="1" x14ac:dyDescent="0.3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84"/>
      <c r="M186" s="84"/>
      <c r="N186" s="84"/>
      <c r="O186" s="30"/>
      <c r="P186" s="39"/>
      <c r="Q186" s="30"/>
      <c r="R186" s="50"/>
      <c r="S186" s="49"/>
    </row>
    <row r="187" spans="1:19" ht="15.75" customHeight="1" x14ac:dyDescent="0.3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84"/>
      <c r="M187" s="84"/>
      <c r="N187" s="84"/>
      <c r="O187" s="30"/>
      <c r="P187" s="39"/>
      <c r="Q187" s="30"/>
      <c r="R187" s="50"/>
      <c r="S187" s="49"/>
    </row>
    <row r="188" spans="1:19" ht="15.75" customHeight="1" x14ac:dyDescent="0.3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84"/>
      <c r="M188" s="84"/>
      <c r="N188" s="84"/>
      <c r="O188" s="30"/>
      <c r="P188" s="39"/>
      <c r="Q188" s="30"/>
      <c r="R188" s="50"/>
      <c r="S188" s="49"/>
    </row>
    <row r="189" spans="1:19" ht="15.75" customHeight="1" x14ac:dyDescent="0.3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84"/>
      <c r="M189" s="84"/>
      <c r="N189" s="84"/>
      <c r="O189" s="30"/>
      <c r="P189" s="39"/>
      <c r="Q189" s="30"/>
      <c r="R189" s="50"/>
      <c r="S189" s="49"/>
    </row>
    <row r="190" spans="1:19" ht="15.75" customHeight="1" x14ac:dyDescent="0.3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84"/>
      <c r="M190" s="84"/>
      <c r="N190" s="84"/>
      <c r="O190" s="30"/>
      <c r="P190" s="39"/>
      <c r="Q190" s="30"/>
      <c r="R190" s="50"/>
      <c r="S190" s="49"/>
    </row>
    <row r="191" spans="1:19" ht="15.75" customHeight="1" x14ac:dyDescent="0.3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84"/>
      <c r="M191" s="84"/>
      <c r="N191" s="84"/>
      <c r="O191" s="30"/>
      <c r="P191" s="39"/>
      <c r="Q191" s="30"/>
      <c r="R191" s="50"/>
      <c r="S191" s="49"/>
    </row>
    <row r="192" spans="1:19" ht="15.75" customHeight="1" x14ac:dyDescent="0.3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84"/>
      <c r="M192" s="84"/>
      <c r="N192" s="84"/>
      <c r="O192" s="30"/>
      <c r="P192" s="39"/>
      <c r="Q192" s="30"/>
      <c r="R192" s="50"/>
      <c r="S192" s="49"/>
    </row>
    <row r="193" spans="1:19" ht="15.75" customHeight="1" x14ac:dyDescent="0.3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84"/>
      <c r="M193" s="84"/>
      <c r="N193" s="84"/>
      <c r="O193" s="30"/>
      <c r="P193" s="39"/>
      <c r="Q193" s="30"/>
      <c r="R193" s="50"/>
      <c r="S193" s="49"/>
    </row>
    <row r="194" spans="1:19" ht="15.75" customHeight="1" x14ac:dyDescent="0.3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84"/>
      <c r="M194" s="84"/>
      <c r="N194" s="84"/>
      <c r="O194" s="30"/>
      <c r="P194" s="39"/>
      <c r="Q194" s="30"/>
      <c r="R194" s="50"/>
      <c r="S194" s="49"/>
    </row>
    <row r="195" spans="1:19" ht="15.75" customHeight="1" x14ac:dyDescent="0.3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84"/>
      <c r="M195" s="84"/>
      <c r="N195" s="84"/>
      <c r="O195" s="30"/>
      <c r="P195" s="39"/>
      <c r="Q195" s="30"/>
      <c r="R195" s="50"/>
      <c r="S195" s="49"/>
    </row>
    <row r="196" spans="1:19" ht="15.75" customHeight="1" x14ac:dyDescent="0.3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84"/>
      <c r="M196" s="84"/>
      <c r="N196" s="84"/>
      <c r="O196" s="30"/>
      <c r="P196" s="39"/>
      <c r="Q196" s="30"/>
      <c r="R196" s="50"/>
      <c r="S196" s="49"/>
    </row>
    <row r="197" spans="1:19" ht="15.75" customHeight="1" x14ac:dyDescent="0.3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84"/>
      <c r="M197" s="84"/>
      <c r="N197" s="84"/>
      <c r="O197" s="30"/>
      <c r="P197" s="39"/>
      <c r="Q197" s="30"/>
      <c r="R197" s="50"/>
      <c r="S197" s="49"/>
    </row>
    <row r="198" spans="1:19" ht="15.75" customHeight="1" x14ac:dyDescent="0.3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84"/>
      <c r="M198" s="84"/>
      <c r="N198" s="84"/>
      <c r="O198" s="30"/>
      <c r="P198" s="39"/>
      <c r="Q198" s="30"/>
      <c r="R198" s="50"/>
      <c r="S198" s="49"/>
    </row>
    <row r="199" spans="1:19" ht="15.75" customHeight="1" x14ac:dyDescent="0.3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84"/>
      <c r="M199" s="84"/>
      <c r="N199" s="84"/>
      <c r="O199" s="30"/>
      <c r="P199" s="39"/>
      <c r="Q199" s="30"/>
      <c r="R199" s="50"/>
      <c r="S199" s="49"/>
    </row>
    <row r="200" spans="1:19" ht="15.75" customHeight="1" x14ac:dyDescent="0.3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84"/>
      <c r="M200" s="84"/>
      <c r="N200" s="84"/>
      <c r="O200" s="30"/>
      <c r="P200" s="39"/>
      <c r="Q200" s="30"/>
      <c r="R200" s="50"/>
      <c r="S200" s="49"/>
    </row>
    <row r="201" spans="1:19" ht="15.75" customHeight="1" x14ac:dyDescent="0.3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84"/>
      <c r="M201" s="84"/>
      <c r="N201" s="84"/>
      <c r="O201" s="30"/>
      <c r="P201" s="39"/>
      <c r="Q201" s="30"/>
      <c r="R201" s="50"/>
      <c r="S201" s="49"/>
    </row>
    <row r="202" spans="1:19" ht="15.75" customHeight="1" x14ac:dyDescent="0.3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84"/>
      <c r="M202" s="84"/>
      <c r="N202" s="84"/>
      <c r="O202" s="30"/>
      <c r="P202" s="39"/>
      <c r="Q202" s="30"/>
      <c r="R202" s="50"/>
      <c r="S202" s="49"/>
    </row>
    <row r="203" spans="1:19" ht="15.75" customHeight="1" x14ac:dyDescent="0.3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84"/>
      <c r="M203" s="84"/>
      <c r="N203" s="84"/>
      <c r="O203" s="30"/>
      <c r="P203" s="39"/>
      <c r="Q203" s="30"/>
      <c r="R203" s="50"/>
      <c r="S203" s="49"/>
    </row>
    <row r="204" spans="1:19" ht="15.75" customHeight="1" x14ac:dyDescent="0.3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84"/>
      <c r="M204" s="84"/>
      <c r="N204" s="84"/>
      <c r="O204" s="30"/>
      <c r="P204" s="39"/>
      <c r="Q204" s="30"/>
      <c r="R204" s="50"/>
      <c r="S204" s="49"/>
    </row>
    <row r="205" spans="1:19" ht="15.75" customHeight="1" x14ac:dyDescent="0.3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84"/>
      <c r="M205" s="84"/>
      <c r="N205" s="84"/>
      <c r="O205" s="30"/>
      <c r="P205" s="39"/>
      <c r="Q205" s="30"/>
      <c r="R205" s="50"/>
      <c r="S205" s="49"/>
    </row>
    <row r="206" spans="1:19" ht="15.75" customHeight="1" x14ac:dyDescent="0.3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84"/>
      <c r="M206" s="84"/>
      <c r="N206" s="84"/>
      <c r="O206" s="30"/>
      <c r="P206" s="39"/>
      <c r="Q206" s="30"/>
      <c r="R206" s="50"/>
      <c r="S206" s="49"/>
    </row>
    <row r="207" spans="1:19" ht="15.75" customHeight="1" x14ac:dyDescent="0.3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84"/>
      <c r="M207" s="84"/>
      <c r="N207" s="84"/>
      <c r="O207" s="30"/>
      <c r="P207" s="39"/>
      <c r="Q207" s="30"/>
      <c r="R207" s="50"/>
      <c r="S207" s="49"/>
    </row>
    <row r="208" spans="1:19" ht="15.75" customHeight="1" x14ac:dyDescent="0.3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84"/>
      <c r="M208" s="84"/>
      <c r="N208" s="84"/>
      <c r="O208" s="30"/>
      <c r="P208" s="39"/>
      <c r="Q208" s="30"/>
      <c r="R208" s="50"/>
      <c r="S208" s="49"/>
    </row>
    <row r="209" spans="1:19" ht="15.75" customHeight="1" x14ac:dyDescent="0.3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84"/>
      <c r="M209" s="84"/>
      <c r="N209" s="84"/>
      <c r="O209" s="30"/>
      <c r="P209" s="39"/>
      <c r="Q209" s="30"/>
      <c r="R209" s="50"/>
      <c r="S209" s="49"/>
    </row>
    <row r="210" spans="1:19" ht="15.75" customHeight="1" x14ac:dyDescent="0.3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84"/>
      <c r="M210" s="84"/>
      <c r="N210" s="84"/>
      <c r="O210" s="30"/>
      <c r="P210" s="39"/>
      <c r="Q210" s="30"/>
      <c r="R210" s="50"/>
      <c r="S210" s="49"/>
    </row>
    <row r="211" spans="1:19" ht="15.75" customHeight="1" x14ac:dyDescent="0.3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84"/>
      <c r="M211" s="84"/>
      <c r="N211" s="84"/>
      <c r="O211" s="30"/>
      <c r="P211" s="39"/>
      <c r="Q211" s="30"/>
      <c r="R211" s="50"/>
      <c r="S211" s="49"/>
    </row>
    <row r="212" spans="1:19" ht="15.75" customHeight="1" x14ac:dyDescent="0.3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84"/>
      <c r="M212" s="84"/>
      <c r="N212" s="84"/>
      <c r="O212" s="30"/>
      <c r="P212" s="39"/>
      <c r="Q212" s="30"/>
      <c r="R212" s="50"/>
      <c r="S212" s="49"/>
    </row>
    <row r="213" spans="1:19" ht="15.75" customHeight="1" x14ac:dyDescent="0.3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84"/>
      <c r="M213" s="84"/>
      <c r="N213" s="84"/>
      <c r="O213" s="30"/>
      <c r="P213" s="39"/>
      <c r="Q213" s="30"/>
      <c r="R213" s="50"/>
      <c r="S213" s="49"/>
    </row>
    <row r="214" spans="1:19" ht="15.75" customHeight="1" x14ac:dyDescent="0.3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84"/>
      <c r="M214" s="84"/>
      <c r="N214" s="84"/>
      <c r="O214" s="30"/>
      <c r="P214" s="39"/>
      <c r="Q214" s="30"/>
      <c r="R214" s="50"/>
      <c r="S214" s="49"/>
    </row>
    <row r="215" spans="1:19" ht="15.75" customHeight="1" x14ac:dyDescent="0.3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84"/>
      <c r="M215" s="84"/>
      <c r="N215" s="84"/>
      <c r="O215" s="30"/>
      <c r="P215" s="39"/>
      <c r="Q215" s="30"/>
      <c r="R215" s="50"/>
      <c r="S215" s="49"/>
    </row>
    <row r="216" spans="1:19" ht="15.75" customHeight="1" x14ac:dyDescent="0.3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84"/>
      <c r="M216" s="84"/>
      <c r="N216" s="84"/>
      <c r="O216" s="30"/>
      <c r="P216" s="39"/>
      <c r="Q216" s="30"/>
      <c r="R216" s="50"/>
      <c r="S216" s="49"/>
    </row>
    <row r="217" spans="1:19" ht="15.75" customHeight="1" x14ac:dyDescent="0.3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84"/>
      <c r="M217" s="84"/>
      <c r="N217" s="84"/>
      <c r="O217" s="30"/>
      <c r="P217" s="39"/>
      <c r="Q217" s="30"/>
      <c r="R217" s="50"/>
      <c r="S217" s="49"/>
    </row>
    <row r="218" spans="1:19" ht="15.75" customHeight="1" x14ac:dyDescent="0.3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84"/>
      <c r="M218" s="84"/>
      <c r="N218" s="84"/>
      <c r="O218" s="30"/>
      <c r="P218" s="39"/>
      <c r="Q218" s="30"/>
      <c r="R218" s="50"/>
      <c r="S218" s="49"/>
    </row>
    <row r="219" spans="1:19" ht="15.75" customHeight="1" x14ac:dyDescent="0.3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84"/>
      <c r="M219" s="84"/>
      <c r="N219" s="84"/>
      <c r="O219" s="30"/>
      <c r="P219" s="39"/>
      <c r="Q219" s="30"/>
      <c r="R219" s="50"/>
      <c r="S219" s="49"/>
    </row>
    <row r="220" spans="1:19" ht="15.75" customHeight="1" x14ac:dyDescent="0.3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84"/>
      <c r="M220" s="84"/>
      <c r="N220" s="84"/>
      <c r="O220" s="30"/>
      <c r="P220" s="39"/>
      <c r="Q220" s="30"/>
      <c r="R220" s="50"/>
      <c r="S220" s="49"/>
    </row>
    <row r="221" spans="1:19" ht="15.75" customHeight="1" x14ac:dyDescent="0.3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84"/>
      <c r="M221" s="84"/>
      <c r="N221" s="84"/>
      <c r="O221" s="30"/>
      <c r="P221" s="39"/>
      <c r="Q221" s="30"/>
      <c r="R221" s="50"/>
      <c r="S221" s="49"/>
    </row>
    <row r="222" spans="1:19" ht="15.75" customHeight="1" x14ac:dyDescent="0.3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84"/>
      <c r="M222" s="84"/>
      <c r="N222" s="84"/>
      <c r="O222" s="30"/>
      <c r="P222" s="39"/>
      <c r="Q222" s="30"/>
      <c r="R222" s="50"/>
      <c r="S222" s="49"/>
    </row>
    <row r="223" spans="1:19" ht="15.75" customHeight="1" x14ac:dyDescent="0.3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84"/>
      <c r="M223" s="84"/>
      <c r="N223" s="84"/>
      <c r="O223" s="30"/>
      <c r="P223" s="39"/>
      <c r="Q223" s="30"/>
      <c r="R223" s="50"/>
      <c r="S223" s="49"/>
    </row>
    <row r="224" spans="1:19" ht="15.75" customHeight="1" x14ac:dyDescent="0.3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84"/>
      <c r="M224" s="84"/>
      <c r="N224" s="84"/>
      <c r="O224" s="30"/>
      <c r="P224" s="39"/>
      <c r="Q224" s="30"/>
      <c r="R224" s="50"/>
      <c r="S224" s="49"/>
    </row>
    <row r="225" spans="1:19" ht="15.75" customHeight="1" x14ac:dyDescent="0.3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84"/>
      <c r="M225" s="84"/>
      <c r="N225" s="84"/>
      <c r="O225" s="30"/>
      <c r="P225" s="39"/>
      <c r="Q225" s="30"/>
      <c r="R225" s="50"/>
      <c r="S225" s="49"/>
    </row>
    <row r="226" spans="1:19" ht="15.75" customHeight="1" x14ac:dyDescent="0.3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84"/>
      <c r="M226" s="84"/>
      <c r="N226" s="84"/>
      <c r="O226" s="30"/>
      <c r="P226" s="39"/>
      <c r="Q226" s="30"/>
      <c r="R226" s="50"/>
      <c r="S226" s="49"/>
    </row>
    <row r="227" spans="1:19" ht="15.75" customHeight="1" x14ac:dyDescent="0.3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84"/>
      <c r="M227" s="84"/>
      <c r="N227" s="84"/>
      <c r="O227" s="30"/>
      <c r="P227" s="39"/>
      <c r="Q227" s="30"/>
      <c r="R227" s="50"/>
      <c r="S227" s="49"/>
    </row>
    <row r="228" spans="1:19" ht="15.75" customHeight="1" x14ac:dyDescent="0.3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84"/>
      <c r="M228" s="84"/>
      <c r="N228" s="84"/>
      <c r="O228" s="30"/>
      <c r="P228" s="39"/>
      <c r="Q228" s="30"/>
      <c r="R228" s="50"/>
      <c r="S228" s="49"/>
    </row>
    <row r="229" spans="1:19" ht="15.75" customHeight="1" x14ac:dyDescent="0.3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84"/>
      <c r="M229" s="84"/>
      <c r="N229" s="84"/>
      <c r="O229" s="30"/>
      <c r="P229" s="39"/>
      <c r="Q229" s="30"/>
      <c r="R229" s="50"/>
      <c r="S229" s="49"/>
    </row>
    <row r="230" spans="1:19" ht="15.75" customHeight="1" x14ac:dyDescent="0.3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84"/>
      <c r="M230" s="84"/>
      <c r="N230" s="84"/>
      <c r="O230" s="30"/>
      <c r="P230" s="39"/>
      <c r="Q230" s="30"/>
      <c r="R230" s="50"/>
      <c r="S230" s="49"/>
    </row>
    <row r="231" spans="1:19" ht="15.75" customHeight="1" x14ac:dyDescent="0.3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84"/>
      <c r="M231" s="84"/>
      <c r="N231" s="84"/>
      <c r="O231" s="30"/>
      <c r="P231" s="39"/>
      <c r="Q231" s="30"/>
      <c r="R231" s="50"/>
      <c r="S231" s="49"/>
    </row>
    <row r="232" spans="1:19" ht="15.75" customHeight="1" x14ac:dyDescent="0.3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84"/>
      <c r="M232" s="84"/>
      <c r="N232" s="84"/>
      <c r="O232" s="30"/>
      <c r="P232" s="39"/>
      <c r="Q232" s="30"/>
      <c r="R232" s="50"/>
      <c r="S232" s="49"/>
    </row>
    <row r="233" spans="1:19" ht="15.75" customHeight="1" x14ac:dyDescent="0.3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84"/>
      <c r="M233" s="84"/>
      <c r="N233" s="84"/>
      <c r="O233" s="30"/>
      <c r="P233" s="39"/>
      <c r="Q233" s="30"/>
      <c r="R233" s="50"/>
      <c r="S233" s="49"/>
    </row>
    <row r="234" spans="1:19" ht="15.75" customHeight="1" x14ac:dyDescent="0.3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84"/>
      <c r="M234" s="84"/>
      <c r="N234" s="84"/>
      <c r="O234" s="30"/>
      <c r="P234" s="39"/>
      <c r="Q234" s="30"/>
      <c r="R234" s="50"/>
      <c r="S234" s="49"/>
    </row>
    <row r="235" spans="1:19" ht="15.75" customHeight="1" x14ac:dyDescent="0.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84"/>
      <c r="M235" s="84"/>
      <c r="N235" s="84"/>
      <c r="O235" s="30"/>
      <c r="P235" s="39"/>
      <c r="Q235" s="30"/>
      <c r="R235" s="50"/>
      <c r="S235" s="49"/>
    </row>
    <row r="236" spans="1:19" ht="15.75" customHeight="1" x14ac:dyDescent="0.3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84"/>
      <c r="M236" s="84"/>
      <c r="N236" s="84"/>
      <c r="O236" s="30"/>
      <c r="P236" s="39"/>
      <c r="Q236" s="30"/>
      <c r="R236" s="50"/>
      <c r="S236" s="49"/>
    </row>
    <row r="237" spans="1:19" ht="15.75" customHeight="1" x14ac:dyDescent="0.3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84"/>
      <c r="M237" s="84"/>
      <c r="N237" s="84"/>
      <c r="O237" s="30"/>
      <c r="P237" s="39"/>
      <c r="Q237" s="30"/>
      <c r="R237" s="50"/>
      <c r="S237" s="49"/>
    </row>
    <row r="238" spans="1:19" ht="15.75" customHeight="1" x14ac:dyDescent="0.3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84"/>
      <c r="M238" s="84"/>
      <c r="N238" s="84"/>
      <c r="O238" s="30"/>
      <c r="P238" s="39"/>
      <c r="Q238" s="30"/>
      <c r="R238" s="50"/>
      <c r="S238" s="49"/>
    </row>
    <row r="239" spans="1:19" ht="15.75" customHeight="1" x14ac:dyDescent="0.3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84"/>
      <c r="M239" s="84"/>
      <c r="N239" s="84"/>
      <c r="O239" s="30"/>
      <c r="P239" s="39"/>
      <c r="Q239" s="30"/>
      <c r="R239" s="50"/>
      <c r="S239" s="49"/>
    </row>
    <row r="240" spans="1:19" ht="15.75" customHeight="1" x14ac:dyDescent="0.3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84"/>
      <c r="M240" s="84"/>
      <c r="N240" s="84"/>
      <c r="O240" s="30"/>
      <c r="P240" s="39"/>
      <c r="Q240" s="30"/>
      <c r="R240" s="50"/>
      <c r="S240" s="49"/>
    </row>
    <row r="241" spans="1:19" ht="15.75" customHeight="1" x14ac:dyDescent="0.3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84"/>
      <c r="M241" s="84"/>
      <c r="N241" s="84"/>
      <c r="O241" s="30"/>
      <c r="P241" s="39"/>
      <c r="Q241" s="30"/>
      <c r="R241" s="50"/>
      <c r="S241" s="49"/>
    </row>
    <row r="242" spans="1:19" ht="15.75" customHeight="1" x14ac:dyDescent="0.3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84"/>
      <c r="M242" s="84"/>
      <c r="N242" s="84"/>
      <c r="O242" s="30"/>
      <c r="P242" s="39"/>
      <c r="Q242" s="30"/>
      <c r="R242" s="50"/>
      <c r="S242" s="49"/>
    </row>
    <row r="243" spans="1:19" ht="15.75" customHeight="1" x14ac:dyDescent="0.3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84"/>
      <c r="M243" s="84"/>
      <c r="N243" s="84"/>
      <c r="O243" s="30"/>
      <c r="P243" s="39"/>
      <c r="Q243" s="30"/>
      <c r="R243" s="50"/>
      <c r="S243" s="49"/>
    </row>
    <row r="244" spans="1:19" ht="15.75" customHeight="1" x14ac:dyDescent="0.3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84"/>
      <c r="M244" s="84"/>
      <c r="N244" s="84"/>
      <c r="O244" s="30"/>
      <c r="P244" s="39"/>
      <c r="Q244" s="30"/>
      <c r="R244" s="50"/>
      <c r="S244" s="49"/>
    </row>
    <row r="245" spans="1:19" ht="15.75" customHeight="1" x14ac:dyDescent="0.3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84"/>
      <c r="M245" s="84"/>
      <c r="N245" s="84"/>
      <c r="O245" s="30"/>
      <c r="P245" s="39"/>
      <c r="Q245" s="30"/>
      <c r="R245" s="50"/>
      <c r="S245" s="49"/>
    </row>
    <row r="246" spans="1:19" ht="15.75" customHeight="1" x14ac:dyDescent="0.3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84"/>
      <c r="M246" s="84"/>
      <c r="N246" s="84"/>
      <c r="O246" s="30"/>
      <c r="P246" s="39"/>
      <c r="Q246" s="30"/>
      <c r="R246" s="50"/>
      <c r="S246" s="49"/>
    </row>
    <row r="247" spans="1:19" ht="15.75" customHeight="1" x14ac:dyDescent="0.3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84"/>
      <c r="M247" s="84"/>
      <c r="N247" s="84"/>
      <c r="O247" s="30"/>
      <c r="P247" s="39"/>
      <c r="Q247" s="30"/>
      <c r="R247" s="50"/>
      <c r="S247" s="49"/>
    </row>
    <row r="248" spans="1:19" ht="15.75" customHeight="1" x14ac:dyDescent="0.3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84"/>
      <c r="M248" s="84"/>
      <c r="N248" s="84"/>
      <c r="O248" s="30"/>
      <c r="P248" s="39"/>
      <c r="Q248" s="30"/>
      <c r="R248" s="50"/>
      <c r="S248" s="49"/>
    </row>
    <row r="249" spans="1:19" ht="15.75" customHeight="1" x14ac:dyDescent="0.3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84"/>
      <c r="M249" s="84"/>
      <c r="N249" s="84"/>
      <c r="O249" s="30"/>
      <c r="P249" s="39"/>
      <c r="Q249" s="30"/>
      <c r="R249" s="50"/>
      <c r="S249" s="49"/>
    </row>
    <row r="250" spans="1:19" ht="15.75" customHeight="1" x14ac:dyDescent="0.3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84"/>
      <c r="M250" s="84"/>
      <c r="N250" s="84"/>
      <c r="O250" s="30"/>
      <c r="P250" s="39"/>
      <c r="Q250" s="30"/>
      <c r="R250" s="50"/>
      <c r="S250" s="49"/>
    </row>
    <row r="251" spans="1:19" ht="15.75" customHeight="1" x14ac:dyDescent="0.3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84"/>
      <c r="M251" s="84"/>
      <c r="N251" s="84"/>
      <c r="O251" s="30"/>
      <c r="P251" s="39"/>
      <c r="Q251" s="30"/>
      <c r="R251" s="50"/>
      <c r="S251" s="49"/>
    </row>
    <row r="252" spans="1:19" ht="15.75" customHeight="1" x14ac:dyDescent="0.3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84"/>
      <c r="M252" s="84"/>
      <c r="N252" s="84"/>
      <c r="O252" s="30"/>
      <c r="P252" s="39"/>
      <c r="Q252" s="30"/>
      <c r="R252" s="50"/>
      <c r="S252" s="49"/>
    </row>
    <row r="253" spans="1:19" ht="15.75" customHeight="1" x14ac:dyDescent="0.3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84"/>
      <c r="M253" s="84"/>
      <c r="N253" s="84"/>
      <c r="O253" s="30"/>
      <c r="P253" s="39"/>
      <c r="Q253" s="30"/>
      <c r="R253" s="50"/>
      <c r="S253" s="49"/>
    </row>
    <row r="254" spans="1:19" ht="15.75" customHeight="1" x14ac:dyDescent="0.3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84"/>
      <c r="M254" s="84"/>
      <c r="N254" s="84"/>
      <c r="O254" s="30"/>
      <c r="P254" s="39"/>
      <c r="Q254" s="30"/>
      <c r="R254" s="50"/>
      <c r="S254" s="49"/>
    </row>
    <row r="255" spans="1:19" ht="15.75" customHeight="1" x14ac:dyDescent="0.3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84"/>
      <c r="M255" s="84"/>
      <c r="N255" s="84"/>
      <c r="O255" s="30"/>
      <c r="P255" s="39"/>
      <c r="Q255" s="30"/>
      <c r="R255" s="50"/>
      <c r="S255" s="49"/>
    </row>
    <row r="256" spans="1:19" ht="15.75" customHeight="1" x14ac:dyDescent="0.3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84"/>
      <c r="M256" s="84"/>
      <c r="N256" s="84"/>
      <c r="O256" s="30"/>
      <c r="P256" s="39"/>
      <c r="Q256" s="30"/>
      <c r="R256" s="50"/>
      <c r="S256" s="49"/>
    </row>
    <row r="257" spans="1:19" ht="15.75" customHeight="1" x14ac:dyDescent="0.3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84"/>
      <c r="M257" s="84"/>
      <c r="N257" s="84"/>
      <c r="O257" s="30"/>
      <c r="P257" s="39"/>
      <c r="Q257" s="30"/>
      <c r="R257" s="50"/>
      <c r="S257" s="49"/>
    </row>
    <row r="258" spans="1:19" ht="15.75" customHeight="1" x14ac:dyDescent="0.3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84"/>
      <c r="M258" s="84"/>
      <c r="N258" s="84"/>
      <c r="O258" s="30"/>
      <c r="P258" s="39"/>
      <c r="Q258" s="30"/>
      <c r="R258" s="50"/>
      <c r="S258" s="49"/>
    </row>
    <row r="259" spans="1:19" ht="15.75" customHeight="1" x14ac:dyDescent="0.3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84"/>
      <c r="M259" s="84"/>
      <c r="N259" s="84"/>
      <c r="O259" s="30"/>
      <c r="P259" s="39"/>
      <c r="Q259" s="30"/>
      <c r="R259" s="50"/>
      <c r="S259" s="49"/>
    </row>
    <row r="260" spans="1:19" ht="15.75" customHeight="1" x14ac:dyDescent="0.3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84"/>
      <c r="M260" s="84"/>
      <c r="N260" s="84"/>
      <c r="O260" s="30"/>
      <c r="P260" s="39"/>
      <c r="Q260" s="30"/>
      <c r="R260" s="50"/>
      <c r="S260" s="49"/>
    </row>
    <row r="261" spans="1:19" ht="15.75" customHeight="1" x14ac:dyDescent="0.3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84"/>
      <c r="M261" s="84"/>
      <c r="N261" s="84"/>
      <c r="O261" s="30"/>
      <c r="P261" s="39"/>
      <c r="Q261" s="30"/>
      <c r="R261" s="50"/>
      <c r="S261" s="49"/>
    </row>
    <row r="262" spans="1:19" ht="15.75" customHeight="1" x14ac:dyDescent="0.3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84"/>
      <c r="M262" s="84"/>
      <c r="N262" s="84"/>
      <c r="O262" s="30"/>
      <c r="P262" s="39"/>
      <c r="Q262" s="30"/>
      <c r="R262" s="50"/>
      <c r="S262" s="49"/>
    </row>
    <row r="263" spans="1:19" ht="15.75" customHeight="1" x14ac:dyDescent="0.3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84"/>
      <c r="M263" s="84"/>
      <c r="N263" s="84"/>
      <c r="O263" s="30"/>
      <c r="P263" s="39"/>
      <c r="Q263" s="30"/>
      <c r="R263" s="50"/>
      <c r="S263" s="49"/>
    </row>
    <row r="264" spans="1:19" ht="15.75" customHeight="1" x14ac:dyDescent="0.3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84"/>
      <c r="M264" s="84"/>
      <c r="N264" s="84"/>
      <c r="O264" s="30"/>
      <c r="P264" s="39"/>
      <c r="Q264" s="30"/>
      <c r="R264" s="50"/>
      <c r="S264" s="49"/>
    </row>
    <row r="265" spans="1:19" ht="15.75" customHeight="1" x14ac:dyDescent="0.3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84"/>
      <c r="M265" s="84"/>
      <c r="N265" s="84"/>
      <c r="O265" s="30"/>
      <c r="P265" s="39"/>
      <c r="Q265" s="30"/>
      <c r="R265" s="50"/>
      <c r="S265" s="49"/>
    </row>
    <row r="266" spans="1:19" ht="15.75" customHeight="1" x14ac:dyDescent="0.3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84"/>
      <c r="M266" s="84"/>
      <c r="N266" s="84"/>
      <c r="O266" s="30"/>
      <c r="P266" s="39"/>
      <c r="Q266" s="30"/>
      <c r="R266" s="50"/>
      <c r="S266" s="49"/>
    </row>
    <row r="267" spans="1:19" ht="15.75" customHeight="1" x14ac:dyDescent="0.3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84"/>
      <c r="M267" s="84"/>
      <c r="N267" s="84"/>
      <c r="O267" s="30"/>
      <c r="P267" s="39"/>
      <c r="Q267" s="30"/>
      <c r="R267" s="50"/>
      <c r="S267" s="49"/>
    </row>
    <row r="268" spans="1:19" ht="15.75" customHeight="1" x14ac:dyDescent="0.3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84"/>
      <c r="M268" s="84"/>
      <c r="N268" s="84"/>
      <c r="O268" s="30"/>
      <c r="P268" s="39"/>
      <c r="Q268" s="30"/>
      <c r="R268" s="50"/>
      <c r="S268" s="49"/>
    </row>
    <row r="269" spans="1:19" ht="15.75" customHeight="1" x14ac:dyDescent="0.3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84"/>
      <c r="M269" s="84"/>
      <c r="N269" s="84"/>
      <c r="O269" s="30"/>
      <c r="P269" s="39"/>
      <c r="Q269" s="30"/>
      <c r="R269" s="50"/>
      <c r="S269" s="49"/>
    </row>
    <row r="270" spans="1:19" ht="15.75" customHeight="1" x14ac:dyDescent="0.3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84"/>
      <c r="M270" s="84"/>
      <c r="N270" s="84"/>
      <c r="O270" s="30"/>
      <c r="P270" s="39"/>
      <c r="Q270" s="30"/>
      <c r="R270" s="50"/>
      <c r="S270" s="49"/>
    </row>
    <row r="271" spans="1:19" ht="15.75" customHeight="1" x14ac:dyDescent="0.3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84"/>
      <c r="M271" s="84"/>
      <c r="N271" s="84"/>
      <c r="O271" s="30"/>
      <c r="P271" s="39"/>
      <c r="Q271" s="30"/>
      <c r="R271" s="50"/>
      <c r="S271" s="49"/>
    </row>
    <row r="272" spans="1:19" ht="15.75" customHeight="1" x14ac:dyDescent="0.3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84"/>
      <c r="M272" s="84"/>
      <c r="N272" s="84"/>
      <c r="O272" s="30"/>
      <c r="P272" s="39"/>
      <c r="Q272" s="30"/>
      <c r="R272" s="50"/>
      <c r="S272" s="49"/>
    </row>
    <row r="273" spans="1:19" ht="15.75" customHeight="1" x14ac:dyDescent="0.3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84"/>
      <c r="M273" s="84"/>
      <c r="N273" s="84"/>
      <c r="O273" s="30"/>
      <c r="P273" s="39"/>
      <c r="Q273" s="30"/>
      <c r="R273" s="50"/>
      <c r="S273" s="49"/>
    </row>
    <row r="274" spans="1:19" ht="15.75" customHeight="1" x14ac:dyDescent="0.3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84"/>
      <c r="M274" s="84"/>
      <c r="N274" s="84"/>
      <c r="O274" s="30"/>
      <c r="P274" s="39"/>
      <c r="Q274" s="30"/>
      <c r="R274" s="50"/>
      <c r="S274" s="49"/>
    </row>
    <row r="275" spans="1:19" ht="15.75" customHeight="1" x14ac:dyDescent="0.3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84"/>
      <c r="M275" s="84"/>
      <c r="N275" s="84"/>
      <c r="O275" s="30"/>
      <c r="P275" s="39"/>
      <c r="Q275" s="30"/>
      <c r="R275" s="50"/>
      <c r="S275" s="49"/>
    </row>
    <row r="276" spans="1:19" ht="15.75" customHeight="1" x14ac:dyDescent="0.3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84"/>
      <c r="M276" s="84"/>
      <c r="N276" s="84"/>
      <c r="O276" s="30"/>
      <c r="P276" s="39"/>
      <c r="Q276" s="30"/>
      <c r="R276" s="50"/>
      <c r="S276" s="49"/>
    </row>
    <row r="277" spans="1:19" ht="15.75" customHeight="1" x14ac:dyDescent="0.3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84"/>
      <c r="M277" s="84"/>
      <c r="N277" s="84"/>
      <c r="O277" s="30"/>
      <c r="P277" s="39"/>
      <c r="Q277" s="30"/>
      <c r="R277" s="50"/>
      <c r="S277" s="49"/>
    </row>
    <row r="278" spans="1:19" ht="15.75" customHeight="1" x14ac:dyDescent="0.3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84"/>
      <c r="M278" s="84"/>
      <c r="N278" s="84"/>
      <c r="O278" s="30"/>
      <c r="P278" s="39"/>
      <c r="Q278" s="30"/>
      <c r="R278" s="50"/>
      <c r="S278" s="49"/>
    </row>
    <row r="279" spans="1:19" ht="15.75" customHeight="1" x14ac:dyDescent="0.3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84"/>
      <c r="M279" s="84"/>
      <c r="N279" s="84"/>
      <c r="O279" s="30"/>
      <c r="P279" s="39"/>
      <c r="Q279" s="30"/>
      <c r="R279" s="50"/>
      <c r="S279" s="49"/>
    </row>
    <row r="280" spans="1:19" ht="15.75" customHeight="1" x14ac:dyDescent="0.3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84"/>
      <c r="M280" s="84"/>
      <c r="N280" s="84"/>
      <c r="O280" s="30"/>
      <c r="P280" s="39"/>
      <c r="Q280" s="30"/>
      <c r="R280" s="50"/>
      <c r="S280" s="49"/>
    </row>
    <row r="281" spans="1:19" ht="15.75" customHeight="1" x14ac:dyDescent="0.3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84"/>
      <c r="M281" s="84"/>
      <c r="N281" s="84"/>
      <c r="O281" s="30"/>
      <c r="P281" s="39"/>
      <c r="Q281" s="30"/>
      <c r="R281" s="50"/>
      <c r="S281" s="49"/>
    </row>
    <row r="282" spans="1:19" ht="15.75" customHeight="1" x14ac:dyDescent="0.3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84"/>
      <c r="M282" s="84"/>
      <c r="N282" s="84"/>
      <c r="O282" s="30"/>
      <c r="P282" s="39"/>
      <c r="Q282" s="30"/>
      <c r="R282" s="50"/>
      <c r="S282" s="49"/>
    </row>
    <row r="283" spans="1:19" ht="15.75" customHeight="1" x14ac:dyDescent="0.3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84"/>
      <c r="M283" s="84"/>
      <c r="N283" s="84"/>
      <c r="O283" s="30"/>
      <c r="P283" s="39"/>
      <c r="Q283" s="30"/>
      <c r="R283" s="50"/>
      <c r="S283" s="49"/>
    </row>
    <row r="284" spans="1:19" ht="15.75" customHeight="1" x14ac:dyDescent="0.3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84"/>
      <c r="M284" s="84"/>
      <c r="N284" s="84"/>
      <c r="O284" s="30"/>
      <c r="P284" s="39"/>
      <c r="Q284" s="30"/>
      <c r="R284" s="50"/>
      <c r="S284" s="49"/>
    </row>
    <row r="285" spans="1:19" ht="15.75" customHeight="1" x14ac:dyDescent="0.3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84"/>
      <c r="M285" s="84"/>
      <c r="N285" s="84"/>
      <c r="O285" s="30"/>
      <c r="P285" s="39"/>
      <c r="Q285" s="30"/>
      <c r="R285" s="50"/>
      <c r="S285" s="49"/>
    </row>
    <row r="286" spans="1:19" ht="15.75" customHeight="1" x14ac:dyDescent="0.3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84"/>
      <c r="M286" s="84"/>
      <c r="N286" s="84"/>
      <c r="O286" s="30"/>
      <c r="P286" s="39"/>
      <c r="Q286" s="30"/>
      <c r="R286" s="50"/>
      <c r="S286" s="49"/>
    </row>
    <row r="287" spans="1:19" ht="15.75" customHeight="1" x14ac:dyDescent="0.3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84"/>
      <c r="M287" s="84"/>
      <c r="N287" s="84"/>
      <c r="O287" s="30"/>
      <c r="P287" s="39"/>
      <c r="Q287" s="30"/>
      <c r="R287" s="50"/>
      <c r="S287" s="49"/>
    </row>
    <row r="288" spans="1:19" ht="15.75" customHeight="1" x14ac:dyDescent="0.3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84"/>
      <c r="M288" s="84"/>
      <c r="N288" s="84"/>
      <c r="O288" s="30"/>
      <c r="P288" s="39"/>
      <c r="Q288" s="30"/>
      <c r="R288" s="50"/>
      <c r="S288" s="49"/>
    </row>
    <row r="289" spans="1:19" ht="15.75" customHeight="1" x14ac:dyDescent="0.3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84"/>
      <c r="M289" s="84"/>
      <c r="N289" s="84"/>
      <c r="O289" s="30"/>
      <c r="P289" s="39"/>
      <c r="Q289" s="30"/>
      <c r="R289" s="50"/>
      <c r="S289" s="49"/>
    </row>
    <row r="290" spans="1:19" ht="15.75" customHeight="1" x14ac:dyDescent="0.3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84"/>
      <c r="M290" s="84"/>
      <c r="N290" s="84"/>
      <c r="O290" s="30"/>
      <c r="P290" s="39"/>
      <c r="Q290" s="30"/>
      <c r="R290" s="50"/>
      <c r="S290" s="49"/>
    </row>
    <row r="291" spans="1:19" ht="15.75" customHeight="1" x14ac:dyDescent="0.3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84"/>
      <c r="M291" s="84"/>
      <c r="N291" s="84"/>
      <c r="O291" s="30"/>
      <c r="P291" s="39"/>
      <c r="Q291" s="30"/>
      <c r="R291" s="50"/>
      <c r="S291" s="49"/>
    </row>
    <row r="292" spans="1:19" ht="15.75" customHeight="1" x14ac:dyDescent="0.3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84"/>
      <c r="M292" s="84"/>
      <c r="N292" s="84"/>
      <c r="O292" s="30"/>
      <c r="P292" s="39"/>
      <c r="Q292" s="30"/>
      <c r="R292" s="50"/>
      <c r="S292" s="49"/>
    </row>
    <row r="293" spans="1:19" ht="15.75" customHeight="1" x14ac:dyDescent="0.3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84"/>
      <c r="M293" s="84"/>
      <c r="N293" s="84"/>
      <c r="O293" s="30"/>
      <c r="P293" s="39"/>
      <c r="Q293" s="30"/>
      <c r="R293" s="50"/>
      <c r="S293" s="49"/>
    </row>
    <row r="294" spans="1:19" ht="15.75" customHeight="1" x14ac:dyDescent="0.3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84"/>
      <c r="M294" s="84"/>
      <c r="N294" s="84"/>
      <c r="O294" s="30"/>
      <c r="P294" s="39"/>
      <c r="Q294" s="30"/>
      <c r="R294" s="50"/>
      <c r="S294" s="49"/>
    </row>
    <row r="295" spans="1:19" ht="15.75" customHeight="1" x14ac:dyDescent="0.3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84"/>
      <c r="M295" s="84"/>
      <c r="N295" s="84"/>
      <c r="O295" s="30"/>
      <c r="P295" s="39"/>
      <c r="Q295" s="30"/>
      <c r="R295" s="50"/>
      <c r="S295" s="49"/>
    </row>
    <row r="296" spans="1:19" ht="15.75" customHeight="1" x14ac:dyDescent="0.3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84"/>
      <c r="M296" s="84"/>
      <c r="N296" s="84"/>
      <c r="O296" s="30"/>
      <c r="P296" s="39"/>
      <c r="Q296" s="30"/>
      <c r="R296" s="50"/>
      <c r="S296" s="49"/>
    </row>
    <row r="297" spans="1:19" ht="15.75" customHeight="1" x14ac:dyDescent="0.3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84"/>
      <c r="M297" s="84"/>
      <c r="N297" s="84"/>
      <c r="O297" s="30"/>
      <c r="P297" s="39"/>
      <c r="Q297" s="30"/>
      <c r="R297" s="50"/>
      <c r="S297" s="49"/>
    </row>
    <row r="298" spans="1:19" ht="15.75" customHeight="1" x14ac:dyDescent="0.3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84"/>
      <c r="M298" s="84"/>
      <c r="N298" s="84"/>
      <c r="O298" s="30"/>
      <c r="P298" s="39"/>
      <c r="Q298" s="30"/>
      <c r="R298" s="50"/>
      <c r="S298" s="49"/>
    </row>
    <row r="299" spans="1:19" ht="15.75" customHeight="1" x14ac:dyDescent="0.3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84"/>
      <c r="M299" s="84"/>
      <c r="N299" s="84"/>
      <c r="O299" s="30"/>
      <c r="P299" s="39"/>
      <c r="Q299" s="30"/>
      <c r="R299" s="50"/>
      <c r="S299" s="49"/>
    </row>
    <row r="300" spans="1:19" ht="15.75" customHeight="1" x14ac:dyDescent="0.3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84"/>
      <c r="M300" s="84"/>
      <c r="N300" s="84"/>
      <c r="O300" s="30"/>
      <c r="P300" s="39"/>
      <c r="Q300" s="30"/>
      <c r="R300" s="50"/>
      <c r="S300" s="49"/>
    </row>
    <row r="301" spans="1:19" ht="15.75" customHeight="1" x14ac:dyDescent="0.3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84"/>
      <c r="M301" s="84"/>
      <c r="N301" s="84"/>
      <c r="O301" s="30"/>
      <c r="P301" s="39"/>
      <c r="Q301" s="30"/>
      <c r="R301" s="50"/>
      <c r="S301" s="49"/>
    </row>
    <row r="302" spans="1:19" ht="15.75" customHeight="1" x14ac:dyDescent="0.3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84"/>
      <c r="M302" s="84"/>
      <c r="N302" s="84"/>
      <c r="O302" s="30"/>
      <c r="P302" s="39"/>
      <c r="Q302" s="30"/>
      <c r="R302" s="50"/>
      <c r="S302" s="49"/>
    </row>
    <row r="303" spans="1:19" ht="15.75" customHeight="1" x14ac:dyDescent="0.3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84"/>
      <c r="M303" s="84"/>
      <c r="N303" s="84"/>
      <c r="O303" s="30"/>
      <c r="P303" s="39"/>
      <c r="Q303" s="30"/>
      <c r="R303" s="50"/>
      <c r="S303" s="49"/>
    </row>
    <row r="304" spans="1:19" ht="15.75" customHeight="1" x14ac:dyDescent="0.3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84"/>
      <c r="M304" s="84"/>
      <c r="N304" s="84"/>
      <c r="O304" s="30"/>
      <c r="P304" s="39"/>
      <c r="Q304" s="30"/>
      <c r="R304" s="50"/>
      <c r="S304" s="49"/>
    </row>
    <row r="305" spans="1:19" ht="15.75" customHeight="1" x14ac:dyDescent="0.3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84"/>
      <c r="M305" s="84"/>
      <c r="N305" s="84"/>
      <c r="O305" s="30"/>
      <c r="P305" s="39"/>
      <c r="Q305" s="30"/>
      <c r="R305" s="50"/>
      <c r="S305" s="49"/>
    </row>
    <row r="306" spans="1:19" ht="15.75" customHeight="1" x14ac:dyDescent="0.3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84"/>
      <c r="M306" s="84"/>
      <c r="N306" s="84"/>
      <c r="O306" s="30"/>
      <c r="P306" s="39"/>
      <c r="Q306" s="30"/>
      <c r="R306" s="50"/>
      <c r="S306" s="49"/>
    </row>
    <row r="307" spans="1:19" ht="15.75" customHeight="1" x14ac:dyDescent="0.3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84"/>
      <c r="M307" s="84"/>
      <c r="N307" s="84"/>
      <c r="O307" s="30"/>
      <c r="P307" s="39"/>
      <c r="Q307" s="30"/>
      <c r="R307" s="50"/>
      <c r="S307" s="49"/>
    </row>
    <row r="308" spans="1:19" ht="15.75" customHeight="1" x14ac:dyDescent="0.3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84"/>
      <c r="M308" s="84"/>
      <c r="N308" s="84"/>
      <c r="O308" s="30"/>
      <c r="P308" s="39"/>
      <c r="Q308" s="30"/>
      <c r="R308" s="50"/>
      <c r="S308" s="49"/>
    </row>
    <row r="309" spans="1:19" ht="15.75" customHeight="1" x14ac:dyDescent="0.3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84"/>
      <c r="M309" s="84"/>
      <c r="N309" s="84"/>
      <c r="O309" s="30"/>
      <c r="P309" s="39"/>
      <c r="Q309" s="30"/>
      <c r="R309" s="50"/>
      <c r="S309" s="49"/>
    </row>
    <row r="310" spans="1:19" ht="15.75" customHeight="1" x14ac:dyDescent="0.3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84"/>
      <c r="M310" s="84"/>
      <c r="N310" s="84"/>
      <c r="O310" s="30"/>
      <c r="P310" s="39"/>
      <c r="Q310" s="30"/>
      <c r="R310" s="50"/>
      <c r="S310" s="49"/>
    </row>
    <row r="311" spans="1:19" ht="15.75" customHeight="1" x14ac:dyDescent="0.3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84"/>
      <c r="M311" s="84"/>
      <c r="N311" s="84"/>
      <c r="O311" s="30"/>
      <c r="P311" s="39"/>
      <c r="Q311" s="30"/>
      <c r="R311" s="50"/>
      <c r="S311" s="49"/>
    </row>
    <row r="312" spans="1:19" ht="15.75" customHeight="1" x14ac:dyDescent="0.3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84"/>
      <c r="M312" s="84"/>
      <c r="N312" s="84"/>
      <c r="O312" s="30"/>
      <c r="P312" s="39"/>
      <c r="Q312" s="30"/>
      <c r="R312" s="50"/>
      <c r="S312" s="49"/>
    </row>
    <row r="313" spans="1:19" ht="15.75" customHeight="1" x14ac:dyDescent="0.3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84"/>
      <c r="M313" s="84"/>
      <c r="N313" s="84"/>
      <c r="O313" s="30"/>
      <c r="P313" s="39"/>
      <c r="Q313" s="30"/>
      <c r="R313" s="50"/>
      <c r="S313" s="49"/>
    </row>
    <row r="314" spans="1:19" ht="15.75" customHeight="1" x14ac:dyDescent="0.3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84"/>
      <c r="M314" s="84"/>
      <c r="N314" s="84"/>
      <c r="O314" s="30"/>
      <c r="P314" s="39"/>
      <c r="Q314" s="30"/>
      <c r="R314" s="50"/>
      <c r="S314" s="49"/>
    </row>
    <row r="315" spans="1:19" ht="15.75" customHeight="1" x14ac:dyDescent="0.3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84"/>
      <c r="M315" s="84"/>
      <c r="N315" s="84"/>
      <c r="O315" s="30"/>
      <c r="P315" s="39"/>
      <c r="Q315" s="30"/>
      <c r="R315" s="50"/>
      <c r="S315" s="49"/>
    </row>
    <row r="316" spans="1:19" ht="15.75" customHeight="1" x14ac:dyDescent="0.3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84"/>
      <c r="M316" s="84"/>
      <c r="N316" s="84"/>
      <c r="O316" s="30"/>
      <c r="P316" s="39"/>
      <c r="Q316" s="30"/>
      <c r="R316" s="50"/>
      <c r="S316" s="49"/>
    </row>
    <row r="317" spans="1:19" ht="15.75" customHeight="1" x14ac:dyDescent="0.3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84"/>
      <c r="M317" s="84"/>
      <c r="N317" s="84"/>
      <c r="O317" s="30"/>
      <c r="P317" s="39"/>
      <c r="Q317" s="30"/>
      <c r="R317" s="50"/>
      <c r="S317" s="49"/>
    </row>
    <row r="318" spans="1:19" ht="15.75" customHeight="1" x14ac:dyDescent="0.3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84"/>
      <c r="M318" s="84"/>
      <c r="N318" s="84"/>
      <c r="O318" s="30"/>
      <c r="P318" s="39"/>
      <c r="Q318" s="30"/>
      <c r="R318" s="50"/>
      <c r="S318" s="49"/>
    </row>
    <row r="319" spans="1:19" ht="15.75" customHeight="1" x14ac:dyDescent="0.3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84"/>
      <c r="M319" s="84"/>
      <c r="N319" s="84"/>
      <c r="O319" s="30"/>
      <c r="P319" s="39"/>
      <c r="Q319" s="30"/>
      <c r="R319" s="50"/>
      <c r="S319" s="49"/>
    </row>
    <row r="320" spans="1:19" ht="15.75" customHeight="1" x14ac:dyDescent="0.3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84"/>
      <c r="M320" s="84"/>
      <c r="N320" s="84"/>
      <c r="O320" s="30"/>
      <c r="P320" s="39"/>
      <c r="Q320" s="30"/>
      <c r="R320" s="50"/>
      <c r="S320" s="49"/>
    </row>
    <row r="321" spans="1:19" ht="15.75" customHeight="1" x14ac:dyDescent="0.3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84"/>
      <c r="M321" s="84"/>
      <c r="N321" s="84"/>
      <c r="O321" s="30"/>
      <c r="P321" s="39"/>
      <c r="Q321" s="30"/>
      <c r="R321" s="50"/>
      <c r="S321" s="49"/>
    </row>
    <row r="322" spans="1:19" ht="15.75" customHeight="1" x14ac:dyDescent="0.3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84"/>
      <c r="M322" s="84"/>
      <c r="N322" s="84"/>
      <c r="O322" s="30"/>
      <c r="P322" s="39"/>
      <c r="Q322" s="30"/>
      <c r="R322" s="50"/>
      <c r="S322" s="49"/>
    </row>
    <row r="323" spans="1:19" ht="15.75" customHeight="1" x14ac:dyDescent="0.3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84"/>
      <c r="M323" s="84"/>
      <c r="N323" s="84"/>
      <c r="O323" s="30"/>
      <c r="P323" s="39"/>
      <c r="Q323" s="30"/>
      <c r="R323" s="50"/>
      <c r="S323" s="49"/>
    </row>
    <row r="324" spans="1:19" ht="15.75" customHeight="1" x14ac:dyDescent="0.3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84"/>
      <c r="M324" s="84"/>
      <c r="N324" s="84"/>
      <c r="O324" s="30"/>
      <c r="P324" s="39"/>
      <c r="Q324" s="30"/>
      <c r="R324" s="50"/>
      <c r="S324" s="49"/>
    </row>
    <row r="325" spans="1:19" ht="15.75" customHeight="1" x14ac:dyDescent="0.3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84"/>
      <c r="M325" s="84"/>
      <c r="N325" s="84"/>
      <c r="O325" s="30"/>
      <c r="P325" s="39"/>
      <c r="Q325" s="30"/>
      <c r="R325" s="50"/>
      <c r="S325" s="49"/>
    </row>
    <row r="326" spans="1:19" ht="15.75" customHeight="1" x14ac:dyDescent="0.3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84"/>
      <c r="M326" s="84"/>
      <c r="N326" s="84"/>
      <c r="O326" s="30"/>
      <c r="P326" s="39"/>
      <c r="Q326" s="30"/>
      <c r="R326" s="50"/>
      <c r="S326" s="49"/>
    </row>
    <row r="327" spans="1:19" ht="15.75" customHeight="1" x14ac:dyDescent="0.3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84"/>
      <c r="M327" s="84"/>
      <c r="N327" s="84"/>
      <c r="O327" s="30"/>
      <c r="P327" s="39"/>
      <c r="Q327" s="30"/>
      <c r="R327" s="50"/>
      <c r="S327" s="49"/>
    </row>
    <row r="328" spans="1:19" ht="15.75" customHeight="1" x14ac:dyDescent="0.3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84"/>
      <c r="M328" s="84"/>
      <c r="N328" s="84"/>
      <c r="O328" s="30"/>
      <c r="P328" s="39"/>
      <c r="Q328" s="30"/>
      <c r="R328" s="50"/>
      <c r="S328" s="49"/>
    </row>
    <row r="329" spans="1:19" ht="15.75" customHeight="1" x14ac:dyDescent="0.3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84"/>
      <c r="M329" s="84"/>
      <c r="N329" s="84"/>
      <c r="O329" s="30"/>
      <c r="P329" s="39"/>
      <c r="Q329" s="30"/>
      <c r="R329" s="50"/>
      <c r="S329" s="49"/>
    </row>
    <row r="330" spans="1:19" ht="15.75" customHeight="1" x14ac:dyDescent="0.3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84"/>
      <c r="M330" s="84"/>
      <c r="N330" s="84"/>
      <c r="O330" s="30"/>
      <c r="P330" s="39"/>
      <c r="Q330" s="30"/>
      <c r="R330" s="50"/>
      <c r="S330" s="49"/>
    </row>
    <row r="331" spans="1:19" ht="15.75" customHeight="1" x14ac:dyDescent="0.3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84"/>
      <c r="M331" s="84"/>
      <c r="N331" s="84"/>
      <c r="O331" s="30"/>
      <c r="P331" s="39"/>
      <c r="Q331" s="30"/>
      <c r="R331" s="50"/>
      <c r="S331" s="49"/>
    </row>
    <row r="332" spans="1:19" ht="15.75" customHeight="1" x14ac:dyDescent="0.3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84"/>
      <c r="M332" s="84"/>
      <c r="N332" s="84"/>
      <c r="O332" s="30"/>
      <c r="P332" s="39"/>
      <c r="Q332" s="30"/>
      <c r="R332" s="50"/>
      <c r="S332" s="49"/>
    </row>
    <row r="333" spans="1:19" ht="15.75" customHeight="1" x14ac:dyDescent="0.3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84"/>
      <c r="M333" s="84"/>
      <c r="N333" s="84"/>
      <c r="O333" s="30"/>
      <c r="P333" s="39"/>
      <c r="Q333" s="30"/>
      <c r="R333" s="50"/>
      <c r="S333" s="49"/>
    </row>
    <row r="334" spans="1:19" ht="15.75" customHeight="1" x14ac:dyDescent="0.3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84"/>
      <c r="M334" s="84"/>
      <c r="N334" s="84"/>
      <c r="O334" s="30"/>
      <c r="P334" s="39"/>
      <c r="Q334" s="30"/>
      <c r="R334" s="50"/>
      <c r="S334" s="49"/>
    </row>
    <row r="335" spans="1:19" ht="15.75" customHeight="1" x14ac:dyDescent="0.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84"/>
      <c r="M335" s="84"/>
      <c r="N335" s="84"/>
      <c r="O335" s="30"/>
      <c r="P335" s="39"/>
      <c r="Q335" s="30"/>
      <c r="R335" s="50"/>
      <c r="S335" s="49"/>
    </row>
    <row r="336" spans="1:19" ht="15.75" customHeight="1" x14ac:dyDescent="0.3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84"/>
      <c r="M336" s="84"/>
      <c r="N336" s="84"/>
      <c r="O336" s="30"/>
      <c r="P336" s="39"/>
      <c r="Q336" s="30"/>
      <c r="R336" s="50"/>
      <c r="S336" s="49"/>
    </row>
    <row r="337" spans="1:19" ht="15.75" customHeight="1" x14ac:dyDescent="0.3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84"/>
      <c r="M337" s="84"/>
      <c r="N337" s="84"/>
      <c r="O337" s="30"/>
      <c r="P337" s="39"/>
      <c r="Q337" s="30"/>
      <c r="R337" s="50"/>
      <c r="S337" s="49"/>
    </row>
    <row r="338" spans="1:19" ht="15.75" customHeight="1" x14ac:dyDescent="0.3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84"/>
      <c r="M338" s="84"/>
      <c r="N338" s="84"/>
      <c r="O338" s="30"/>
      <c r="P338" s="39"/>
      <c r="Q338" s="30"/>
      <c r="R338" s="50"/>
      <c r="S338" s="49"/>
    </row>
    <row r="339" spans="1:19" ht="15.75" customHeight="1" x14ac:dyDescent="0.3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84"/>
      <c r="M339" s="84"/>
      <c r="N339" s="84"/>
      <c r="O339" s="30"/>
      <c r="P339" s="39"/>
      <c r="Q339" s="30"/>
      <c r="R339" s="50"/>
      <c r="S339" s="49"/>
    </row>
    <row r="340" spans="1:19" ht="15.75" customHeight="1" x14ac:dyDescent="0.3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84"/>
      <c r="M340" s="84"/>
      <c r="N340" s="84"/>
      <c r="O340" s="30"/>
      <c r="P340" s="39"/>
      <c r="Q340" s="30"/>
      <c r="R340" s="50"/>
      <c r="S340" s="49"/>
    </row>
    <row r="341" spans="1:19" ht="15.75" customHeight="1" x14ac:dyDescent="0.3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84"/>
      <c r="M341" s="84"/>
      <c r="N341" s="84"/>
      <c r="O341" s="30"/>
      <c r="P341" s="39"/>
      <c r="Q341" s="30"/>
      <c r="R341" s="50"/>
      <c r="S341" s="49"/>
    </row>
    <row r="342" spans="1:19" ht="15.75" customHeight="1" x14ac:dyDescent="0.3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84"/>
      <c r="M342" s="84"/>
      <c r="N342" s="84"/>
      <c r="O342" s="30"/>
      <c r="P342" s="39"/>
      <c r="Q342" s="30"/>
      <c r="R342" s="50"/>
      <c r="S342" s="49"/>
    </row>
    <row r="343" spans="1:19" ht="15.75" customHeight="1" x14ac:dyDescent="0.3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84"/>
      <c r="M343" s="84"/>
      <c r="N343" s="84"/>
      <c r="O343" s="30"/>
      <c r="P343" s="39"/>
      <c r="Q343" s="30"/>
      <c r="R343" s="50"/>
      <c r="S343" s="49"/>
    </row>
    <row r="344" spans="1:19" ht="15.75" customHeight="1" x14ac:dyDescent="0.3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84"/>
      <c r="M344" s="84"/>
      <c r="N344" s="84"/>
      <c r="O344" s="30"/>
      <c r="P344" s="39"/>
      <c r="Q344" s="30"/>
      <c r="R344" s="50"/>
      <c r="S344" s="49"/>
    </row>
    <row r="345" spans="1:19" ht="15.75" customHeight="1" x14ac:dyDescent="0.3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84"/>
      <c r="M345" s="84"/>
      <c r="N345" s="84"/>
      <c r="O345" s="30"/>
      <c r="P345" s="39"/>
      <c r="Q345" s="30"/>
      <c r="R345" s="50"/>
      <c r="S345" s="49"/>
    </row>
    <row r="346" spans="1:19" ht="15.75" customHeight="1" x14ac:dyDescent="0.3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84"/>
      <c r="M346" s="84"/>
      <c r="N346" s="84"/>
      <c r="O346" s="30"/>
      <c r="P346" s="39"/>
      <c r="Q346" s="30"/>
      <c r="R346" s="50"/>
      <c r="S346" s="49"/>
    </row>
    <row r="347" spans="1:19" ht="15.75" customHeight="1" x14ac:dyDescent="0.3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84"/>
      <c r="M347" s="84"/>
      <c r="N347" s="84"/>
      <c r="O347" s="30"/>
      <c r="P347" s="39"/>
      <c r="Q347" s="30"/>
      <c r="R347" s="50"/>
      <c r="S347" s="49"/>
    </row>
    <row r="348" spans="1:19" ht="15.75" customHeight="1" x14ac:dyDescent="0.3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84"/>
      <c r="M348" s="84"/>
      <c r="N348" s="84"/>
      <c r="O348" s="30"/>
      <c r="P348" s="39"/>
      <c r="Q348" s="30"/>
      <c r="R348" s="50"/>
      <c r="S348" s="49"/>
    </row>
    <row r="349" spans="1:19" ht="15.75" customHeight="1" x14ac:dyDescent="0.3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84"/>
      <c r="M349" s="84"/>
      <c r="N349" s="84"/>
      <c r="O349" s="30"/>
      <c r="P349" s="39"/>
      <c r="Q349" s="30"/>
      <c r="R349" s="50"/>
      <c r="S349" s="49"/>
    </row>
    <row r="350" spans="1:19" ht="15.75" customHeight="1" x14ac:dyDescent="0.3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84"/>
      <c r="M350" s="84"/>
      <c r="N350" s="84"/>
      <c r="O350" s="30"/>
      <c r="P350" s="39"/>
      <c r="Q350" s="30"/>
      <c r="R350" s="50"/>
      <c r="S350" s="49"/>
    </row>
    <row r="351" spans="1:19" ht="15.75" customHeight="1" x14ac:dyDescent="0.3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84"/>
      <c r="M351" s="84"/>
      <c r="N351" s="84"/>
      <c r="O351" s="30"/>
      <c r="P351" s="39"/>
      <c r="Q351" s="30"/>
      <c r="R351" s="50"/>
      <c r="S351" s="49"/>
    </row>
    <row r="352" spans="1:19" ht="15.75" customHeight="1" x14ac:dyDescent="0.3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84"/>
      <c r="M352" s="84"/>
      <c r="N352" s="84"/>
      <c r="O352" s="30"/>
      <c r="P352" s="39"/>
      <c r="Q352" s="30"/>
      <c r="R352" s="50"/>
      <c r="S352" s="49"/>
    </row>
    <row r="353" spans="1:19" ht="15.75" customHeight="1" x14ac:dyDescent="0.3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84"/>
      <c r="M353" s="84"/>
      <c r="N353" s="84"/>
      <c r="O353" s="30"/>
      <c r="P353" s="39"/>
      <c r="Q353" s="30"/>
      <c r="R353" s="50"/>
      <c r="S353" s="49"/>
    </row>
    <row r="354" spans="1:19" ht="15.75" customHeight="1" x14ac:dyDescent="0.3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84"/>
      <c r="M354" s="84"/>
      <c r="N354" s="84"/>
      <c r="O354" s="30"/>
      <c r="P354" s="39"/>
      <c r="Q354" s="30"/>
      <c r="R354" s="50"/>
      <c r="S354" s="49"/>
    </row>
    <row r="355" spans="1:19" ht="15.75" customHeight="1" x14ac:dyDescent="0.3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84"/>
      <c r="M355" s="84"/>
      <c r="N355" s="84"/>
      <c r="O355" s="30"/>
      <c r="P355" s="39"/>
      <c r="Q355" s="30"/>
      <c r="R355" s="50"/>
      <c r="S355" s="49"/>
    </row>
    <row r="356" spans="1:19" ht="15.75" customHeight="1" x14ac:dyDescent="0.3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84"/>
      <c r="M356" s="84"/>
      <c r="N356" s="84"/>
      <c r="O356" s="30"/>
      <c r="P356" s="39"/>
      <c r="Q356" s="30"/>
      <c r="R356" s="50"/>
      <c r="S356" s="49"/>
    </row>
    <row r="357" spans="1:19" ht="15.75" customHeight="1" x14ac:dyDescent="0.3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84"/>
      <c r="M357" s="84"/>
      <c r="N357" s="84"/>
      <c r="O357" s="30"/>
      <c r="P357" s="39"/>
      <c r="Q357" s="30"/>
      <c r="R357" s="50"/>
      <c r="S357" s="49"/>
    </row>
    <row r="358" spans="1:19" ht="15.75" customHeight="1" x14ac:dyDescent="0.3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84"/>
      <c r="M358" s="84"/>
      <c r="N358" s="84"/>
      <c r="O358" s="30"/>
      <c r="P358" s="39"/>
      <c r="Q358" s="30"/>
      <c r="R358" s="50"/>
      <c r="S358" s="49"/>
    </row>
    <row r="359" spans="1:19" ht="15.75" customHeight="1" x14ac:dyDescent="0.3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84"/>
      <c r="M359" s="84"/>
      <c r="N359" s="84"/>
      <c r="O359" s="30"/>
      <c r="P359" s="39"/>
      <c r="Q359" s="30"/>
      <c r="R359" s="50"/>
      <c r="S359" s="49"/>
    </row>
    <row r="360" spans="1:19" ht="15.75" customHeight="1" x14ac:dyDescent="0.3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84"/>
      <c r="M360" s="84"/>
      <c r="N360" s="84"/>
      <c r="O360" s="30"/>
      <c r="P360" s="39"/>
      <c r="Q360" s="30"/>
      <c r="R360" s="50"/>
      <c r="S360" s="49"/>
    </row>
    <row r="361" spans="1:19" ht="15.75" customHeight="1" x14ac:dyDescent="0.3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84"/>
      <c r="M361" s="84"/>
      <c r="N361" s="84"/>
      <c r="O361" s="30"/>
      <c r="P361" s="39"/>
      <c r="Q361" s="30"/>
      <c r="R361" s="50"/>
      <c r="S361" s="49"/>
    </row>
    <row r="362" spans="1:19" ht="15.75" customHeight="1" x14ac:dyDescent="0.3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84"/>
      <c r="M362" s="84"/>
      <c r="N362" s="84"/>
      <c r="O362" s="30"/>
      <c r="P362" s="39"/>
      <c r="Q362" s="30"/>
      <c r="R362" s="50"/>
      <c r="S362" s="49"/>
    </row>
    <row r="363" spans="1:19" ht="15.75" customHeight="1" x14ac:dyDescent="0.3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84"/>
      <c r="M363" s="84"/>
      <c r="N363" s="84"/>
      <c r="O363" s="30"/>
      <c r="P363" s="39"/>
      <c r="Q363" s="30"/>
      <c r="R363" s="50"/>
      <c r="S363" s="49"/>
    </row>
    <row r="364" spans="1:19" ht="15.75" customHeight="1" x14ac:dyDescent="0.3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84"/>
      <c r="M364" s="84"/>
      <c r="N364" s="84"/>
      <c r="O364" s="30"/>
      <c r="P364" s="39"/>
      <c r="Q364" s="30"/>
      <c r="R364" s="50"/>
      <c r="S364" s="49"/>
    </row>
    <row r="365" spans="1:19" ht="15.75" customHeight="1" x14ac:dyDescent="0.3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84"/>
      <c r="M365" s="84"/>
      <c r="N365" s="84"/>
      <c r="O365" s="30"/>
      <c r="P365" s="39"/>
      <c r="Q365" s="30"/>
      <c r="R365" s="50"/>
      <c r="S365" s="49"/>
    </row>
    <row r="366" spans="1:19" ht="15.75" customHeight="1" x14ac:dyDescent="0.3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84"/>
      <c r="M366" s="84"/>
      <c r="N366" s="84"/>
      <c r="O366" s="30"/>
      <c r="P366" s="39"/>
      <c r="Q366" s="30"/>
      <c r="R366" s="50"/>
      <c r="S366" s="49"/>
    </row>
    <row r="367" spans="1:19" ht="15.75" customHeight="1" x14ac:dyDescent="0.3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84"/>
      <c r="M367" s="84"/>
      <c r="N367" s="84"/>
      <c r="O367" s="30"/>
      <c r="P367" s="39"/>
      <c r="Q367" s="30"/>
      <c r="R367" s="50"/>
      <c r="S367" s="49"/>
    </row>
    <row r="368" spans="1:19" ht="15.75" customHeight="1" x14ac:dyDescent="0.3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84"/>
      <c r="M368" s="84"/>
      <c r="N368" s="84"/>
      <c r="O368" s="30"/>
      <c r="P368" s="39"/>
      <c r="Q368" s="30"/>
      <c r="R368" s="50"/>
      <c r="S368" s="49"/>
    </row>
    <row r="369" spans="1:19" ht="15.75" customHeight="1" x14ac:dyDescent="0.3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84"/>
      <c r="M369" s="84"/>
      <c r="N369" s="84"/>
      <c r="O369" s="30"/>
      <c r="P369" s="39"/>
      <c r="Q369" s="30"/>
      <c r="R369" s="50"/>
      <c r="S369" s="49"/>
    </row>
    <row r="370" spans="1:19" ht="15.75" customHeight="1" x14ac:dyDescent="0.3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84"/>
      <c r="M370" s="84"/>
      <c r="N370" s="84"/>
      <c r="O370" s="30"/>
      <c r="P370" s="39"/>
      <c r="Q370" s="30"/>
      <c r="R370" s="50"/>
      <c r="S370" s="49"/>
    </row>
    <row r="371" spans="1:19" ht="15.75" customHeight="1" x14ac:dyDescent="0.3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84"/>
      <c r="M371" s="84"/>
      <c r="N371" s="84"/>
      <c r="O371" s="30"/>
      <c r="P371" s="39"/>
      <c r="Q371" s="30"/>
      <c r="R371" s="50"/>
      <c r="S371" s="49"/>
    </row>
    <row r="372" spans="1:19" ht="15.75" customHeight="1" x14ac:dyDescent="0.3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84"/>
      <c r="M372" s="84"/>
      <c r="N372" s="84"/>
      <c r="O372" s="30"/>
      <c r="P372" s="39"/>
      <c r="Q372" s="30"/>
      <c r="R372" s="50"/>
      <c r="S372" s="49"/>
    </row>
    <row r="373" spans="1:19" ht="15.75" customHeight="1" x14ac:dyDescent="0.3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84"/>
      <c r="M373" s="84"/>
      <c r="N373" s="84"/>
      <c r="O373" s="30"/>
      <c r="P373" s="39"/>
      <c r="Q373" s="30"/>
      <c r="R373" s="50"/>
      <c r="S373" s="49"/>
    </row>
    <row r="374" spans="1:19" ht="15.75" customHeight="1" x14ac:dyDescent="0.3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84"/>
      <c r="M374" s="84"/>
      <c r="N374" s="84"/>
      <c r="O374" s="30"/>
      <c r="P374" s="39"/>
      <c r="Q374" s="30"/>
      <c r="R374" s="50"/>
      <c r="S374" s="49"/>
    </row>
    <row r="375" spans="1:19" ht="15.75" customHeight="1" x14ac:dyDescent="0.3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84"/>
      <c r="M375" s="84"/>
      <c r="N375" s="84"/>
      <c r="O375" s="30"/>
      <c r="P375" s="39"/>
      <c r="Q375" s="30"/>
      <c r="R375" s="50"/>
      <c r="S375" s="49"/>
    </row>
    <row r="376" spans="1:19" ht="15.75" customHeight="1" x14ac:dyDescent="0.3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84"/>
      <c r="M376" s="84"/>
      <c r="N376" s="84"/>
      <c r="O376" s="30"/>
      <c r="P376" s="39"/>
      <c r="Q376" s="30"/>
      <c r="R376" s="50"/>
      <c r="S376" s="49"/>
    </row>
    <row r="377" spans="1:19" ht="15.75" customHeight="1" x14ac:dyDescent="0.3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84"/>
      <c r="M377" s="84"/>
      <c r="N377" s="84"/>
      <c r="O377" s="30"/>
      <c r="P377" s="39"/>
      <c r="Q377" s="30"/>
      <c r="R377" s="50"/>
      <c r="S377" s="49"/>
    </row>
    <row r="378" spans="1:19" ht="15.75" customHeight="1" x14ac:dyDescent="0.3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84"/>
      <c r="M378" s="84"/>
      <c r="N378" s="84"/>
      <c r="O378" s="30"/>
      <c r="P378" s="39"/>
      <c r="Q378" s="30"/>
      <c r="R378" s="50"/>
      <c r="S378" s="49"/>
    </row>
    <row r="379" spans="1:19" ht="15.75" customHeight="1" x14ac:dyDescent="0.3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84"/>
      <c r="M379" s="84"/>
      <c r="N379" s="84"/>
      <c r="O379" s="30"/>
      <c r="P379" s="39"/>
      <c r="Q379" s="30"/>
      <c r="R379" s="50"/>
      <c r="S379" s="49"/>
    </row>
    <row r="380" spans="1:19" ht="15.75" customHeight="1" x14ac:dyDescent="0.3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84"/>
      <c r="M380" s="84"/>
      <c r="N380" s="84"/>
      <c r="O380" s="30"/>
      <c r="P380" s="39"/>
      <c r="Q380" s="30"/>
      <c r="R380" s="50"/>
      <c r="S380" s="49"/>
    </row>
    <row r="381" spans="1:19" ht="15.75" customHeight="1" x14ac:dyDescent="0.3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84"/>
      <c r="M381" s="84"/>
      <c r="N381" s="84"/>
      <c r="O381" s="30"/>
      <c r="P381" s="39"/>
      <c r="Q381" s="30"/>
      <c r="R381" s="50"/>
      <c r="S381" s="49"/>
    </row>
    <row r="382" spans="1:19" ht="15.75" customHeight="1" x14ac:dyDescent="0.3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84"/>
      <c r="M382" s="84"/>
      <c r="N382" s="84"/>
      <c r="O382" s="30"/>
      <c r="P382" s="39"/>
      <c r="Q382" s="30"/>
      <c r="R382" s="50"/>
      <c r="S382" s="49"/>
    </row>
    <row r="383" spans="1:19" ht="15.75" customHeight="1" x14ac:dyDescent="0.3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84"/>
      <c r="M383" s="84"/>
      <c r="N383" s="84"/>
      <c r="O383" s="30"/>
      <c r="P383" s="39"/>
      <c r="Q383" s="30"/>
      <c r="R383" s="50"/>
      <c r="S383" s="49"/>
    </row>
    <row r="384" spans="1:19" ht="15.75" customHeight="1" x14ac:dyDescent="0.3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84"/>
      <c r="M384" s="84"/>
      <c r="N384" s="84"/>
      <c r="O384" s="30"/>
      <c r="P384" s="39"/>
      <c r="Q384" s="30"/>
      <c r="R384" s="50"/>
      <c r="S384" s="49"/>
    </row>
    <row r="385" spans="1:19" ht="15.75" customHeight="1" x14ac:dyDescent="0.3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84"/>
      <c r="M385" s="84"/>
      <c r="N385" s="84"/>
      <c r="O385" s="30"/>
      <c r="P385" s="39"/>
      <c r="Q385" s="30"/>
      <c r="R385" s="50"/>
      <c r="S385" s="49"/>
    </row>
    <row r="386" spans="1:19" ht="15.75" customHeight="1" x14ac:dyDescent="0.3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84"/>
      <c r="M386" s="84"/>
      <c r="N386" s="84"/>
      <c r="O386" s="30"/>
      <c r="P386" s="39"/>
      <c r="Q386" s="30"/>
      <c r="R386" s="50"/>
      <c r="S386" s="49"/>
    </row>
    <row r="387" spans="1:19" ht="15.75" customHeight="1" x14ac:dyDescent="0.3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84"/>
      <c r="M387" s="84"/>
      <c r="N387" s="84"/>
      <c r="O387" s="30"/>
      <c r="P387" s="39"/>
      <c r="Q387" s="30"/>
      <c r="R387" s="50"/>
      <c r="S387" s="49"/>
    </row>
    <row r="388" spans="1:19" ht="15.75" customHeight="1" x14ac:dyDescent="0.3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84"/>
      <c r="M388" s="84"/>
      <c r="N388" s="84"/>
      <c r="O388" s="30"/>
      <c r="P388" s="39"/>
      <c r="Q388" s="30"/>
      <c r="R388" s="50"/>
      <c r="S388" s="49"/>
    </row>
    <row r="389" spans="1:19" ht="15.75" customHeight="1" x14ac:dyDescent="0.3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84"/>
      <c r="M389" s="84"/>
      <c r="N389" s="84"/>
      <c r="O389" s="30"/>
      <c r="P389" s="39"/>
      <c r="Q389" s="30"/>
      <c r="R389" s="50"/>
      <c r="S389" s="49"/>
    </row>
    <row r="390" spans="1:19" ht="15.75" customHeight="1" x14ac:dyDescent="0.3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84"/>
      <c r="M390" s="84"/>
      <c r="N390" s="84"/>
      <c r="O390" s="30"/>
      <c r="P390" s="39"/>
      <c r="Q390" s="30"/>
      <c r="R390" s="50"/>
      <c r="S390" s="49"/>
    </row>
    <row r="391" spans="1:19" ht="15.75" customHeight="1" x14ac:dyDescent="0.3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84"/>
      <c r="M391" s="84"/>
      <c r="N391" s="84"/>
      <c r="O391" s="30"/>
      <c r="P391" s="39"/>
      <c r="Q391" s="30"/>
      <c r="R391" s="50"/>
      <c r="S391" s="49"/>
    </row>
    <row r="392" spans="1:19" ht="15.75" customHeight="1" x14ac:dyDescent="0.3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84"/>
      <c r="M392" s="84"/>
      <c r="N392" s="84"/>
      <c r="O392" s="30"/>
      <c r="P392" s="39"/>
      <c r="Q392" s="30"/>
      <c r="R392" s="50"/>
      <c r="S392" s="49"/>
    </row>
    <row r="393" spans="1:19" ht="15.75" customHeight="1" x14ac:dyDescent="0.3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84"/>
      <c r="M393" s="84"/>
      <c r="N393" s="84"/>
      <c r="O393" s="30"/>
      <c r="P393" s="39"/>
      <c r="Q393" s="30"/>
      <c r="R393" s="50"/>
      <c r="S393" s="49"/>
    </row>
    <row r="394" spans="1:19" ht="15.75" customHeight="1" x14ac:dyDescent="0.3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84"/>
      <c r="M394" s="84"/>
      <c r="N394" s="84"/>
      <c r="O394" s="30"/>
      <c r="P394" s="39"/>
      <c r="Q394" s="30"/>
      <c r="R394" s="50"/>
      <c r="S394" s="49"/>
    </row>
    <row r="395" spans="1:19" ht="15.75" customHeight="1" x14ac:dyDescent="0.3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84"/>
      <c r="M395" s="84"/>
      <c r="N395" s="84"/>
      <c r="O395" s="30"/>
      <c r="P395" s="39"/>
      <c r="Q395" s="30"/>
      <c r="R395" s="50"/>
      <c r="S395" s="49"/>
    </row>
    <row r="396" spans="1:19" ht="15.75" customHeight="1" x14ac:dyDescent="0.3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84"/>
      <c r="M396" s="84"/>
      <c r="N396" s="84"/>
      <c r="O396" s="30"/>
      <c r="P396" s="39"/>
      <c r="Q396" s="30"/>
      <c r="R396" s="50"/>
      <c r="S396" s="49"/>
    </row>
    <row r="397" spans="1:19" ht="15.75" customHeight="1" x14ac:dyDescent="0.3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84"/>
      <c r="M397" s="84"/>
      <c r="N397" s="84"/>
      <c r="O397" s="30"/>
      <c r="P397" s="39"/>
      <c r="Q397" s="30"/>
      <c r="R397" s="50"/>
      <c r="S397" s="49"/>
    </row>
    <row r="398" spans="1:19" ht="15.75" customHeight="1" x14ac:dyDescent="0.3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84"/>
      <c r="M398" s="84"/>
      <c r="N398" s="84"/>
      <c r="O398" s="30"/>
      <c r="P398" s="39"/>
      <c r="Q398" s="30"/>
      <c r="R398" s="50"/>
      <c r="S398" s="49"/>
    </row>
    <row r="399" spans="1:19" ht="15.75" customHeight="1" x14ac:dyDescent="0.3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84"/>
      <c r="M399" s="84"/>
      <c r="N399" s="84"/>
      <c r="O399" s="30"/>
      <c r="P399" s="39"/>
      <c r="Q399" s="30"/>
      <c r="R399" s="50"/>
      <c r="S399" s="49"/>
    </row>
    <row r="400" spans="1:19" ht="15.75" customHeight="1" x14ac:dyDescent="0.3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84"/>
      <c r="M400" s="84"/>
      <c r="N400" s="84"/>
      <c r="O400" s="30"/>
      <c r="P400" s="39"/>
      <c r="Q400" s="30"/>
      <c r="R400" s="50"/>
      <c r="S400" s="49"/>
    </row>
    <row r="401" spans="1:19" ht="15.75" customHeight="1" x14ac:dyDescent="0.3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84"/>
      <c r="M401" s="84"/>
      <c r="N401" s="84"/>
      <c r="O401" s="30"/>
      <c r="P401" s="39"/>
      <c r="Q401" s="30"/>
      <c r="R401" s="50"/>
      <c r="S401" s="49"/>
    </row>
    <row r="402" spans="1:19" ht="15.75" customHeight="1" x14ac:dyDescent="0.3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84"/>
      <c r="M402" s="84"/>
      <c r="N402" s="84"/>
      <c r="O402" s="30"/>
      <c r="P402" s="39"/>
      <c r="Q402" s="30"/>
      <c r="R402" s="50"/>
      <c r="S402" s="49"/>
    </row>
    <row r="403" spans="1:19" ht="15.75" customHeight="1" x14ac:dyDescent="0.3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84"/>
      <c r="M403" s="84"/>
      <c r="N403" s="84"/>
      <c r="O403" s="30"/>
      <c r="P403" s="39"/>
      <c r="Q403" s="30"/>
      <c r="R403" s="50"/>
      <c r="S403" s="49"/>
    </row>
    <row r="404" spans="1:19" ht="15.75" customHeight="1" x14ac:dyDescent="0.3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84"/>
      <c r="M404" s="84"/>
      <c r="N404" s="84"/>
      <c r="O404" s="30"/>
      <c r="P404" s="39"/>
      <c r="Q404" s="30"/>
      <c r="R404" s="50"/>
      <c r="S404" s="49"/>
    </row>
    <row r="405" spans="1:19" ht="15.75" customHeight="1" x14ac:dyDescent="0.3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84"/>
      <c r="M405" s="84"/>
      <c r="N405" s="84"/>
      <c r="O405" s="30"/>
      <c r="P405" s="39"/>
      <c r="Q405" s="30"/>
      <c r="R405" s="50"/>
      <c r="S405" s="49"/>
    </row>
    <row r="406" spans="1:19" ht="15.75" customHeight="1" x14ac:dyDescent="0.3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84"/>
      <c r="M406" s="84"/>
      <c r="N406" s="84"/>
      <c r="O406" s="30"/>
      <c r="P406" s="39"/>
      <c r="Q406" s="30"/>
      <c r="R406" s="50"/>
      <c r="S406" s="49"/>
    </row>
    <row r="407" spans="1:19" ht="15.75" customHeight="1" x14ac:dyDescent="0.3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84"/>
      <c r="M407" s="84"/>
      <c r="N407" s="84"/>
      <c r="O407" s="30"/>
      <c r="P407" s="39"/>
      <c r="Q407" s="30"/>
      <c r="R407" s="50"/>
      <c r="S407" s="49"/>
    </row>
    <row r="408" spans="1:19" ht="15.75" customHeight="1" x14ac:dyDescent="0.3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84"/>
      <c r="M408" s="84"/>
      <c r="N408" s="84"/>
      <c r="O408" s="30"/>
      <c r="P408" s="39"/>
      <c r="Q408" s="30"/>
      <c r="R408" s="50"/>
      <c r="S408" s="49"/>
    </row>
    <row r="409" spans="1:19" ht="15.75" customHeight="1" x14ac:dyDescent="0.3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84"/>
      <c r="M409" s="84"/>
      <c r="N409" s="84"/>
      <c r="O409" s="30"/>
      <c r="P409" s="39"/>
      <c r="Q409" s="30"/>
      <c r="R409" s="50"/>
      <c r="S409" s="49"/>
    </row>
    <row r="410" spans="1:19" ht="15.75" customHeight="1" x14ac:dyDescent="0.3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84"/>
      <c r="M410" s="84"/>
      <c r="N410" s="84"/>
      <c r="O410" s="30"/>
      <c r="P410" s="39"/>
      <c r="Q410" s="30"/>
      <c r="R410" s="50"/>
      <c r="S410" s="49"/>
    </row>
    <row r="411" spans="1:19" ht="15.75" customHeight="1" x14ac:dyDescent="0.3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84"/>
      <c r="M411" s="84"/>
      <c r="N411" s="84"/>
      <c r="O411" s="30"/>
      <c r="P411" s="39"/>
      <c r="Q411" s="30"/>
      <c r="R411" s="50"/>
      <c r="S411" s="49"/>
    </row>
    <row r="412" spans="1:19" ht="15.75" customHeight="1" x14ac:dyDescent="0.3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84"/>
      <c r="M412" s="84"/>
      <c r="N412" s="84"/>
      <c r="O412" s="30"/>
      <c r="P412" s="39"/>
      <c r="Q412" s="30"/>
      <c r="R412" s="50"/>
      <c r="S412" s="49"/>
    </row>
    <row r="413" spans="1:19" ht="15.75" customHeight="1" x14ac:dyDescent="0.3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84"/>
      <c r="M413" s="84"/>
      <c r="N413" s="84"/>
      <c r="O413" s="30"/>
      <c r="P413" s="39"/>
      <c r="Q413" s="30"/>
      <c r="R413" s="50"/>
      <c r="S413" s="49"/>
    </row>
    <row r="414" spans="1:19" ht="15.75" customHeight="1" x14ac:dyDescent="0.3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84"/>
      <c r="M414" s="84"/>
      <c r="N414" s="84"/>
      <c r="O414" s="30"/>
      <c r="P414" s="39"/>
      <c r="Q414" s="30"/>
      <c r="R414" s="50"/>
      <c r="S414" s="49"/>
    </row>
    <row r="415" spans="1:19" ht="15.75" customHeight="1" x14ac:dyDescent="0.3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84"/>
      <c r="M415" s="84"/>
      <c r="N415" s="84"/>
      <c r="O415" s="30"/>
      <c r="P415" s="39"/>
      <c r="Q415" s="30"/>
      <c r="R415" s="50"/>
      <c r="S415" s="49"/>
    </row>
    <row r="416" spans="1:19" ht="15.75" customHeight="1" x14ac:dyDescent="0.3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84"/>
      <c r="M416" s="84"/>
      <c r="N416" s="84"/>
      <c r="O416" s="30"/>
      <c r="P416" s="39"/>
      <c r="Q416" s="30"/>
      <c r="R416" s="50"/>
      <c r="S416" s="49"/>
    </row>
    <row r="417" spans="1:19" ht="15.75" customHeight="1" x14ac:dyDescent="0.3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84"/>
      <c r="M417" s="84"/>
      <c r="N417" s="84"/>
      <c r="O417" s="30"/>
      <c r="P417" s="39"/>
      <c r="Q417" s="30"/>
      <c r="R417" s="50"/>
      <c r="S417" s="49"/>
    </row>
    <row r="418" spans="1:19" ht="15.75" customHeight="1" x14ac:dyDescent="0.3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84"/>
      <c r="M418" s="84"/>
      <c r="N418" s="84"/>
      <c r="O418" s="30"/>
      <c r="P418" s="39"/>
      <c r="Q418" s="30"/>
      <c r="R418" s="50"/>
      <c r="S418" s="49"/>
    </row>
    <row r="419" spans="1:19" ht="15.75" customHeight="1" x14ac:dyDescent="0.3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84"/>
      <c r="M419" s="84"/>
      <c r="N419" s="84"/>
      <c r="O419" s="30"/>
      <c r="P419" s="39"/>
      <c r="Q419" s="30"/>
      <c r="R419" s="50"/>
      <c r="S419" s="49"/>
    </row>
    <row r="420" spans="1:19" ht="15.75" customHeight="1" x14ac:dyDescent="0.3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84"/>
      <c r="M420" s="84"/>
      <c r="N420" s="84"/>
      <c r="O420" s="30"/>
      <c r="P420" s="39"/>
      <c r="Q420" s="30"/>
      <c r="R420" s="50"/>
      <c r="S420" s="49"/>
    </row>
    <row r="421" spans="1:19" ht="15.75" customHeight="1" x14ac:dyDescent="0.3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84"/>
      <c r="M421" s="84"/>
      <c r="N421" s="84"/>
      <c r="O421" s="30"/>
      <c r="P421" s="39"/>
      <c r="Q421" s="30"/>
      <c r="R421" s="50"/>
      <c r="S421" s="49"/>
    </row>
    <row r="422" spans="1:19" ht="15.75" customHeight="1" x14ac:dyDescent="0.3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84"/>
      <c r="M422" s="84"/>
      <c r="N422" s="84"/>
      <c r="O422" s="30"/>
      <c r="P422" s="39"/>
      <c r="Q422" s="30"/>
      <c r="R422" s="50"/>
      <c r="S422" s="49"/>
    </row>
    <row r="423" spans="1:19" ht="15.75" customHeight="1" x14ac:dyDescent="0.3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84"/>
      <c r="M423" s="84"/>
      <c r="N423" s="84"/>
      <c r="O423" s="30"/>
      <c r="P423" s="39"/>
      <c r="Q423" s="30"/>
      <c r="R423" s="50"/>
      <c r="S423" s="49"/>
    </row>
    <row r="424" spans="1:19" ht="15.75" customHeight="1" x14ac:dyDescent="0.3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84"/>
      <c r="M424" s="84"/>
      <c r="N424" s="84"/>
      <c r="O424" s="30"/>
      <c r="P424" s="39"/>
      <c r="Q424" s="30"/>
      <c r="R424" s="50"/>
      <c r="S424" s="49"/>
    </row>
    <row r="425" spans="1:19" ht="15.75" customHeight="1" x14ac:dyDescent="0.3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84"/>
      <c r="M425" s="84"/>
      <c r="N425" s="84"/>
      <c r="O425" s="30"/>
      <c r="P425" s="39"/>
      <c r="Q425" s="30"/>
      <c r="R425" s="50"/>
      <c r="S425" s="49"/>
    </row>
    <row r="426" spans="1:19" ht="15.75" customHeight="1" x14ac:dyDescent="0.3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84"/>
      <c r="M426" s="84"/>
      <c r="N426" s="84"/>
      <c r="O426" s="30"/>
      <c r="P426" s="39"/>
      <c r="Q426" s="30"/>
      <c r="R426" s="50"/>
      <c r="S426" s="49"/>
    </row>
    <row r="427" spans="1:19" ht="15.75" customHeight="1" x14ac:dyDescent="0.3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84"/>
      <c r="M427" s="84"/>
      <c r="N427" s="84"/>
      <c r="O427" s="30"/>
      <c r="P427" s="39"/>
      <c r="Q427" s="30"/>
      <c r="R427" s="50"/>
      <c r="S427" s="49"/>
    </row>
    <row r="428" spans="1:19" ht="15.75" customHeight="1" x14ac:dyDescent="0.3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84"/>
      <c r="M428" s="84"/>
      <c r="N428" s="84"/>
      <c r="O428" s="30"/>
      <c r="P428" s="39"/>
      <c r="Q428" s="30"/>
      <c r="R428" s="50"/>
      <c r="S428" s="49"/>
    </row>
    <row r="429" spans="1:19" ht="15.75" customHeight="1" x14ac:dyDescent="0.3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84"/>
      <c r="M429" s="84"/>
      <c r="N429" s="84"/>
      <c r="O429" s="30"/>
      <c r="P429" s="39"/>
      <c r="Q429" s="30"/>
      <c r="R429" s="50"/>
      <c r="S429" s="49"/>
    </row>
    <row r="430" spans="1:19" ht="15.75" customHeight="1" x14ac:dyDescent="0.3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84"/>
      <c r="M430" s="84"/>
      <c r="N430" s="84"/>
      <c r="O430" s="30"/>
      <c r="P430" s="39"/>
      <c r="Q430" s="30"/>
      <c r="R430" s="50"/>
      <c r="S430" s="49"/>
    </row>
    <row r="431" spans="1:19" ht="15.75" customHeight="1" x14ac:dyDescent="0.3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84"/>
      <c r="M431" s="84"/>
      <c r="N431" s="84"/>
      <c r="O431" s="30"/>
      <c r="P431" s="39"/>
      <c r="Q431" s="30"/>
      <c r="R431" s="50"/>
      <c r="S431" s="49"/>
    </row>
    <row r="432" spans="1:19" ht="15.75" customHeight="1" x14ac:dyDescent="0.3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84"/>
      <c r="M432" s="84"/>
      <c r="N432" s="84"/>
      <c r="O432" s="30"/>
      <c r="P432" s="39"/>
      <c r="Q432" s="30"/>
      <c r="R432" s="50"/>
      <c r="S432" s="49"/>
    </row>
    <row r="433" spans="1:19" ht="15.75" customHeight="1" x14ac:dyDescent="0.3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84"/>
      <c r="M433" s="84"/>
      <c r="N433" s="84"/>
      <c r="O433" s="30"/>
      <c r="P433" s="39"/>
      <c r="Q433" s="30"/>
      <c r="R433" s="50"/>
      <c r="S433" s="49"/>
    </row>
    <row r="434" spans="1:19" ht="15.75" customHeight="1" x14ac:dyDescent="0.3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84"/>
      <c r="M434" s="84"/>
      <c r="N434" s="84"/>
      <c r="O434" s="30"/>
      <c r="P434" s="39"/>
      <c r="Q434" s="30"/>
      <c r="R434" s="50"/>
      <c r="S434" s="49"/>
    </row>
    <row r="435" spans="1:19" ht="15.75" customHeight="1" x14ac:dyDescent="0.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84"/>
      <c r="M435" s="84"/>
      <c r="N435" s="84"/>
      <c r="O435" s="30"/>
      <c r="P435" s="39"/>
      <c r="Q435" s="30"/>
      <c r="R435" s="50"/>
      <c r="S435" s="49"/>
    </row>
    <row r="436" spans="1:19" ht="15.75" customHeight="1" x14ac:dyDescent="0.3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84"/>
      <c r="M436" s="84"/>
      <c r="N436" s="84"/>
      <c r="O436" s="30"/>
      <c r="P436" s="39"/>
      <c r="Q436" s="30"/>
      <c r="R436" s="50"/>
      <c r="S436" s="49"/>
    </row>
    <row r="437" spans="1:19" ht="15.75" customHeight="1" x14ac:dyDescent="0.3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84"/>
      <c r="M437" s="84"/>
      <c r="N437" s="84"/>
      <c r="O437" s="30"/>
      <c r="P437" s="39"/>
      <c r="Q437" s="30"/>
      <c r="R437" s="50"/>
      <c r="S437" s="49"/>
    </row>
    <row r="438" spans="1:19" ht="15.75" customHeight="1" x14ac:dyDescent="0.3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84"/>
      <c r="M438" s="84"/>
      <c r="N438" s="84"/>
      <c r="O438" s="30"/>
      <c r="P438" s="39"/>
      <c r="Q438" s="30"/>
      <c r="R438" s="50"/>
      <c r="S438" s="49"/>
    </row>
    <row r="439" spans="1:19" ht="15.75" customHeight="1" x14ac:dyDescent="0.3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84"/>
      <c r="M439" s="84"/>
      <c r="N439" s="84"/>
      <c r="O439" s="30"/>
      <c r="P439" s="39"/>
      <c r="Q439" s="30"/>
      <c r="R439" s="50"/>
      <c r="S439" s="49"/>
    </row>
    <row r="440" spans="1:19" ht="15.75" customHeight="1" x14ac:dyDescent="0.3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84"/>
      <c r="M440" s="84"/>
      <c r="N440" s="84"/>
      <c r="O440" s="30"/>
      <c r="P440" s="39"/>
      <c r="Q440" s="30"/>
      <c r="R440" s="50"/>
      <c r="S440" s="49"/>
    </row>
    <row r="441" spans="1:19" ht="15.75" customHeight="1" x14ac:dyDescent="0.3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84"/>
      <c r="M441" s="84"/>
      <c r="N441" s="84"/>
      <c r="O441" s="30"/>
      <c r="P441" s="39"/>
      <c r="Q441" s="30"/>
      <c r="R441" s="50"/>
      <c r="S441" s="49"/>
    </row>
    <row r="442" spans="1:19" ht="15.75" customHeight="1" x14ac:dyDescent="0.3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84"/>
      <c r="M442" s="84"/>
      <c r="N442" s="84"/>
      <c r="O442" s="30"/>
      <c r="P442" s="39"/>
      <c r="Q442" s="30"/>
      <c r="R442" s="50"/>
      <c r="S442" s="49"/>
    </row>
    <row r="443" spans="1:19" ht="15.75" customHeight="1" x14ac:dyDescent="0.3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84"/>
      <c r="M443" s="84"/>
      <c r="N443" s="84"/>
      <c r="O443" s="30"/>
      <c r="P443" s="39"/>
      <c r="Q443" s="30"/>
      <c r="R443" s="50"/>
      <c r="S443" s="49"/>
    </row>
    <row r="444" spans="1:19" ht="15.75" customHeight="1" x14ac:dyDescent="0.3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84"/>
      <c r="M444" s="84"/>
      <c r="N444" s="84"/>
      <c r="O444" s="30"/>
      <c r="P444" s="39"/>
      <c r="Q444" s="30"/>
      <c r="R444" s="50"/>
      <c r="S444" s="49"/>
    </row>
    <row r="445" spans="1:19" ht="15.75" customHeight="1" x14ac:dyDescent="0.3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84"/>
      <c r="M445" s="84"/>
      <c r="N445" s="84"/>
      <c r="O445" s="30"/>
      <c r="P445" s="39"/>
      <c r="Q445" s="30"/>
      <c r="R445" s="50"/>
      <c r="S445" s="49"/>
    </row>
    <row r="446" spans="1:19" ht="15.75" customHeight="1" x14ac:dyDescent="0.3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84"/>
      <c r="M446" s="84"/>
      <c r="N446" s="84"/>
      <c r="O446" s="30"/>
      <c r="P446" s="39"/>
      <c r="Q446" s="30"/>
      <c r="R446" s="50"/>
      <c r="S446" s="49"/>
    </row>
    <row r="447" spans="1:19" ht="15.75" customHeight="1" x14ac:dyDescent="0.3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84"/>
      <c r="M447" s="84"/>
      <c r="N447" s="84"/>
      <c r="O447" s="30"/>
      <c r="P447" s="39"/>
      <c r="Q447" s="30"/>
      <c r="R447" s="50"/>
      <c r="S447" s="49"/>
    </row>
    <row r="448" spans="1:19" ht="15.75" customHeight="1" x14ac:dyDescent="0.3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84"/>
      <c r="M448" s="84"/>
      <c r="N448" s="84"/>
      <c r="O448" s="30"/>
      <c r="P448" s="39"/>
      <c r="Q448" s="30"/>
      <c r="R448" s="50"/>
      <c r="S448" s="49"/>
    </row>
    <row r="449" spans="1:19" ht="15.75" customHeight="1" x14ac:dyDescent="0.3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84"/>
      <c r="M449" s="84"/>
      <c r="N449" s="84"/>
      <c r="O449" s="30"/>
      <c r="P449" s="39"/>
      <c r="Q449" s="30"/>
      <c r="R449" s="50"/>
      <c r="S449" s="49"/>
    </row>
    <row r="450" spans="1:19" ht="15.75" customHeight="1" x14ac:dyDescent="0.3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84"/>
      <c r="M450" s="84"/>
      <c r="N450" s="84"/>
      <c r="O450" s="30"/>
      <c r="P450" s="39"/>
      <c r="Q450" s="30"/>
      <c r="R450" s="50"/>
      <c r="S450" s="49"/>
    </row>
    <row r="451" spans="1:19" ht="15.75" customHeight="1" x14ac:dyDescent="0.3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84"/>
      <c r="M451" s="84"/>
      <c r="N451" s="84"/>
      <c r="O451" s="30"/>
      <c r="P451" s="39"/>
      <c r="Q451" s="30"/>
      <c r="R451" s="50"/>
      <c r="S451" s="49"/>
    </row>
    <row r="452" spans="1:19" ht="15.75" customHeight="1" x14ac:dyDescent="0.3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84"/>
      <c r="M452" s="84"/>
      <c r="N452" s="84"/>
      <c r="O452" s="30"/>
      <c r="P452" s="39"/>
      <c r="Q452" s="30"/>
      <c r="R452" s="50"/>
      <c r="S452" s="49"/>
    </row>
    <row r="453" spans="1:19" ht="15.75" customHeight="1" x14ac:dyDescent="0.3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84"/>
      <c r="M453" s="84"/>
      <c r="N453" s="84"/>
      <c r="O453" s="30"/>
      <c r="P453" s="39"/>
      <c r="Q453" s="30"/>
      <c r="R453" s="50"/>
      <c r="S453" s="49"/>
    </row>
    <row r="454" spans="1:19" ht="15.75" customHeight="1" x14ac:dyDescent="0.3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84"/>
      <c r="M454" s="84"/>
      <c r="N454" s="84"/>
      <c r="O454" s="30"/>
      <c r="P454" s="39"/>
      <c r="Q454" s="30"/>
      <c r="R454" s="50"/>
      <c r="S454" s="49"/>
    </row>
    <row r="455" spans="1:19" ht="15.75" customHeight="1" x14ac:dyDescent="0.3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84"/>
      <c r="M455" s="84"/>
      <c r="N455" s="84"/>
      <c r="O455" s="30"/>
      <c r="P455" s="39"/>
      <c r="Q455" s="30"/>
      <c r="R455" s="50"/>
      <c r="S455" s="49"/>
    </row>
    <row r="456" spans="1:19" ht="15.75" customHeight="1" x14ac:dyDescent="0.3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84"/>
      <c r="M456" s="84"/>
      <c r="N456" s="84"/>
      <c r="O456" s="30"/>
      <c r="P456" s="39"/>
      <c r="Q456" s="30"/>
      <c r="R456" s="50"/>
      <c r="S456" s="49"/>
    </row>
    <row r="457" spans="1:19" ht="15.75" customHeight="1" x14ac:dyDescent="0.3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84"/>
      <c r="M457" s="84"/>
      <c r="N457" s="84"/>
      <c r="O457" s="30"/>
      <c r="P457" s="39"/>
      <c r="Q457" s="30"/>
      <c r="R457" s="50"/>
      <c r="S457" s="49"/>
    </row>
    <row r="458" spans="1:19" ht="15.75" customHeight="1" x14ac:dyDescent="0.3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84"/>
      <c r="M458" s="84"/>
      <c r="N458" s="84"/>
      <c r="O458" s="30"/>
      <c r="P458" s="39"/>
      <c r="Q458" s="30"/>
      <c r="R458" s="50"/>
      <c r="S458" s="49"/>
    </row>
    <row r="459" spans="1:19" ht="15.75" customHeight="1" x14ac:dyDescent="0.3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84"/>
      <c r="M459" s="84"/>
      <c r="N459" s="84"/>
      <c r="O459" s="30"/>
      <c r="P459" s="39"/>
      <c r="Q459" s="30"/>
      <c r="R459" s="50"/>
      <c r="S459" s="49"/>
    </row>
    <row r="460" spans="1:19" ht="15.75" customHeight="1" x14ac:dyDescent="0.3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84"/>
      <c r="M460" s="84"/>
      <c r="N460" s="84"/>
      <c r="O460" s="30"/>
      <c r="P460" s="39"/>
      <c r="Q460" s="30"/>
      <c r="R460" s="50"/>
      <c r="S460" s="49"/>
    </row>
    <row r="461" spans="1:19" ht="15.75" customHeight="1" x14ac:dyDescent="0.3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84"/>
      <c r="M461" s="84"/>
      <c r="N461" s="84"/>
      <c r="O461" s="30"/>
      <c r="P461" s="39"/>
      <c r="Q461" s="30"/>
      <c r="R461" s="50"/>
      <c r="S461" s="49"/>
    </row>
    <row r="462" spans="1:19" ht="15.75" customHeight="1" x14ac:dyDescent="0.3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84"/>
      <c r="M462" s="84"/>
      <c r="N462" s="84"/>
      <c r="O462" s="30"/>
      <c r="P462" s="39"/>
      <c r="Q462" s="30"/>
      <c r="R462" s="50"/>
      <c r="S462" s="49"/>
    </row>
    <row r="463" spans="1:19" ht="15.75" customHeight="1" x14ac:dyDescent="0.3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84"/>
      <c r="M463" s="84"/>
      <c r="N463" s="84"/>
      <c r="O463" s="30"/>
      <c r="P463" s="39"/>
      <c r="Q463" s="30"/>
      <c r="R463" s="50"/>
      <c r="S463" s="49"/>
    </row>
    <row r="464" spans="1:19" ht="15.75" customHeight="1" x14ac:dyDescent="0.3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84"/>
      <c r="M464" s="84"/>
      <c r="N464" s="84"/>
      <c r="O464" s="30"/>
      <c r="P464" s="39"/>
      <c r="Q464" s="30"/>
      <c r="R464" s="50"/>
      <c r="S464" s="49"/>
    </row>
    <row r="465" spans="1:19" ht="15.75" customHeight="1" x14ac:dyDescent="0.3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84"/>
      <c r="M465" s="84"/>
      <c r="N465" s="84"/>
      <c r="O465" s="30"/>
      <c r="P465" s="39"/>
      <c r="Q465" s="30"/>
      <c r="R465" s="50"/>
      <c r="S465" s="49"/>
    </row>
    <row r="466" spans="1:19" ht="15.75" customHeight="1" x14ac:dyDescent="0.3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84"/>
      <c r="M466" s="84"/>
      <c r="N466" s="84"/>
      <c r="O466" s="30"/>
      <c r="P466" s="39"/>
      <c r="Q466" s="30"/>
      <c r="R466" s="50"/>
      <c r="S466" s="49"/>
    </row>
    <row r="467" spans="1:19" ht="15.75" customHeight="1" x14ac:dyDescent="0.3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84"/>
      <c r="M467" s="84"/>
      <c r="N467" s="84"/>
      <c r="O467" s="30"/>
      <c r="P467" s="39"/>
      <c r="Q467" s="30"/>
      <c r="R467" s="50"/>
      <c r="S467" s="49"/>
    </row>
    <row r="468" spans="1:19" ht="15.75" customHeight="1" x14ac:dyDescent="0.3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84"/>
      <c r="M468" s="84"/>
      <c r="N468" s="84"/>
      <c r="O468" s="30"/>
      <c r="P468" s="39"/>
      <c r="Q468" s="30"/>
      <c r="R468" s="50"/>
      <c r="S468" s="49"/>
    </row>
    <row r="469" spans="1:19" ht="15.75" customHeight="1" x14ac:dyDescent="0.3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84"/>
      <c r="M469" s="84"/>
      <c r="N469" s="84"/>
      <c r="O469" s="30"/>
      <c r="P469" s="39"/>
      <c r="Q469" s="30"/>
      <c r="R469" s="50"/>
      <c r="S469" s="49"/>
    </row>
    <row r="470" spans="1:19" ht="15.75" customHeight="1" x14ac:dyDescent="0.3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84"/>
      <c r="M470" s="84"/>
      <c r="N470" s="84"/>
      <c r="O470" s="30"/>
      <c r="P470" s="39"/>
      <c r="Q470" s="30"/>
      <c r="R470" s="50"/>
      <c r="S470" s="49"/>
    </row>
    <row r="471" spans="1:19" ht="15.75" customHeight="1" x14ac:dyDescent="0.3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84"/>
      <c r="M471" s="84"/>
      <c r="N471" s="84"/>
      <c r="O471" s="30"/>
      <c r="P471" s="39"/>
      <c r="Q471" s="30"/>
      <c r="R471" s="50"/>
      <c r="S471" s="49"/>
    </row>
    <row r="472" spans="1:19" ht="15.75" customHeight="1" x14ac:dyDescent="0.3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84"/>
      <c r="M472" s="84"/>
      <c r="N472" s="84"/>
      <c r="O472" s="30"/>
      <c r="P472" s="39"/>
      <c r="Q472" s="30"/>
      <c r="R472" s="50"/>
      <c r="S472" s="49"/>
    </row>
    <row r="473" spans="1:19" ht="15.75" customHeight="1" x14ac:dyDescent="0.3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84"/>
      <c r="M473" s="84"/>
      <c r="N473" s="84"/>
      <c r="O473" s="30"/>
      <c r="P473" s="39"/>
      <c r="Q473" s="30"/>
      <c r="R473" s="50"/>
      <c r="S473" s="49"/>
    </row>
    <row r="474" spans="1:19" ht="15.75" customHeight="1" x14ac:dyDescent="0.3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84"/>
      <c r="M474" s="84"/>
      <c r="N474" s="84"/>
      <c r="O474" s="30"/>
      <c r="P474" s="39"/>
      <c r="Q474" s="30"/>
      <c r="R474" s="50"/>
      <c r="S474" s="49"/>
    </row>
    <row r="475" spans="1:19" ht="15.75" customHeight="1" x14ac:dyDescent="0.3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84"/>
      <c r="M475" s="84"/>
      <c r="N475" s="84"/>
      <c r="O475" s="30"/>
      <c r="P475" s="39"/>
      <c r="Q475" s="30"/>
      <c r="R475" s="50"/>
      <c r="S475" s="49"/>
    </row>
    <row r="476" spans="1:19" ht="15.75" customHeight="1" x14ac:dyDescent="0.3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84"/>
      <c r="M476" s="84"/>
      <c r="N476" s="84"/>
      <c r="O476" s="30"/>
      <c r="P476" s="39"/>
      <c r="Q476" s="30"/>
      <c r="R476" s="50"/>
      <c r="S476" s="49"/>
    </row>
    <row r="477" spans="1:19" ht="15.75" customHeight="1" x14ac:dyDescent="0.3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84"/>
      <c r="M477" s="84"/>
      <c r="N477" s="84"/>
      <c r="O477" s="30"/>
      <c r="P477" s="39"/>
      <c r="Q477" s="30"/>
      <c r="R477" s="50"/>
      <c r="S477" s="49"/>
    </row>
    <row r="478" spans="1:19" ht="15.75" customHeight="1" x14ac:dyDescent="0.3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84"/>
      <c r="M478" s="84"/>
      <c r="N478" s="84"/>
      <c r="O478" s="30"/>
      <c r="P478" s="39"/>
      <c r="Q478" s="30"/>
      <c r="R478" s="50"/>
      <c r="S478" s="49"/>
    </row>
    <row r="479" spans="1:19" ht="15.75" customHeight="1" x14ac:dyDescent="0.3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84"/>
      <c r="M479" s="84"/>
      <c r="N479" s="84"/>
      <c r="O479" s="30"/>
      <c r="P479" s="39"/>
      <c r="Q479" s="30"/>
      <c r="R479" s="50"/>
      <c r="S479" s="49"/>
    </row>
    <row r="480" spans="1:19" ht="15.75" customHeight="1" x14ac:dyDescent="0.3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84"/>
      <c r="M480" s="84"/>
      <c r="N480" s="84"/>
      <c r="O480" s="30"/>
      <c r="P480" s="39"/>
      <c r="Q480" s="30"/>
      <c r="R480" s="50"/>
      <c r="S480" s="49"/>
    </row>
    <row r="481" spans="1:19" ht="15.75" customHeight="1" x14ac:dyDescent="0.3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84"/>
      <c r="M481" s="84"/>
      <c r="N481" s="84"/>
      <c r="O481" s="30"/>
      <c r="P481" s="39"/>
      <c r="Q481" s="30"/>
      <c r="R481" s="50"/>
      <c r="S481" s="49"/>
    </row>
    <row r="482" spans="1:19" ht="15.75" customHeight="1" x14ac:dyDescent="0.3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84"/>
      <c r="M482" s="84"/>
      <c r="N482" s="84"/>
      <c r="O482" s="30"/>
      <c r="P482" s="39"/>
      <c r="Q482" s="30"/>
      <c r="R482" s="50"/>
      <c r="S482" s="49"/>
    </row>
    <row r="483" spans="1:19" ht="15.75" customHeight="1" x14ac:dyDescent="0.3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84"/>
      <c r="M483" s="84"/>
      <c r="N483" s="84"/>
      <c r="O483" s="30"/>
      <c r="P483" s="39"/>
      <c r="Q483" s="30"/>
      <c r="R483" s="50"/>
      <c r="S483" s="49"/>
    </row>
    <row r="484" spans="1:19" ht="15.75" customHeight="1" x14ac:dyDescent="0.3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84"/>
      <c r="M484" s="84"/>
      <c r="N484" s="84"/>
      <c r="O484" s="30"/>
      <c r="P484" s="39"/>
      <c r="Q484" s="30"/>
      <c r="R484" s="50"/>
      <c r="S484" s="49"/>
    </row>
    <row r="485" spans="1:19" ht="15.75" customHeight="1" x14ac:dyDescent="0.3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84"/>
      <c r="M485" s="84"/>
      <c r="N485" s="84"/>
      <c r="O485" s="30"/>
      <c r="P485" s="39"/>
      <c r="Q485" s="30"/>
      <c r="R485" s="50"/>
      <c r="S485" s="49"/>
    </row>
    <row r="486" spans="1:19" ht="15.75" customHeight="1" x14ac:dyDescent="0.3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84"/>
      <c r="M486" s="84"/>
      <c r="N486" s="84"/>
      <c r="O486" s="30"/>
      <c r="P486" s="39"/>
      <c r="Q486" s="30"/>
      <c r="R486" s="50"/>
      <c r="S486" s="49"/>
    </row>
    <row r="487" spans="1:19" ht="15.75" customHeight="1" x14ac:dyDescent="0.3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84"/>
      <c r="M487" s="84"/>
      <c r="N487" s="84"/>
      <c r="O487" s="30"/>
      <c r="P487" s="39"/>
      <c r="Q487" s="30"/>
      <c r="R487" s="50"/>
      <c r="S487" s="49"/>
    </row>
    <row r="488" spans="1:19" ht="15.75" customHeight="1" x14ac:dyDescent="0.3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84"/>
      <c r="M488" s="84"/>
      <c r="N488" s="84"/>
      <c r="O488" s="30"/>
      <c r="P488" s="39"/>
      <c r="Q488" s="30"/>
      <c r="R488" s="50"/>
      <c r="S488" s="49"/>
    </row>
    <row r="489" spans="1:19" ht="15.75" customHeight="1" x14ac:dyDescent="0.3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84"/>
      <c r="M489" s="84"/>
      <c r="N489" s="84"/>
      <c r="O489" s="30"/>
      <c r="P489" s="39"/>
      <c r="Q489" s="30"/>
      <c r="R489" s="50"/>
      <c r="S489" s="49"/>
    </row>
    <row r="490" spans="1:19" ht="15.75" customHeight="1" x14ac:dyDescent="0.3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84"/>
      <c r="M490" s="84"/>
      <c r="N490" s="84"/>
      <c r="O490" s="30"/>
      <c r="P490" s="39"/>
      <c r="Q490" s="30"/>
      <c r="R490" s="50"/>
      <c r="S490" s="49"/>
    </row>
    <row r="491" spans="1:19" ht="15.75" customHeight="1" x14ac:dyDescent="0.3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84"/>
      <c r="M491" s="84"/>
      <c r="N491" s="84"/>
      <c r="O491" s="30"/>
      <c r="P491" s="39"/>
      <c r="Q491" s="30"/>
      <c r="R491" s="50"/>
      <c r="S491" s="49"/>
    </row>
    <row r="492" spans="1:19" ht="15.75" customHeight="1" x14ac:dyDescent="0.3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84"/>
      <c r="M492" s="84"/>
      <c r="N492" s="84"/>
      <c r="O492" s="30"/>
      <c r="P492" s="39"/>
      <c r="Q492" s="30"/>
      <c r="R492" s="50"/>
      <c r="S492" s="49"/>
    </row>
    <row r="493" spans="1:19" ht="15.75" customHeight="1" x14ac:dyDescent="0.3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84"/>
      <c r="M493" s="84"/>
      <c r="N493" s="84"/>
      <c r="O493" s="30"/>
      <c r="P493" s="39"/>
      <c r="Q493" s="30"/>
      <c r="R493" s="50"/>
      <c r="S493" s="49"/>
    </row>
    <row r="494" spans="1:19" ht="15.75" customHeight="1" x14ac:dyDescent="0.3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84"/>
      <c r="M494" s="84"/>
      <c r="N494" s="84"/>
      <c r="O494" s="30"/>
      <c r="P494" s="39"/>
      <c r="Q494" s="30"/>
      <c r="R494" s="50"/>
      <c r="S494" s="49"/>
    </row>
    <row r="495" spans="1:19" ht="15.75" customHeight="1" x14ac:dyDescent="0.3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84"/>
      <c r="M495" s="84"/>
      <c r="N495" s="84"/>
      <c r="O495" s="30"/>
      <c r="P495" s="39"/>
      <c r="Q495" s="30"/>
      <c r="R495" s="50"/>
      <c r="S495" s="49"/>
    </row>
    <row r="496" spans="1:19" ht="15.75" customHeight="1" x14ac:dyDescent="0.3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84"/>
      <c r="M496" s="84"/>
      <c r="N496" s="84"/>
      <c r="O496" s="30"/>
      <c r="P496" s="39"/>
      <c r="Q496" s="30"/>
      <c r="R496" s="50"/>
      <c r="S496" s="49"/>
    </row>
    <row r="497" spans="1:19" ht="15.75" customHeight="1" x14ac:dyDescent="0.3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84"/>
      <c r="M497" s="84"/>
      <c r="N497" s="84"/>
      <c r="O497" s="30"/>
      <c r="P497" s="39"/>
      <c r="Q497" s="30"/>
      <c r="R497" s="50"/>
      <c r="S497" s="49"/>
    </row>
    <row r="498" spans="1:19" ht="15.75" customHeight="1" x14ac:dyDescent="0.3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84"/>
      <c r="M498" s="84"/>
      <c r="N498" s="84"/>
      <c r="O498" s="30"/>
      <c r="P498" s="39"/>
      <c r="Q498" s="30"/>
      <c r="R498" s="50"/>
      <c r="S498" s="49"/>
    </row>
    <row r="499" spans="1:19" ht="15.75" customHeight="1" x14ac:dyDescent="0.3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84"/>
      <c r="M499" s="84"/>
      <c r="N499" s="84"/>
      <c r="O499" s="30"/>
      <c r="P499" s="39"/>
      <c r="Q499" s="30"/>
      <c r="R499" s="50"/>
      <c r="S499" s="49"/>
    </row>
    <row r="500" spans="1:19" ht="15.75" customHeight="1" x14ac:dyDescent="0.3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84"/>
      <c r="M500" s="84"/>
      <c r="N500" s="84"/>
      <c r="O500" s="30"/>
      <c r="P500" s="39"/>
      <c r="Q500" s="30"/>
      <c r="R500" s="50"/>
      <c r="S500" s="49"/>
    </row>
    <row r="501" spans="1:19" ht="15.75" customHeight="1" x14ac:dyDescent="0.3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84"/>
      <c r="M501" s="84"/>
      <c r="N501" s="84"/>
      <c r="O501" s="30"/>
      <c r="P501" s="39"/>
      <c r="Q501" s="30"/>
      <c r="R501" s="50"/>
      <c r="S501" s="49"/>
    </row>
    <row r="502" spans="1:19" ht="15.75" customHeight="1" x14ac:dyDescent="0.3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84"/>
      <c r="M502" s="84"/>
      <c r="N502" s="84"/>
      <c r="O502" s="30"/>
      <c r="P502" s="39"/>
      <c r="Q502" s="30"/>
      <c r="R502" s="50"/>
      <c r="S502" s="49"/>
    </row>
    <row r="503" spans="1:19" ht="15.75" customHeight="1" x14ac:dyDescent="0.3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84"/>
      <c r="M503" s="84"/>
      <c r="N503" s="84"/>
      <c r="O503" s="30"/>
      <c r="P503" s="39"/>
      <c r="Q503" s="30"/>
      <c r="R503" s="50"/>
      <c r="S503" s="49"/>
    </row>
    <row r="504" spans="1:19" ht="15.75" customHeight="1" x14ac:dyDescent="0.3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84"/>
      <c r="M504" s="84"/>
      <c r="N504" s="84"/>
      <c r="O504" s="30"/>
      <c r="P504" s="39"/>
      <c r="Q504" s="30"/>
      <c r="R504" s="50"/>
      <c r="S504" s="49"/>
    </row>
    <row r="505" spans="1:19" ht="15.75" customHeight="1" x14ac:dyDescent="0.3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84"/>
      <c r="M505" s="84"/>
      <c r="N505" s="84"/>
      <c r="O505" s="30"/>
      <c r="P505" s="39"/>
      <c r="Q505" s="30"/>
      <c r="R505" s="50"/>
      <c r="S505" s="49"/>
    </row>
    <row r="506" spans="1:19" ht="15.75" customHeight="1" x14ac:dyDescent="0.3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84"/>
      <c r="M506" s="84"/>
      <c r="N506" s="84"/>
      <c r="O506" s="30"/>
      <c r="P506" s="39"/>
      <c r="Q506" s="30"/>
      <c r="R506" s="50"/>
      <c r="S506" s="49"/>
    </row>
    <row r="507" spans="1:19" ht="15.75" customHeight="1" x14ac:dyDescent="0.3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84"/>
      <c r="M507" s="84"/>
      <c r="N507" s="84"/>
      <c r="O507" s="30"/>
      <c r="P507" s="39"/>
      <c r="Q507" s="30"/>
      <c r="R507" s="50"/>
      <c r="S507" s="49"/>
    </row>
    <row r="508" spans="1:19" ht="15.75" customHeight="1" x14ac:dyDescent="0.3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84"/>
      <c r="M508" s="84"/>
      <c r="N508" s="84"/>
      <c r="O508" s="30"/>
      <c r="P508" s="39"/>
      <c r="Q508" s="30"/>
      <c r="R508" s="50"/>
      <c r="S508" s="49"/>
    </row>
    <row r="509" spans="1:19" ht="15.75" customHeight="1" x14ac:dyDescent="0.3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84"/>
      <c r="M509" s="84"/>
      <c r="N509" s="84"/>
      <c r="O509" s="30"/>
      <c r="P509" s="39"/>
      <c r="Q509" s="30"/>
      <c r="R509" s="50"/>
      <c r="S509" s="49"/>
    </row>
    <row r="510" spans="1:19" ht="15.75" customHeight="1" x14ac:dyDescent="0.3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84"/>
      <c r="M510" s="84"/>
      <c r="N510" s="84"/>
      <c r="O510" s="30"/>
      <c r="P510" s="39"/>
      <c r="Q510" s="30"/>
      <c r="R510" s="50"/>
      <c r="S510" s="49"/>
    </row>
    <row r="511" spans="1:19" ht="15.75" customHeight="1" x14ac:dyDescent="0.3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84"/>
      <c r="M511" s="84"/>
      <c r="N511" s="84"/>
      <c r="O511" s="30"/>
      <c r="P511" s="39"/>
      <c r="Q511" s="30"/>
      <c r="R511" s="50"/>
      <c r="S511" s="49"/>
    </row>
    <row r="512" spans="1:19" ht="15.75" customHeight="1" x14ac:dyDescent="0.3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84"/>
      <c r="M512" s="84"/>
      <c r="N512" s="84"/>
      <c r="O512" s="30"/>
      <c r="P512" s="39"/>
      <c r="Q512" s="30"/>
      <c r="R512" s="50"/>
      <c r="S512" s="49"/>
    </row>
    <row r="513" spans="1:19" ht="15.75" customHeight="1" x14ac:dyDescent="0.3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84"/>
      <c r="M513" s="84"/>
      <c r="N513" s="84"/>
      <c r="O513" s="30"/>
      <c r="P513" s="39"/>
      <c r="Q513" s="30"/>
      <c r="R513" s="50"/>
      <c r="S513" s="49"/>
    </row>
    <row r="514" spans="1:19" ht="15.75" customHeight="1" x14ac:dyDescent="0.3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84"/>
      <c r="M514" s="84"/>
      <c r="N514" s="84"/>
      <c r="O514" s="30"/>
      <c r="P514" s="39"/>
      <c r="Q514" s="30"/>
      <c r="R514" s="50"/>
      <c r="S514" s="49"/>
    </row>
    <row r="515" spans="1:19" ht="15.75" customHeight="1" x14ac:dyDescent="0.3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84"/>
      <c r="M515" s="84"/>
      <c r="N515" s="84"/>
      <c r="O515" s="30"/>
      <c r="P515" s="39"/>
      <c r="Q515" s="30"/>
      <c r="R515" s="50"/>
      <c r="S515" s="49"/>
    </row>
    <row r="516" spans="1:19" ht="15.75" customHeight="1" x14ac:dyDescent="0.3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84"/>
      <c r="M516" s="84"/>
      <c r="N516" s="84"/>
      <c r="O516" s="30"/>
      <c r="P516" s="39"/>
      <c r="Q516" s="30"/>
      <c r="R516" s="50"/>
      <c r="S516" s="49"/>
    </row>
    <row r="517" spans="1:19" ht="15.75" customHeight="1" x14ac:dyDescent="0.3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84"/>
      <c r="M517" s="84"/>
      <c r="N517" s="84"/>
      <c r="O517" s="30"/>
      <c r="P517" s="39"/>
      <c r="Q517" s="30"/>
      <c r="R517" s="50"/>
      <c r="S517" s="49"/>
    </row>
    <row r="518" spans="1:19" ht="15.75" customHeight="1" x14ac:dyDescent="0.3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84"/>
      <c r="M518" s="84"/>
      <c r="N518" s="84"/>
      <c r="O518" s="30"/>
      <c r="P518" s="39"/>
      <c r="Q518" s="30"/>
      <c r="R518" s="50"/>
      <c r="S518" s="49"/>
    </row>
    <row r="519" spans="1:19" ht="15.75" customHeight="1" x14ac:dyDescent="0.3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84"/>
      <c r="M519" s="84"/>
      <c r="N519" s="84"/>
      <c r="O519" s="30"/>
      <c r="P519" s="39"/>
      <c r="Q519" s="30"/>
      <c r="R519" s="50"/>
      <c r="S519" s="49"/>
    </row>
    <row r="520" spans="1:19" ht="15.75" customHeight="1" x14ac:dyDescent="0.3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84"/>
      <c r="M520" s="84"/>
      <c r="N520" s="84"/>
      <c r="O520" s="30"/>
      <c r="P520" s="39"/>
      <c r="Q520" s="30"/>
      <c r="R520" s="50"/>
      <c r="S520" s="49"/>
    </row>
    <row r="521" spans="1:19" ht="15.75" customHeight="1" x14ac:dyDescent="0.3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84"/>
      <c r="M521" s="84"/>
      <c r="N521" s="84"/>
      <c r="O521" s="30"/>
      <c r="P521" s="39"/>
      <c r="Q521" s="30"/>
      <c r="R521" s="50"/>
      <c r="S521" s="49"/>
    </row>
    <row r="522" spans="1:19" ht="15.75" customHeight="1" x14ac:dyDescent="0.3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84"/>
      <c r="M522" s="84"/>
      <c r="N522" s="84"/>
      <c r="O522" s="30"/>
      <c r="P522" s="39"/>
      <c r="Q522" s="30"/>
      <c r="R522" s="50"/>
      <c r="S522" s="49"/>
    </row>
    <row r="523" spans="1:19" ht="15.75" customHeight="1" x14ac:dyDescent="0.3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84"/>
      <c r="M523" s="84"/>
      <c r="N523" s="84"/>
      <c r="O523" s="30"/>
      <c r="P523" s="39"/>
      <c r="Q523" s="30"/>
      <c r="R523" s="50"/>
      <c r="S523" s="49"/>
    </row>
    <row r="524" spans="1:19" ht="15.75" customHeight="1" x14ac:dyDescent="0.3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84"/>
      <c r="M524" s="84"/>
      <c r="N524" s="84"/>
      <c r="O524" s="30"/>
      <c r="P524" s="39"/>
      <c r="Q524" s="30"/>
      <c r="R524" s="50"/>
      <c r="S524" s="49"/>
    </row>
    <row r="525" spans="1:19" ht="15.75" customHeight="1" x14ac:dyDescent="0.3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84"/>
      <c r="M525" s="84"/>
      <c r="N525" s="84"/>
      <c r="O525" s="30"/>
      <c r="P525" s="39"/>
      <c r="Q525" s="30"/>
      <c r="R525" s="50"/>
      <c r="S525" s="49"/>
    </row>
    <row r="526" spans="1:19" ht="15.75" customHeight="1" x14ac:dyDescent="0.3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84"/>
      <c r="M526" s="84"/>
      <c r="N526" s="84"/>
      <c r="O526" s="30"/>
      <c r="P526" s="39"/>
      <c r="Q526" s="30"/>
      <c r="R526" s="50"/>
      <c r="S526" s="49"/>
    </row>
    <row r="527" spans="1:19" ht="15.75" customHeight="1" x14ac:dyDescent="0.3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84"/>
      <c r="M527" s="84"/>
      <c r="N527" s="84"/>
      <c r="O527" s="30"/>
      <c r="P527" s="39"/>
      <c r="Q527" s="30"/>
      <c r="R527" s="50"/>
      <c r="S527" s="49"/>
    </row>
    <row r="528" spans="1:19" ht="15.75" customHeight="1" x14ac:dyDescent="0.3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84"/>
      <c r="M528" s="84"/>
      <c r="N528" s="84"/>
      <c r="O528" s="30"/>
      <c r="P528" s="39"/>
      <c r="Q528" s="30"/>
      <c r="R528" s="50"/>
      <c r="S528" s="49"/>
    </row>
    <row r="529" spans="1:19" ht="15.75" customHeight="1" x14ac:dyDescent="0.3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84"/>
      <c r="M529" s="84"/>
      <c r="N529" s="84"/>
      <c r="O529" s="30"/>
      <c r="P529" s="39"/>
      <c r="Q529" s="30"/>
      <c r="R529" s="50"/>
      <c r="S529" s="49"/>
    </row>
    <row r="530" spans="1:19" ht="15.75" customHeight="1" x14ac:dyDescent="0.3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84"/>
      <c r="M530" s="84"/>
      <c r="N530" s="84"/>
      <c r="O530" s="30"/>
      <c r="P530" s="39"/>
      <c r="Q530" s="30"/>
      <c r="R530" s="50"/>
      <c r="S530" s="49"/>
    </row>
    <row r="531" spans="1:19" ht="15.75" customHeight="1" x14ac:dyDescent="0.3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84"/>
      <c r="M531" s="84"/>
      <c r="N531" s="84"/>
      <c r="O531" s="30"/>
      <c r="P531" s="39"/>
      <c r="Q531" s="30"/>
      <c r="R531" s="50"/>
      <c r="S531" s="49"/>
    </row>
    <row r="532" spans="1:19" ht="15.75" customHeight="1" x14ac:dyDescent="0.3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84"/>
      <c r="M532" s="84"/>
      <c r="N532" s="84"/>
      <c r="O532" s="30"/>
      <c r="P532" s="39"/>
      <c r="Q532" s="30"/>
      <c r="R532" s="50"/>
      <c r="S532" s="49"/>
    </row>
    <row r="533" spans="1:19" ht="15.75" customHeight="1" x14ac:dyDescent="0.3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84"/>
      <c r="M533" s="84"/>
      <c r="N533" s="84"/>
      <c r="O533" s="30"/>
      <c r="P533" s="39"/>
      <c r="Q533" s="30"/>
      <c r="R533" s="50"/>
      <c r="S533" s="49"/>
    </row>
    <row r="534" spans="1:19" ht="15.75" customHeight="1" x14ac:dyDescent="0.3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84"/>
      <c r="M534" s="84"/>
      <c r="N534" s="84"/>
      <c r="O534" s="30"/>
      <c r="P534" s="39"/>
      <c r="Q534" s="30"/>
      <c r="R534" s="50"/>
      <c r="S534" s="49"/>
    </row>
    <row r="535" spans="1:19" ht="15.75" customHeight="1" x14ac:dyDescent="0.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84"/>
      <c r="M535" s="84"/>
      <c r="N535" s="84"/>
      <c r="O535" s="30"/>
      <c r="P535" s="39"/>
      <c r="Q535" s="30"/>
      <c r="R535" s="50"/>
      <c r="S535" s="49"/>
    </row>
    <row r="536" spans="1:19" ht="15.75" customHeight="1" x14ac:dyDescent="0.3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84"/>
      <c r="M536" s="84"/>
      <c r="N536" s="84"/>
      <c r="O536" s="30"/>
      <c r="P536" s="39"/>
      <c r="Q536" s="30"/>
      <c r="R536" s="50"/>
      <c r="S536" s="49"/>
    </row>
    <row r="537" spans="1:19" ht="15.75" customHeight="1" x14ac:dyDescent="0.3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84"/>
      <c r="M537" s="84"/>
      <c r="N537" s="84"/>
      <c r="O537" s="30"/>
      <c r="P537" s="39"/>
      <c r="Q537" s="30"/>
      <c r="R537" s="50"/>
      <c r="S537" s="49"/>
    </row>
    <row r="538" spans="1:19" ht="15.75" customHeight="1" x14ac:dyDescent="0.3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84"/>
      <c r="M538" s="84"/>
      <c r="N538" s="84"/>
      <c r="O538" s="30"/>
      <c r="P538" s="39"/>
      <c r="Q538" s="30"/>
      <c r="R538" s="50"/>
      <c r="S538" s="49"/>
    </row>
    <row r="539" spans="1:19" ht="15.75" customHeight="1" x14ac:dyDescent="0.3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84"/>
      <c r="M539" s="84"/>
      <c r="N539" s="84"/>
      <c r="O539" s="30"/>
      <c r="P539" s="39"/>
      <c r="Q539" s="30"/>
      <c r="R539" s="50"/>
      <c r="S539" s="49"/>
    </row>
    <row r="540" spans="1:19" ht="15.75" customHeight="1" x14ac:dyDescent="0.3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84"/>
      <c r="M540" s="84"/>
      <c r="N540" s="84"/>
      <c r="O540" s="30"/>
      <c r="P540" s="39"/>
      <c r="Q540" s="30"/>
      <c r="R540" s="50"/>
      <c r="S540" s="49"/>
    </row>
    <row r="541" spans="1:19" ht="15.75" customHeight="1" x14ac:dyDescent="0.3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84"/>
      <c r="M541" s="84"/>
      <c r="N541" s="84"/>
      <c r="O541" s="30"/>
      <c r="P541" s="39"/>
      <c r="Q541" s="30"/>
      <c r="R541" s="50"/>
      <c r="S541" s="49"/>
    </row>
    <row r="542" spans="1:19" ht="15.75" customHeight="1" x14ac:dyDescent="0.3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84"/>
      <c r="M542" s="84"/>
      <c r="N542" s="84"/>
      <c r="O542" s="30"/>
      <c r="P542" s="39"/>
      <c r="Q542" s="30"/>
      <c r="R542" s="50"/>
      <c r="S542" s="49"/>
    </row>
    <row r="543" spans="1:19" ht="15.75" customHeight="1" x14ac:dyDescent="0.3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84"/>
      <c r="M543" s="84"/>
      <c r="N543" s="84"/>
      <c r="O543" s="30"/>
      <c r="P543" s="39"/>
      <c r="Q543" s="30"/>
      <c r="R543" s="50"/>
      <c r="S543" s="49"/>
    </row>
    <row r="544" spans="1:19" ht="15.75" customHeight="1" x14ac:dyDescent="0.3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84"/>
      <c r="M544" s="84"/>
      <c r="N544" s="84"/>
      <c r="O544" s="30"/>
      <c r="P544" s="39"/>
      <c r="Q544" s="30"/>
      <c r="R544" s="50"/>
      <c r="S544" s="49"/>
    </row>
    <row r="545" spans="1:19" ht="15.75" customHeight="1" x14ac:dyDescent="0.3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84"/>
      <c r="M545" s="84"/>
      <c r="N545" s="84"/>
      <c r="O545" s="30"/>
      <c r="P545" s="39"/>
      <c r="Q545" s="30"/>
      <c r="R545" s="50"/>
      <c r="S545" s="49"/>
    </row>
    <row r="546" spans="1:19" ht="15.75" customHeight="1" x14ac:dyDescent="0.3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84"/>
      <c r="M546" s="84"/>
      <c r="N546" s="84"/>
      <c r="O546" s="30"/>
      <c r="P546" s="39"/>
      <c r="Q546" s="30"/>
      <c r="R546" s="50"/>
      <c r="S546" s="49"/>
    </row>
    <row r="547" spans="1:19" ht="15.75" customHeight="1" x14ac:dyDescent="0.3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84"/>
      <c r="M547" s="84"/>
      <c r="N547" s="84"/>
      <c r="O547" s="30"/>
      <c r="P547" s="39"/>
      <c r="Q547" s="30"/>
      <c r="R547" s="50"/>
      <c r="S547" s="49"/>
    </row>
    <row r="548" spans="1:19" ht="15.75" customHeight="1" x14ac:dyDescent="0.3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84"/>
      <c r="M548" s="84"/>
      <c r="N548" s="84"/>
      <c r="O548" s="30"/>
      <c r="P548" s="39"/>
      <c r="Q548" s="30"/>
      <c r="R548" s="50"/>
      <c r="S548" s="49"/>
    </row>
    <row r="549" spans="1:19" ht="15.75" customHeight="1" x14ac:dyDescent="0.3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84"/>
      <c r="M549" s="84"/>
      <c r="N549" s="84"/>
      <c r="O549" s="30"/>
      <c r="P549" s="39"/>
      <c r="Q549" s="30"/>
      <c r="R549" s="50"/>
      <c r="S549" s="49"/>
    </row>
    <row r="550" spans="1:19" ht="15.75" customHeight="1" x14ac:dyDescent="0.3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84"/>
      <c r="M550" s="84"/>
      <c r="N550" s="84"/>
      <c r="O550" s="30"/>
      <c r="P550" s="39"/>
      <c r="Q550" s="30"/>
      <c r="R550" s="50"/>
      <c r="S550" s="49"/>
    </row>
    <row r="551" spans="1:19" ht="15.75" customHeight="1" x14ac:dyDescent="0.3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84"/>
      <c r="M551" s="84"/>
      <c r="N551" s="84"/>
      <c r="O551" s="30"/>
      <c r="P551" s="39"/>
      <c r="Q551" s="30"/>
      <c r="R551" s="50"/>
      <c r="S551" s="49"/>
    </row>
    <row r="552" spans="1:19" ht="15.75" customHeight="1" x14ac:dyDescent="0.3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84"/>
      <c r="M552" s="84"/>
      <c r="N552" s="84"/>
      <c r="O552" s="30"/>
      <c r="P552" s="39"/>
      <c r="Q552" s="30"/>
      <c r="R552" s="50"/>
      <c r="S552" s="49"/>
    </row>
    <row r="553" spans="1:19" ht="15.75" customHeight="1" x14ac:dyDescent="0.3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84"/>
      <c r="M553" s="84"/>
      <c r="N553" s="84"/>
      <c r="O553" s="30"/>
      <c r="P553" s="39"/>
      <c r="Q553" s="30"/>
      <c r="R553" s="50"/>
      <c r="S553" s="49"/>
    </row>
    <row r="554" spans="1:19" ht="15.75" customHeight="1" x14ac:dyDescent="0.3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84"/>
      <c r="M554" s="84"/>
      <c r="N554" s="84"/>
      <c r="O554" s="30"/>
      <c r="P554" s="39"/>
      <c r="Q554" s="30"/>
      <c r="R554" s="50"/>
      <c r="S554" s="49"/>
    </row>
    <row r="555" spans="1:19" ht="15.75" customHeight="1" x14ac:dyDescent="0.3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84"/>
      <c r="M555" s="84"/>
      <c r="N555" s="84"/>
      <c r="O555" s="30"/>
      <c r="P555" s="39"/>
      <c r="Q555" s="30"/>
      <c r="R555" s="50"/>
      <c r="S555" s="49"/>
    </row>
    <row r="556" spans="1:19" ht="15.75" customHeight="1" x14ac:dyDescent="0.3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84"/>
      <c r="M556" s="84"/>
      <c r="N556" s="84"/>
      <c r="O556" s="30"/>
      <c r="P556" s="39"/>
      <c r="Q556" s="30"/>
      <c r="R556" s="50"/>
      <c r="S556" s="49"/>
    </row>
    <row r="557" spans="1:19" ht="15.75" customHeight="1" x14ac:dyDescent="0.3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84"/>
      <c r="M557" s="84"/>
      <c r="N557" s="84"/>
      <c r="O557" s="30"/>
      <c r="P557" s="39"/>
      <c r="Q557" s="30"/>
      <c r="R557" s="50"/>
      <c r="S557" s="49"/>
    </row>
    <row r="558" spans="1:19" ht="15.75" customHeight="1" x14ac:dyDescent="0.3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84"/>
      <c r="M558" s="84"/>
      <c r="N558" s="84"/>
      <c r="O558" s="30"/>
      <c r="P558" s="39"/>
      <c r="Q558" s="30"/>
      <c r="R558" s="50"/>
      <c r="S558" s="49"/>
    </row>
    <row r="559" spans="1:19" ht="15.75" customHeight="1" x14ac:dyDescent="0.3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84"/>
      <c r="M559" s="84"/>
      <c r="N559" s="84"/>
      <c r="O559" s="30"/>
      <c r="P559" s="39"/>
      <c r="Q559" s="30"/>
      <c r="R559" s="50"/>
      <c r="S559" s="49"/>
    </row>
    <row r="560" spans="1:19" ht="15.75" customHeight="1" x14ac:dyDescent="0.3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84"/>
      <c r="M560" s="84"/>
      <c r="N560" s="84"/>
      <c r="O560" s="30"/>
      <c r="P560" s="39"/>
      <c r="Q560" s="30"/>
      <c r="R560" s="50"/>
      <c r="S560" s="49"/>
    </row>
    <row r="561" spans="1:19" ht="15.75" customHeight="1" x14ac:dyDescent="0.3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84"/>
      <c r="M561" s="84"/>
      <c r="N561" s="84"/>
      <c r="O561" s="30"/>
      <c r="P561" s="39"/>
      <c r="Q561" s="30"/>
      <c r="R561" s="50"/>
      <c r="S561" s="49"/>
    </row>
    <row r="562" spans="1:19" ht="15.75" customHeight="1" x14ac:dyDescent="0.3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84"/>
      <c r="M562" s="84"/>
      <c r="N562" s="84"/>
      <c r="O562" s="30"/>
      <c r="P562" s="39"/>
      <c r="Q562" s="30"/>
      <c r="R562" s="50"/>
      <c r="S562" s="49"/>
    </row>
    <row r="563" spans="1:19" ht="15.75" customHeight="1" x14ac:dyDescent="0.3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84"/>
      <c r="M563" s="84"/>
      <c r="N563" s="84"/>
      <c r="O563" s="30"/>
      <c r="P563" s="39"/>
      <c r="Q563" s="30"/>
      <c r="R563" s="50"/>
      <c r="S563" s="49"/>
    </row>
    <row r="564" spans="1:19" ht="15.75" customHeight="1" x14ac:dyDescent="0.3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84"/>
      <c r="M564" s="84"/>
      <c r="N564" s="84"/>
      <c r="O564" s="30"/>
      <c r="P564" s="39"/>
      <c r="Q564" s="30"/>
      <c r="R564" s="50"/>
      <c r="S564" s="49"/>
    </row>
    <row r="565" spans="1:19" ht="15.75" customHeight="1" x14ac:dyDescent="0.3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84"/>
      <c r="M565" s="84"/>
      <c r="N565" s="84"/>
      <c r="O565" s="30"/>
      <c r="P565" s="39"/>
      <c r="Q565" s="30"/>
      <c r="R565" s="50"/>
      <c r="S565" s="49"/>
    </row>
    <row r="566" spans="1:19" ht="15.75" customHeight="1" x14ac:dyDescent="0.3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84"/>
      <c r="M566" s="84"/>
      <c r="N566" s="84"/>
      <c r="O566" s="30"/>
      <c r="P566" s="39"/>
      <c r="Q566" s="30"/>
      <c r="R566" s="50"/>
      <c r="S566" s="49"/>
    </row>
    <row r="567" spans="1:19" ht="15.75" customHeight="1" x14ac:dyDescent="0.3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84"/>
      <c r="M567" s="84"/>
      <c r="N567" s="84"/>
      <c r="O567" s="30"/>
      <c r="P567" s="39"/>
      <c r="Q567" s="30"/>
      <c r="R567" s="50"/>
      <c r="S567" s="49"/>
    </row>
    <row r="568" spans="1:19" ht="15.75" customHeight="1" x14ac:dyDescent="0.3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84"/>
      <c r="M568" s="84"/>
      <c r="N568" s="84"/>
      <c r="O568" s="30"/>
      <c r="P568" s="39"/>
      <c r="Q568" s="30"/>
      <c r="R568" s="50"/>
      <c r="S568" s="49"/>
    </row>
    <row r="569" spans="1:19" ht="15.75" customHeight="1" x14ac:dyDescent="0.3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84"/>
      <c r="M569" s="84"/>
      <c r="N569" s="84"/>
      <c r="O569" s="30"/>
      <c r="P569" s="39"/>
      <c r="Q569" s="30"/>
      <c r="R569" s="50"/>
      <c r="S569" s="49"/>
    </row>
    <row r="570" spans="1:19" ht="15.75" customHeight="1" x14ac:dyDescent="0.3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84"/>
      <c r="M570" s="84"/>
      <c r="N570" s="84"/>
      <c r="O570" s="30"/>
      <c r="P570" s="39"/>
      <c r="Q570" s="30"/>
      <c r="R570" s="50"/>
      <c r="S570" s="49"/>
    </row>
    <row r="571" spans="1:19" ht="15.75" customHeight="1" x14ac:dyDescent="0.3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84"/>
      <c r="M571" s="84"/>
      <c r="N571" s="84"/>
      <c r="O571" s="30"/>
      <c r="P571" s="39"/>
      <c r="Q571" s="30"/>
      <c r="R571" s="50"/>
      <c r="S571" s="49"/>
    </row>
    <row r="572" spans="1:19" ht="15.75" customHeight="1" x14ac:dyDescent="0.3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84"/>
      <c r="M572" s="84"/>
      <c r="N572" s="84"/>
      <c r="O572" s="30"/>
      <c r="P572" s="39"/>
      <c r="Q572" s="30"/>
      <c r="R572" s="50"/>
      <c r="S572" s="49"/>
    </row>
    <row r="573" spans="1:19" ht="15.75" customHeight="1" x14ac:dyDescent="0.3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84"/>
      <c r="M573" s="84"/>
      <c r="N573" s="84"/>
      <c r="O573" s="30"/>
      <c r="P573" s="39"/>
      <c r="Q573" s="30"/>
      <c r="R573" s="50"/>
      <c r="S573" s="49"/>
    </row>
    <row r="574" spans="1:19" ht="15.75" customHeight="1" x14ac:dyDescent="0.3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84"/>
      <c r="M574" s="84"/>
      <c r="N574" s="84"/>
      <c r="O574" s="30"/>
      <c r="P574" s="39"/>
      <c r="Q574" s="30"/>
      <c r="R574" s="50"/>
      <c r="S574" s="49"/>
    </row>
    <row r="575" spans="1:19" ht="15.75" customHeight="1" x14ac:dyDescent="0.3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84"/>
      <c r="M575" s="84"/>
      <c r="N575" s="84"/>
      <c r="O575" s="30"/>
      <c r="P575" s="39"/>
      <c r="Q575" s="30"/>
      <c r="R575" s="50"/>
      <c r="S575" s="49"/>
    </row>
    <row r="576" spans="1:19" ht="15.75" customHeight="1" x14ac:dyDescent="0.3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84"/>
      <c r="M576" s="84"/>
      <c r="N576" s="84"/>
      <c r="O576" s="30"/>
      <c r="P576" s="39"/>
      <c r="Q576" s="30"/>
      <c r="R576" s="50"/>
      <c r="S576" s="49"/>
    </row>
    <row r="577" spans="1:19" ht="15.75" customHeight="1" x14ac:dyDescent="0.3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84"/>
      <c r="M577" s="84"/>
      <c r="N577" s="84"/>
      <c r="O577" s="30"/>
      <c r="P577" s="39"/>
      <c r="Q577" s="30"/>
      <c r="R577" s="50"/>
      <c r="S577" s="49"/>
    </row>
    <row r="578" spans="1:19" ht="15.75" customHeight="1" x14ac:dyDescent="0.3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84"/>
      <c r="M578" s="84"/>
      <c r="N578" s="84"/>
      <c r="O578" s="30"/>
      <c r="P578" s="39"/>
      <c r="Q578" s="30"/>
      <c r="R578" s="50"/>
      <c r="S578" s="49"/>
    </row>
    <row r="579" spans="1:19" ht="15.75" customHeight="1" x14ac:dyDescent="0.3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84"/>
      <c r="M579" s="84"/>
      <c r="N579" s="84"/>
      <c r="O579" s="30"/>
      <c r="P579" s="39"/>
      <c r="Q579" s="30"/>
      <c r="R579" s="50"/>
      <c r="S579" s="49"/>
    </row>
    <row r="580" spans="1:19" ht="15.75" customHeight="1" x14ac:dyDescent="0.3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84"/>
      <c r="M580" s="84"/>
      <c r="N580" s="84"/>
      <c r="O580" s="30"/>
      <c r="P580" s="39"/>
      <c r="Q580" s="30"/>
      <c r="R580" s="50"/>
      <c r="S580" s="49"/>
    </row>
    <row r="581" spans="1:19" ht="15.75" customHeight="1" x14ac:dyDescent="0.3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84"/>
      <c r="M581" s="84"/>
      <c r="N581" s="84"/>
      <c r="O581" s="30"/>
      <c r="P581" s="39"/>
      <c r="Q581" s="30"/>
      <c r="R581" s="50"/>
      <c r="S581" s="49"/>
    </row>
    <row r="582" spans="1:19" ht="15.75" customHeight="1" x14ac:dyDescent="0.3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84"/>
      <c r="M582" s="84"/>
      <c r="N582" s="84"/>
      <c r="O582" s="30"/>
      <c r="P582" s="39"/>
      <c r="Q582" s="30"/>
      <c r="R582" s="50"/>
      <c r="S582" s="49"/>
    </row>
    <row r="583" spans="1:19" ht="15.75" customHeight="1" x14ac:dyDescent="0.3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84"/>
      <c r="M583" s="84"/>
      <c r="N583" s="84"/>
      <c r="O583" s="30"/>
      <c r="P583" s="39"/>
      <c r="Q583" s="30"/>
      <c r="R583" s="50"/>
      <c r="S583" s="49"/>
    </row>
    <row r="584" spans="1:19" ht="15.75" customHeight="1" x14ac:dyDescent="0.3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84"/>
      <c r="M584" s="84"/>
      <c r="N584" s="84"/>
      <c r="O584" s="30"/>
      <c r="P584" s="39"/>
      <c r="Q584" s="30"/>
      <c r="R584" s="50"/>
      <c r="S584" s="49"/>
    </row>
    <row r="585" spans="1:19" ht="15.75" customHeight="1" x14ac:dyDescent="0.3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84"/>
      <c r="M585" s="84"/>
      <c r="N585" s="84"/>
      <c r="O585" s="30"/>
      <c r="P585" s="39"/>
      <c r="Q585" s="30"/>
      <c r="R585" s="50"/>
      <c r="S585" s="49"/>
    </row>
    <row r="586" spans="1:19" ht="15.75" customHeight="1" x14ac:dyDescent="0.3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84"/>
      <c r="M586" s="84"/>
      <c r="N586" s="84"/>
      <c r="O586" s="30"/>
      <c r="P586" s="39"/>
      <c r="Q586" s="30"/>
      <c r="R586" s="50"/>
      <c r="S586" s="49"/>
    </row>
    <row r="587" spans="1:19" ht="15.75" customHeight="1" x14ac:dyDescent="0.3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84"/>
      <c r="M587" s="84"/>
      <c r="N587" s="84"/>
      <c r="O587" s="30"/>
      <c r="P587" s="39"/>
      <c r="Q587" s="30"/>
      <c r="R587" s="50"/>
      <c r="S587" s="49"/>
    </row>
    <row r="588" spans="1:19" ht="15.75" customHeight="1" x14ac:dyDescent="0.3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84"/>
      <c r="M588" s="84"/>
      <c r="N588" s="84"/>
      <c r="O588" s="30"/>
      <c r="P588" s="39"/>
      <c r="Q588" s="30"/>
      <c r="R588" s="50"/>
      <c r="S588" s="49"/>
    </row>
    <row r="589" spans="1:19" ht="15.75" customHeight="1" x14ac:dyDescent="0.3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84"/>
      <c r="M589" s="84"/>
      <c r="N589" s="84"/>
      <c r="O589" s="30"/>
      <c r="P589" s="39"/>
      <c r="Q589" s="30"/>
      <c r="R589" s="50"/>
      <c r="S589" s="49"/>
    </row>
    <row r="590" spans="1:19" ht="15.75" customHeight="1" x14ac:dyDescent="0.3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84"/>
      <c r="M590" s="84"/>
      <c r="N590" s="84"/>
      <c r="O590" s="30"/>
      <c r="P590" s="39"/>
      <c r="Q590" s="30"/>
      <c r="R590" s="50"/>
      <c r="S590" s="49"/>
    </row>
    <row r="591" spans="1:19" ht="15.75" customHeight="1" x14ac:dyDescent="0.3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84"/>
      <c r="M591" s="84"/>
      <c r="N591" s="84"/>
      <c r="O591" s="30"/>
      <c r="P591" s="39"/>
      <c r="Q591" s="30"/>
      <c r="R591" s="50"/>
      <c r="S591" s="49"/>
    </row>
    <row r="592" spans="1:19" ht="15.75" customHeight="1" x14ac:dyDescent="0.3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84"/>
      <c r="M592" s="84"/>
      <c r="N592" s="84"/>
      <c r="O592" s="30"/>
      <c r="P592" s="39"/>
      <c r="Q592" s="30"/>
      <c r="R592" s="50"/>
      <c r="S592" s="49"/>
    </row>
    <row r="593" spans="1:19" ht="15.75" customHeight="1" x14ac:dyDescent="0.3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84"/>
      <c r="M593" s="84"/>
      <c r="N593" s="84"/>
      <c r="O593" s="30"/>
      <c r="P593" s="39"/>
      <c r="Q593" s="30"/>
      <c r="R593" s="50"/>
      <c r="S593" s="49"/>
    </row>
    <row r="594" spans="1:19" ht="15.75" customHeight="1" x14ac:dyDescent="0.3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84"/>
      <c r="M594" s="84"/>
      <c r="N594" s="84"/>
      <c r="O594" s="30"/>
      <c r="P594" s="39"/>
      <c r="Q594" s="30"/>
      <c r="R594" s="50"/>
      <c r="S594" s="49"/>
    </row>
    <row r="595" spans="1:19" ht="15.75" customHeight="1" x14ac:dyDescent="0.3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84"/>
      <c r="M595" s="84"/>
      <c r="N595" s="84"/>
      <c r="O595" s="30"/>
      <c r="P595" s="39"/>
      <c r="Q595" s="30"/>
      <c r="R595" s="50"/>
      <c r="S595" s="49"/>
    </row>
    <row r="596" spans="1:19" ht="15.75" customHeight="1" x14ac:dyDescent="0.3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84"/>
      <c r="M596" s="84"/>
      <c r="N596" s="84"/>
      <c r="O596" s="30"/>
      <c r="P596" s="39"/>
      <c r="Q596" s="30"/>
      <c r="R596" s="50"/>
      <c r="S596" s="49"/>
    </row>
    <row r="597" spans="1:19" ht="15.75" customHeight="1" x14ac:dyDescent="0.3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84"/>
      <c r="M597" s="84"/>
      <c r="N597" s="84"/>
      <c r="O597" s="30"/>
      <c r="P597" s="39"/>
      <c r="Q597" s="30"/>
      <c r="R597" s="50"/>
      <c r="S597" s="49"/>
    </row>
    <row r="598" spans="1:19" ht="15.75" customHeight="1" x14ac:dyDescent="0.3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84"/>
      <c r="M598" s="84"/>
      <c r="N598" s="84"/>
      <c r="O598" s="30"/>
      <c r="P598" s="39"/>
      <c r="Q598" s="30"/>
      <c r="R598" s="50"/>
      <c r="S598" s="49"/>
    </row>
    <row r="599" spans="1:19" ht="15.75" customHeight="1" x14ac:dyDescent="0.3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84"/>
      <c r="M599" s="84"/>
      <c r="N599" s="84"/>
      <c r="O599" s="30"/>
      <c r="P599" s="39"/>
      <c r="Q599" s="30"/>
      <c r="R599" s="50"/>
      <c r="S599" s="49"/>
    </row>
    <row r="600" spans="1:19" ht="15.75" customHeight="1" x14ac:dyDescent="0.3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84"/>
      <c r="M600" s="84"/>
      <c r="N600" s="84"/>
      <c r="O600" s="30"/>
      <c r="P600" s="39"/>
      <c r="Q600" s="30"/>
      <c r="R600" s="50"/>
      <c r="S600" s="49"/>
    </row>
    <row r="601" spans="1:19" ht="15.75" customHeight="1" x14ac:dyDescent="0.3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84"/>
      <c r="M601" s="84"/>
      <c r="N601" s="84"/>
      <c r="O601" s="30"/>
      <c r="P601" s="39"/>
      <c r="Q601" s="30"/>
      <c r="R601" s="50"/>
      <c r="S601" s="49"/>
    </row>
    <row r="602" spans="1:19" ht="15.75" customHeight="1" x14ac:dyDescent="0.3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84"/>
      <c r="M602" s="84"/>
      <c r="N602" s="84"/>
      <c r="O602" s="30"/>
      <c r="P602" s="39"/>
      <c r="Q602" s="30"/>
      <c r="R602" s="50"/>
      <c r="S602" s="49"/>
    </row>
    <row r="603" spans="1:19" ht="15.75" customHeight="1" x14ac:dyDescent="0.3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84"/>
      <c r="M603" s="84"/>
      <c r="N603" s="84"/>
      <c r="O603" s="30"/>
      <c r="P603" s="39"/>
      <c r="Q603" s="30"/>
      <c r="R603" s="50"/>
      <c r="S603" s="49"/>
    </row>
    <row r="604" spans="1:19" ht="15.75" customHeight="1" x14ac:dyDescent="0.3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84"/>
      <c r="M604" s="84"/>
      <c r="N604" s="84"/>
      <c r="O604" s="30"/>
      <c r="P604" s="39"/>
      <c r="Q604" s="30"/>
      <c r="R604" s="50"/>
      <c r="S604" s="49"/>
    </row>
    <row r="605" spans="1:19" ht="15.75" customHeight="1" x14ac:dyDescent="0.3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84"/>
      <c r="M605" s="84"/>
      <c r="N605" s="84"/>
      <c r="O605" s="30"/>
      <c r="P605" s="39"/>
      <c r="Q605" s="30"/>
      <c r="R605" s="50"/>
      <c r="S605" s="49"/>
    </row>
    <row r="606" spans="1:19" ht="15.75" customHeight="1" x14ac:dyDescent="0.3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84"/>
      <c r="M606" s="84"/>
      <c r="N606" s="84"/>
      <c r="O606" s="30"/>
      <c r="P606" s="39"/>
      <c r="Q606" s="30"/>
      <c r="R606" s="50"/>
      <c r="S606" s="49"/>
    </row>
    <row r="607" spans="1:19" ht="15.75" customHeight="1" x14ac:dyDescent="0.3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84"/>
      <c r="M607" s="84"/>
      <c r="N607" s="84"/>
      <c r="O607" s="30"/>
      <c r="P607" s="39"/>
      <c r="Q607" s="30"/>
      <c r="R607" s="50"/>
      <c r="S607" s="49"/>
    </row>
    <row r="608" spans="1:19" ht="15.75" customHeight="1" x14ac:dyDescent="0.3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84"/>
      <c r="M608" s="84"/>
      <c r="N608" s="84"/>
      <c r="O608" s="30"/>
      <c r="P608" s="39"/>
      <c r="Q608" s="30"/>
      <c r="R608" s="50"/>
      <c r="S608" s="49"/>
    </row>
    <row r="609" spans="1:19" ht="15.75" customHeight="1" x14ac:dyDescent="0.3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84"/>
      <c r="M609" s="84"/>
      <c r="N609" s="84"/>
      <c r="O609" s="30"/>
      <c r="P609" s="39"/>
      <c r="Q609" s="30"/>
      <c r="R609" s="50"/>
      <c r="S609" s="49"/>
    </row>
    <row r="610" spans="1:19" ht="15.75" customHeight="1" x14ac:dyDescent="0.3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84"/>
      <c r="M610" s="84"/>
      <c r="N610" s="84"/>
      <c r="O610" s="30"/>
      <c r="P610" s="39"/>
      <c r="Q610" s="30"/>
      <c r="R610" s="50"/>
      <c r="S610" s="49"/>
    </row>
    <row r="611" spans="1:19" ht="15.75" customHeight="1" x14ac:dyDescent="0.3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84"/>
      <c r="M611" s="84"/>
      <c r="N611" s="84"/>
      <c r="O611" s="30"/>
      <c r="P611" s="39"/>
      <c r="Q611" s="30"/>
      <c r="R611" s="50"/>
      <c r="S611" s="49"/>
    </row>
    <row r="612" spans="1:19" ht="15.75" customHeight="1" x14ac:dyDescent="0.3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84"/>
      <c r="M612" s="84"/>
      <c r="N612" s="84"/>
      <c r="O612" s="30"/>
      <c r="P612" s="39"/>
      <c r="Q612" s="30"/>
      <c r="R612" s="50"/>
      <c r="S612" s="49"/>
    </row>
    <row r="613" spans="1:19" ht="15.75" customHeight="1" x14ac:dyDescent="0.3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84"/>
      <c r="M613" s="84"/>
      <c r="N613" s="84"/>
      <c r="O613" s="30"/>
      <c r="P613" s="39"/>
      <c r="Q613" s="30"/>
      <c r="R613" s="50"/>
      <c r="S613" s="49"/>
    </row>
    <row r="614" spans="1:19" ht="15.75" customHeight="1" x14ac:dyDescent="0.3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84"/>
      <c r="M614" s="84"/>
      <c r="N614" s="84"/>
      <c r="O614" s="30"/>
      <c r="P614" s="39"/>
      <c r="Q614" s="30"/>
      <c r="R614" s="50"/>
      <c r="S614" s="49"/>
    </row>
    <row r="615" spans="1:19" ht="15.75" customHeight="1" x14ac:dyDescent="0.3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84"/>
      <c r="M615" s="84"/>
      <c r="N615" s="84"/>
      <c r="O615" s="30"/>
      <c r="P615" s="39"/>
      <c r="Q615" s="30"/>
      <c r="R615" s="50"/>
      <c r="S615" s="49"/>
    </row>
    <row r="616" spans="1:19" ht="15.75" customHeight="1" x14ac:dyDescent="0.3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84"/>
      <c r="M616" s="84"/>
      <c r="N616" s="84"/>
      <c r="O616" s="30"/>
      <c r="P616" s="39"/>
      <c r="Q616" s="30"/>
      <c r="R616" s="50"/>
      <c r="S616" s="49"/>
    </row>
    <row r="617" spans="1:19" ht="15.75" customHeight="1" x14ac:dyDescent="0.3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84"/>
      <c r="M617" s="84"/>
      <c r="N617" s="84"/>
      <c r="O617" s="30"/>
      <c r="P617" s="39"/>
      <c r="Q617" s="30"/>
      <c r="R617" s="50"/>
      <c r="S617" s="49"/>
    </row>
    <row r="618" spans="1:19" ht="15.75" customHeight="1" x14ac:dyDescent="0.3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84"/>
      <c r="M618" s="84"/>
      <c r="N618" s="84"/>
      <c r="O618" s="30"/>
      <c r="P618" s="39"/>
      <c r="Q618" s="30"/>
      <c r="R618" s="50"/>
      <c r="S618" s="49"/>
    </row>
    <row r="619" spans="1:19" ht="15.75" customHeight="1" x14ac:dyDescent="0.3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84"/>
      <c r="M619" s="84"/>
      <c r="N619" s="84"/>
      <c r="O619" s="30"/>
      <c r="P619" s="39"/>
      <c r="Q619" s="30"/>
      <c r="R619" s="50"/>
      <c r="S619" s="49"/>
    </row>
    <row r="620" spans="1:19" ht="15.75" customHeight="1" x14ac:dyDescent="0.3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84"/>
      <c r="M620" s="84"/>
      <c r="N620" s="84"/>
      <c r="O620" s="30"/>
      <c r="P620" s="39"/>
      <c r="Q620" s="30"/>
      <c r="R620" s="50"/>
      <c r="S620" s="49"/>
    </row>
    <row r="621" spans="1:19" ht="15.75" customHeight="1" x14ac:dyDescent="0.3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84"/>
      <c r="M621" s="84"/>
      <c r="N621" s="84"/>
      <c r="O621" s="30"/>
      <c r="P621" s="39"/>
      <c r="Q621" s="30"/>
      <c r="R621" s="50"/>
      <c r="S621" s="49"/>
    </row>
    <row r="622" spans="1:19" ht="15.75" customHeight="1" x14ac:dyDescent="0.3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84"/>
      <c r="M622" s="84"/>
      <c r="N622" s="84"/>
      <c r="O622" s="30"/>
      <c r="P622" s="39"/>
      <c r="Q622" s="30"/>
      <c r="R622" s="50"/>
      <c r="S622" s="49"/>
    </row>
    <row r="623" spans="1:19" ht="15.75" customHeight="1" x14ac:dyDescent="0.3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84"/>
      <c r="M623" s="84"/>
      <c r="N623" s="84"/>
      <c r="O623" s="30"/>
      <c r="P623" s="39"/>
      <c r="Q623" s="30"/>
      <c r="R623" s="50"/>
      <c r="S623" s="49"/>
    </row>
    <row r="624" spans="1:19" ht="15.75" customHeight="1" x14ac:dyDescent="0.3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84"/>
      <c r="M624" s="84"/>
      <c r="N624" s="84"/>
      <c r="O624" s="30"/>
      <c r="P624" s="39"/>
      <c r="Q624" s="30"/>
      <c r="R624" s="50"/>
      <c r="S624" s="49"/>
    </row>
    <row r="625" spans="1:19" ht="15.75" customHeight="1" x14ac:dyDescent="0.3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84"/>
      <c r="M625" s="84"/>
      <c r="N625" s="84"/>
      <c r="O625" s="30"/>
      <c r="P625" s="39"/>
      <c r="Q625" s="30"/>
      <c r="R625" s="50"/>
      <c r="S625" s="49"/>
    </row>
    <row r="626" spans="1:19" ht="15.75" customHeight="1" x14ac:dyDescent="0.3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84"/>
      <c r="M626" s="84"/>
      <c r="N626" s="84"/>
      <c r="O626" s="30"/>
      <c r="P626" s="39"/>
      <c r="Q626" s="30"/>
      <c r="R626" s="50"/>
      <c r="S626" s="49"/>
    </row>
    <row r="627" spans="1:19" ht="15.75" customHeight="1" x14ac:dyDescent="0.3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84"/>
      <c r="M627" s="84"/>
      <c r="N627" s="84"/>
      <c r="O627" s="30"/>
      <c r="P627" s="39"/>
      <c r="Q627" s="30"/>
      <c r="R627" s="50"/>
      <c r="S627" s="49"/>
    </row>
    <row r="628" spans="1:19" ht="15.75" customHeight="1" x14ac:dyDescent="0.3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84"/>
      <c r="M628" s="84"/>
      <c r="N628" s="84"/>
      <c r="O628" s="30"/>
      <c r="P628" s="39"/>
      <c r="Q628" s="30"/>
      <c r="R628" s="50"/>
      <c r="S628" s="49"/>
    </row>
    <row r="629" spans="1:19" ht="15.75" customHeight="1" x14ac:dyDescent="0.3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84"/>
      <c r="M629" s="84"/>
      <c r="N629" s="84"/>
      <c r="O629" s="30"/>
      <c r="P629" s="39"/>
      <c r="Q629" s="30"/>
      <c r="R629" s="50"/>
      <c r="S629" s="49"/>
    </row>
    <row r="630" spans="1:19" ht="15.75" customHeight="1" x14ac:dyDescent="0.3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84"/>
      <c r="M630" s="84"/>
      <c r="N630" s="84"/>
      <c r="O630" s="30"/>
      <c r="P630" s="39"/>
      <c r="Q630" s="30"/>
      <c r="R630" s="50"/>
      <c r="S630" s="49"/>
    </row>
    <row r="631" spans="1:19" ht="15.75" customHeight="1" x14ac:dyDescent="0.3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84"/>
      <c r="M631" s="84"/>
      <c r="N631" s="84"/>
      <c r="O631" s="30"/>
      <c r="P631" s="39"/>
      <c r="Q631" s="30"/>
      <c r="R631" s="50"/>
      <c r="S631" s="49"/>
    </row>
    <row r="632" spans="1:19" ht="15.75" customHeight="1" x14ac:dyDescent="0.3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84"/>
      <c r="M632" s="84"/>
      <c r="N632" s="84"/>
      <c r="O632" s="30"/>
      <c r="P632" s="39"/>
      <c r="Q632" s="30"/>
      <c r="R632" s="50"/>
      <c r="S632" s="49"/>
    </row>
    <row r="633" spans="1:19" ht="15.75" customHeight="1" x14ac:dyDescent="0.3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84"/>
      <c r="M633" s="84"/>
      <c r="N633" s="84"/>
      <c r="O633" s="30"/>
      <c r="P633" s="39"/>
      <c r="Q633" s="30"/>
      <c r="R633" s="50"/>
      <c r="S633" s="49"/>
    </row>
    <row r="634" spans="1:19" ht="15.75" customHeight="1" x14ac:dyDescent="0.3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84"/>
      <c r="M634" s="84"/>
      <c r="N634" s="84"/>
      <c r="O634" s="30"/>
      <c r="P634" s="39"/>
      <c r="Q634" s="30"/>
      <c r="R634" s="50"/>
      <c r="S634" s="49"/>
    </row>
    <row r="635" spans="1:19" ht="15.75" customHeight="1" x14ac:dyDescent="0.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84"/>
      <c r="M635" s="84"/>
      <c r="N635" s="84"/>
      <c r="O635" s="30"/>
      <c r="P635" s="39"/>
      <c r="Q635" s="30"/>
      <c r="R635" s="50"/>
      <c r="S635" s="49"/>
    </row>
    <row r="636" spans="1:19" ht="15.75" customHeight="1" x14ac:dyDescent="0.3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84"/>
      <c r="M636" s="84"/>
      <c r="N636" s="84"/>
      <c r="O636" s="30"/>
      <c r="P636" s="39"/>
      <c r="Q636" s="30"/>
      <c r="R636" s="50"/>
      <c r="S636" s="49"/>
    </row>
    <row r="637" spans="1:19" ht="15.75" customHeight="1" x14ac:dyDescent="0.3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84"/>
      <c r="M637" s="84"/>
      <c r="N637" s="84"/>
      <c r="O637" s="30"/>
      <c r="P637" s="39"/>
      <c r="Q637" s="30"/>
      <c r="R637" s="50"/>
      <c r="S637" s="49"/>
    </row>
    <row r="638" spans="1:19" ht="15.75" customHeight="1" x14ac:dyDescent="0.3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84"/>
      <c r="M638" s="84"/>
      <c r="N638" s="84"/>
      <c r="O638" s="30"/>
      <c r="P638" s="39"/>
      <c r="Q638" s="30"/>
      <c r="R638" s="50"/>
      <c r="S638" s="49"/>
    </row>
    <row r="639" spans="1:19" ht="15.75" customHeight="1" x14ac:dyDescent="0.3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84"/>
      <c r="M639" s="84"/>
      <c r="N639" s="84"/>
      <c r="O639" s="30"/>
      <c r="P639" s="39"/>
      <c r="Q639" s="30"/>
      <c r="R639" s="50"/>
      <c r="S639" s="49"/>
    </row>
    <row r="640" spans="1:19" ht="15.75" customHeight="1" x14ac:dyDescent="0.3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84"/>
      <c r="M640" s="84"/>
      <c r="N640" s="84"/>
      <c r="O640" s="30"/>
      <c r="P640" s="39"/>
      <c r="Q640" s="30"/>
      <c r="R640" s="50"/>
      <c r="S640" s="49"/>
    </row>
    <row r="641" spans="1:19" ht="15.75" customHeight="1" x14ac:dyDescent="0.3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84"/>
      <c r="M641" s="84"/>
      <c r="N641" s="84"/>
      <c r="O641" s="30"/>
      <c r="P641" s="39"/>
      <c r="Q641" s="30"/>
      <c r="R641" s="50"/>
      <c r="S641" s="49"/>
    </row>
    <row r="642" spans="1:19" ht="15.75" customHeight="1" x14ac:dyDescent="0.3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84"/>
      <c r="M642" s="84"/>
      <c r="N642" s="84"/>
      <c r="O642" s="30"/>
      <c r="P642" s="39"/>
      <c r="Q642" s="30"/>
      <c r="R642" s="50"/>
      <c r="S642" s="49"/>
    </row>
    <row r="643" spans="1:19" ht="15.75" customHeight="1" x14ac:dyDescent="0.3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84"/>
      <c r="M643" s="84"/>
      <c r="N643" s="84"/>
      <c r="O643" s="30"/>
      <c r="P643" s="39"/>
      <c r="Q643" s="30"/>
      <c r="R643" s="50"/>
      <c r="S643" s="49"/>
    </row>
    <row r="644" spans="1:19" ht="15.75" customHeight="1" x14ac:dyDescent="0.3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84"/>
      <c r="M644" s="84"/>
      <c r="N644" s="84"/>
      <c r="O644" s="30"/>
      <c r="P644" s="39"/>
      <c r="Q644" s="30"/>
      <c r="R644" s="50"/>
      <c r="S644" s="49"/>
    </row>
    <row r="645" spans="1:19" ht="15.75" customHeight="1" x14ac:dyDescent="0.3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84"/>
      <c r="M645" s="84"/>
      <c r="N645" s="84"/>
      <c r="O645" s="30"/>
      <c r="P645" s="39"/>
      <c r="Q645" s="30"/>
      <c r="R645" s="50"/>
      <c r="S645" s="49"/>
    </row>
    <row r="646" spans="1:19" ht="15.75" customHeight="1" x14ac:dyDescent="0.3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84"/>
      <c r="M646" s="84"/>
      <c r="N646" s="84"/>
      <c r="O646" s="30"/>
      <c r="P646" s="39"/>
      <c r="Q646" s="30"/>
      <c r="R646" s="50"/>
      <c r="S646" s="49"/>
    </row>
    <row r="647" spans="1:19" ht="15.75" customHeight="1" x14ac:dyDescent="0.3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84"/>
      <c r="M647" s="84"/>
      <c r="N647" s="84"/>
      <c r="O647" s="30"/>
      <c r="P647" s="39"/>
      <c r="Q647" s="30"/>
      <c r="R647" s="50"/>
      <c r="S647" s="49"/>
    </row>
    <row r="648" spans="1:19" ht="15.75" customHeight="1" x14ac:dyDescent="0.3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84"/>
      <c r="M648" s="84"/>
      <c r="N648" s="84"/>
      <c r="O648" s="30"/>
      <c r="P648" s="39"/>
      <c r="Q648" s="30"/>
      <c r="R648" s="50"/>
      <c r="S648" s="49"/>
    </row>
    <row r="649" spans="1:19" ht="15.75" customHeight="1" x14ac:dyDescent="0.3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84"/>
      <c r="M649" s="84"/>
      <c r="N649" s="84"/>
      <c r="O649" s="30"/>
      <c r="P649" s="39"/>
      <c r="Q649" s="30"/>
      <c r="R649" s="50"/>
      <c r="S649" s="49"/>
    </row>
    <row r="650" spans="1:19" ht="15.75" customHeight="1" x14ac:dyDescent="0.3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84"/>
      <c r="M650" s="84"/>
      <c r="N650" s="84"/>
      <c r="O650" s="30"/>
      <c r="P650" s="39"/>
      <c r="Q650" s="30"/>
      <c r="R650" s="50"/>
      <c r="S650" s="49"/>
    </row>
    <row r="651" spans="1:19" ht="15.75" customHeight="1" x14ac:dyDescent="0.3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84"/>
      <c r="M651" s="84"/>
      <c r="N651" s="84"/>
      <c r="O651" s="30"/>
      <c r="P651" s="39"/>
      <c r="Q651" s="30"/>
      <c r="R651" s="50"/>
      <c r="S651" s="49"/>
    </row>
    <row r="652" spans="1:19" ht="15.75" customHeight="1" x14ac:dyDescent="0.3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84"/>
      <c r="M652" s="84"/>
      <c r="N652" s="84"/>
      <c r="O652" s="30"/>
      <c r="P652" s="39"/>
      <c r="Q652" s="30"/>
      <c r="R652" s="50"/>
      <c r="S652" s="49"/>
    </row>
    <row r="653" spans="1:19" ht="15.75" customHeight="1" x14ac:dyDescent="0.3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84"/>
      <c r="M653" s="84"/>
      <c r="N653" s="84"/>
      <c r="O653" s="30"/>
      <c r="P653" s="39"/>
      <c r="Q653" s="30"/>
      <c r="R653" s="50"/>
      <c r="S653" s="49"/>
    </row>
    <row r="654" spans="1:19" ht="15.75" customHeight="1" x14ac:dyDescent="0.3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84"/>
      <c r="M654" s="84"/>
      <c r="N654" s="84"/>
      <c r="O654" s="30"/>
      <c r="P654" s="39"/>
      <c r="Q654" s="30"/>
      <c r="R654" s="50"/>
      <c r="S654" s="49"/>
    </row>
    <row r="655" spans="1:19" ht="15.75" customHeight="1" x14ac:dyDescent="0.3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84"/>
      <c r="M655" s="84"/>
      <c r="N655" s="84"/>
      <c r="O655" s="30"/>
      <c r="P655" s="39"/>
      <c r="Q655" s="30"/>
      <c r="R655" s="50"/>
      <c r="S655" s="49"/>
    </row>
    <row r="656" spans="1:19" ht="15.75" customHeight="1" x14ac:dyDescent="0.3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84"/>
      <c r="M656" s="84"/>
      <c r="N656" s="84"/>
      <c r="O656" s="30"/>
      <c r="P656" s="39"/>
      <c r="Q656" s="30"/>
      <c r="R656" s="50"/>
      <c r="S656" s="49"/>
    </row>
    <row r="657" spans="1:19" ht="15.75" customHeight="1" x14ac:dyDescent="0.3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84"/>
      <c r="M657" s="84"/>
      <c r="N657" s="84"/>
      <c r="O657" s="30"/>
      <c r="P657" s="39"/>
      <c r="Q657" s="30"/>
      <c r="R657" s="50"/>
      <c r="S657" s="49"/>
    </row>
    <row r="658" spans="1:19" ht="15.75" customHeight="1" x14ac:dyDescent="0.3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84"/>
      <c r="M658" s="84"/>
      <c r="N658" s="84"/>
      <c r="O658" s="30"/>
      <c r="P658" s="39"/>
      <c r="Q658" s="30"/>
      <c r="R658" s="50"/>
      <c r="S658" s="49"/>
    </row>
    <row r="659" spans="1:19" ht="15.75" customHeight="1" x14ac:dyDescent="0.3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84"/>
      <c r="M659" s="84"/>
      <c r="N659" s="84"/>
      <c r="O659" s="30"/>
      <c r="P659" s="39"/>
      <c r="Q659" s="30"/>
      <c r="R659" s="50"/>
      <c r="S659" s="49"/>
    </row>
    <row r="660" spans="1:19" ht="15.75" customHeight="1" x14ac:dyDescent="0.3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84"/>
      <c r="M660" s="84"/>
      <c r="N660" s="84"/>
      <c r="O660" s="30"/>
      <c r="P660" s="39"/>
      <c r="Q660" s="30"/>
      <c r="R660" s="50"/>
      <c r="S660" s="49"/>
    </row>
    <row r="661" spans="1:19" ht="15.75" customHeight="1" x14ac:dyDescent="0.3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84"/>
      <c r="M661" s="84"/>
      <c r="N661" s="84"/>
      <c r="O661" s="30"/>
      <c r="P661" s="39"/>
      <c r="Q661" s="30"/>
      <c r="R661" s="50"/>
      <c r="S661" s="49"/>
    </row>
    <row r="662" spans="1:19" ht="15.75" customHeight="1" x14ac:dyDescent="0.3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84"/>
      <c r="M662" s="84"/>
      <c r="N662" s="84"/>
      <c r="O662" s="30"/>
      <c r="P662" s="39"/>
      <c r="Q662" s="30"/>
      <c r="R662" s="50"/>
      <c r="S662" s="49"/>
    </row>
    <row r="663" spans="1:19" ht="15.75" customHeight="1" x14ac:dyDescent="0.3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84"/>
      <c r="M663" s="84"/>
      <c r="N663" s="84"/>
      <c r="O663" s="30"/>
      <c r="P663" s="39"/>
      <c r="Q663" s="30"/>
      <c r="R663" s="50"/>
      <c r="S663" s="49"/>
    </row>
    <row r="664" spans="1:19" ht="15.75" customHeight="1" x14ac:dyDescent="0.3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84"/>
      <c r="M664" s="84"/>
      <c r="N664" s="84"/>
      <c r="O664" s="30"/>
      <c r="P664" s="39"/>
      <c r="Q664" s="30"/>
      <c r="R664" s="50"/>
      <c r="S664" s="49"/>
    </row>
    <row r="665" spans="1:19" ht="15.75" customHeight="1" x14ac:dyDescent="0.3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84"/>
      <c r="M665" s="84"/>
      <c r="N665" s="84"/>
      <c r="O665" s="30"/>
      <c r="P665" s="39"/>
      <c r="Q665" s="30"/>
      <c r="R665" s="50"/>
      <c r="S665" s="49"/>
    </row>
    <row r="666" spans="1:19" ht="15.75" customHeight="1" x14ac:dyDescent="0.3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84"/>
      <c r="M666" s="84"/>
      <c r="N666" s="84"/>
      <c r="O666" s="30"/>
      <c r="P666" s="39"/>
      <c r="Q666" s="30"/>
      <c r="R666" s="50"/>
      <c r="S666" s="49"/>
    </row>
    <row r="667" spans="1:19" ht="15.75" customHeight="1" x14ac:dyDescent="0.3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84"/>
      <c r="M667" s="84"/>
      <c r="N667" s="84"/>
      <c r="O667" s="30"/>
      <c r="P667" s="39"/>
      <c r="Q667" s="30"/>
      <c r="R667" s="50"/>
      <c r="S667" s="49"/>
    </row>
    <row r="668" spans="1:19" ht="15.75" customHeight="1" x14ac:dyDescent="0.3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84"/>
      <c r="M668" s="84"/>
      <c r="N668" s="84"/>
      <c r="O668" s="30"/>
      <c r="P668" s="39"/>
      <c r="Q668" s="30"/>
      <c r="R668" s="50"/>
      <c r="S668" s="49"/>
    </row>
    <row r="669" spans="1:19" ht="15.75" customHeight="1" x14ac:dyDescent="0.3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84"/>
      <c r="M669" s="84"/>
      <c r="N669" s="84"/>
      <c r="O669" s="30"/>
      <c r="P669" s="39"/>
      <c r="Q669" s="30"/>
      <c r="R669" s="50"/>
      <c r="S669" s="49"/>
    </row>
    <row r="670" spans="1:19" ht="15.75" customHeight="1" x14ac:dyDescent="0.3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84"/>
      <c r="M670" s="84"/>
      <c r="N670" s="84"/>
      <c r="O670" s="30"/>
      <c r="P670" s="39"/>
      <c r="Q670" s="30"/>
      <c r="R670" s="50"/>
      <c r="S670" s="49"/>
    </row>
    <row r="671" spans="1:19" ht="15.75" customHeight="1" x14ac:dyDescent="0.3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84"/>
      <c r="M671" s="84"/>
      <c r="N671" s="84"/>
      <c r="O671" s="30"/>
      <c r="P671" s="39"/>
      <c r="Q671" s="30"/>
      <c r="R671" s="50"/>
      <c r="S671" s="49"/>
    </row>
    <row r="672" spans="1:19" ht="15.75" customHeight="1" x14ac:dyDescent="0.3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84"/>
      <c r="M672" s="84"/>
      <c r="N672" s="84"/>
      <c r="O672" s="30"/>
      <c r="P672" s="39"/>
      <c r="Q672" s="30"/>
      <c r="R672" s="50"/>
      <c r="S672" s="49"/>
    </row>
    <row r="673" spans="1:19" ht="15.75" customHeight="1" x14ac:dyDescent="0.3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84"/>
      <c r="M673" s="84"/>
      <c r="N673" s="84"/>
      <c r="O673" s="30"/>
      <c r="P673" s="39"/>
      <c r="Q673" s="30"/>
      <c r="R673" s="50"/>
      <c r="S673" s="49"/>
    </row>
    <row r="674" spans="1:19" ht="15.75" customHeight="1" x14ac:dyDescent="0.3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84"/>
      <c r="M674" s="84"/>
      <c r="N674" s="84"/>
      <c r="O674" s="30"/>
      <c r="P674" s="39"/>
      <c r="Q674" s="30"/>
      <c r="R674" s="50"/>
      <c r="S674" s="49"/>
    </row>
    <row r="675" spans="1:19" ht="15.75" customHeight="1" x14ac:dyDescent="0.3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84"/>
      <c r="M675" s="84"/>
      <c r="N675" s="84"/>
      <c r="O675" s="30"/>
      <c r="P675" s="39"/>
      <c r="Q675" s="30"/>
      <c r="R675" s="50"/>
      <c r="S675" s="49"/>
    </row>
    <row r="676" spans="1:19" ht="15.75" customHeight="1" x14ac:dyDescent="0.3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84"/>
      <c r="M676" s="84"/>
      <c r="N676" s="84"/>
      <c r="O676" s="30"/>
      <c r="P676" s="39"/>
      <c r="Q676" s="30"/>
      <c r="R676" s="50"/>
      <c r="S676" s="49"/>
    </row>
    <row r="677" spans="1:19" ht="15.75" customHeight="1" x14ac:dyDescent="0.3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84"/>
      <c r="M677" s="84"/>
      <c r="N677" s="84"/>
      <c r="O677" s="30"/>
      <c r="P677" s="39"/>
      <c r="Q677" s="30"/>
      <c r="R677" s="50"/>
      <c r="S677" s="49"/>
    </row>
    <row r="678" spans="1:19" ht="15.75" customHeight="1" x14ac:dyDescent="0.3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84"/>
      <c r="M678" s="84"/>
      <c r="N678" s="84"/>
      <c r="O678" s="30"/>
      <c r="P678" s="39"/>
      <c r="Q678" s="30"/>
      <c r="R678" s="50"/>
      <c r="S678" s="49"/>
    </row>
    <row r="679" spans="1:19" ht="15.75" customHeight="1" x14ac:dyDescent="0.3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84"/>
      <c r="M679" s="84"/>
      <c r="N679" s="84"/>
      <c r="O679" s="30"/>
      <c r="P679" s="39"/>
      <c r="Q679" s="30"/>
      <c r="R679" s="50"/>
      <c r="S679" s="49"/>
    </row>
    <row r="680" spans="1:19" ht="15.75" customHeight="1" x14ac:dyDescent="0.3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84"/>
      <c r="M680" s="84"/>
      <c r="N680" s="84"/>
      <c r="O680" s="30"/>
      <c r="P680" s="39"/>
      <c r="Q680" s="30"/>
      <c r="R680" s="50"/>
      <c r="S680" s="49"/>
    </row>
    <row r="681" spans="1:19" ht="15.75" customHeight="1" x14ac:dyDescent="0.3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84"/>
      <c r="M681" s="84"/>
      <c r="N681" s="84"/>
      <c r="O681" s="30"/>
      <c r="P681" s="39"/>
      <c r="Q681" s="30"/>
      <c r="R681" s="50"/>
      <c r="S681" s="49"/>
    </row>
    <row r="682" spans="1:19" ht="15.75" customHeight="1" x14ac:dyDescent="0.3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84"/>
      <c r="M682" s="84"/>
      <c r="N682" s="84"/>
      <c r="O682" s="30"/>
      <c r="P682" s="39"/>
      <c r="Q682" s="30"/>
      <c r="R682" s="50"/>
      <c r="S682" s="49"/>
    </row>
    <row r="683" spans="1:19" ht="15.75" customHeight="1" x14ac:dyDescent="0.3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84"/>
      <c r="M683" s="84"/>
      <c r="N683" s="84"/>
      <c r="O683" s="30"/>
      <c r="P683" s="39"/>
      <c r="Q683" s="30"/>
      <c r="R683" s="50"/>
      <c r="S683" s="49"/>
    </row>
    <row r="684" spans="1:19" ht="15.75" customHeight="1" x14ac:dyDescent="0.3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84"/>
      <c r="M684" s="84"/>
      <c r="N684" s="84"/>
      <c r="O684" s="30"/>
      <c r="P684" s="39"/>
      <c r="Q684" s="30"/>
      <c r="R684" s="50"/>
      <c r="S684" s="49"/>
    </row>
    <row r="685" spans="1:19" ht="15.75" customHeight="1" x14ac:dyDescent="0.3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84"/>
      <c r="M685" s="84"/>
      <c r="N685" s="84"/>
      <c r="O685" s="30"/>
      <c r="P685" s="39"/>
      <c r="Q685" s="30"/>
      <c r="R685" s="50"/>
      <c r="S685" s="49"/>
    </row>
    <row r="686" spans="1:19" ht="15.75" customHeight="1" x14ac:dyDescent="0.3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84"/>
      <c r="M686" s="84"/>
      <c r="N686" s="84"/>
      <c r="O686" s="30"/>
      <c r="P686" s="39"/>
      <c r="Q686" s="30"/>
      <c r="R686" s="50"/>
      <c r="S686" s="49"/>
    </row>
    <row r="687" spans="1:19" ht="15.75" customHeight="1" x14ac:dyDescent="0.3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84"/>
      <c r="M687" s="84"/>
      <c r="N687" s="84"/>
      <c r="O687" s="30"/>
      <c r="P687" s="39"/>
      <c r="Q687" s="30"/>
      <c r="R687" s="50"/>
      <c r="S687" s="49"/>
    </row>
    <row r="688" spans="1:19" ht="15.75" customHeight="1" x14ac:dyDescent="0.3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84"/>
      <c r="M688" s="84"/>
      <c r="N688" s="84"/>
      <c r="O688" s="30"/>
      <c r="P688" s="39"/>
      <c r="Q688" s="30"/>
      <c r="R688" s="50"/>
      <c r="S688" s="49"/>
    </row>
    <row r="689" spans="1:19" ht="15.75" customHeight="1" x14ac:dyDescent="0.3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84"/>
      <c r="M689" s="84"/>
      <c r="N689" s="84"/>
      <c r="O689" s="30"/>
      <c r="P689" s="39"/>
      <c r="Q689" s="30"/>
      <c r="R689" s="50"/>
      <c r="S689" s="49"/>
    </row>
    <row r="690" spans="1:19" ht="15.75" customHeight="1" x14ac:dyDescent="0.3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84"/>
      <c r="M690" s="84"/>
      <c r="N690" s="84"/>
      <c r="O690" s="30"/>
      <c r="P690" s="39"/>
      <c r="Q690" s="30"/>
      <c r="R690" s="50"/>
      <c r="S690" s="49"/>
    </row>
    <row r="691" spans="1:19" ht="15.75" customHeight="1" x14ac:dyDescent="0.3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84"/>
      <c r="M691" s="84"/>
      <c r="N691" s="84"/>
      <c r="O691" s="30"/>
      <c r="P691" s="39"/>
      <c r="Q691" s="30"/>
      <c r="R691" s="50"/>
      <c r="S691" s="49"/>
    </row>
    <row r="692" spans="1:19" ht="15.75" customHeight="1" x14ac:dyDescent="0.3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84"/>
      <c r="M692" s="84"/>
      <c r="N692" s="84"/>
      <c r="O692" s="30"/>
      <c r="P692" s="39"/>
      <c r="Q692" s="30"/>
      <c r="R692" s="50"/>
      <c r="S692" s="49"/>
    </row>
    <row r="693" spans="1:19" ht="15.75" customHeight="1" x14ac:dyDescent="0.3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84"/>
      <c r="M693" s="84"/>
      <c r="N693" s="84"/>
      <c r="O693" s="30"/>
      <c r="P693" s="39"/>
      <c r="Q693" s="30"/>
      <c r="R693" s="50"/>
      <c r="S693" s="49"/>
    </row>
    <row r="694" spans="1:19" ht="15.75" customHeight="1" x14ac:dyDescent="0.3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84"/>
      <c r="M694" s="84"/>
      <c r="N694" s="84"/>
      <c r="O694" s="30"/>
      <c r="P694" s="39"/>
      <c r="Q694" s="30"/>
      <c r="R694" s="50"/>
      <c r="S694" s="49"/>
    </row>
    <row r="695" spans="1:19" ht="15.75" customHeight="1" x14ac:dyDescent="0.3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84"/>
      <c r="M695" s="84"/>
      <c r="N695" s="84"/>
      <c r="O695" s="30"/>
      <c r="P695" s="39"/>
      <c r="Q695" s="30"/>
      <c r="R695" s="50"/>
      <c r="S695" s="49"/>
    </row>
    <row r="696" spans="1:19" ht="15.75" customHeight="1" x14ac:dyDescent="0.3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84"/>
      <c r="M696" s="84"/>
      <c r="N696" s="84"/>
      <c r="O696" s="30"/>
      <c r="P696" s="39"/>
      <c r="Q696" s="30"/>
      <c r="R696" s="50"/>
      <c r="S696" s="49"/>
    </row>
    <row r="697" spans="1:19" ht="15.75" customHeight="1" x14ac:dyDescent="0.3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84"/>
      <c r="M697" s="84"/>
      <c r="N697" s="84"/>
      <c r="O697" s="30"/>
      <c r="P697" s="39"/>
      <c r="Q697" s="30"/>
      <c r="R697" s="50"/>
      <c r="S697" s="49"/>
    </row>
    <row r="698" spans="1:19" ht="15.75" customHeight="1" x14ac:dyDescent="0.3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84"/>
      <c r="M698" s="84"/>
      <c r="N698" s="84"/>
      <c r="O698" s="30"/>
      <c r="P698" s="39"/>
      <c r="Q698" s="30"/>
      <c r="R698" s="50"/>
      <c r="S698" s="49"/>
    </row>
    <row r="699" spans="1:19" ht="15.75" customHeight="1" x14ac:dyDescent="0.3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84"/>
      <c r="M699" s="84"/>
      <c r="N699" s="84"/>
      <c r="O699" s="30"/>
      <c r="P699" s="39"/>
      <c r="Q699" s="30"/>
      <c r="R699" s="50"/>
      <c r="S699" s="49"/>
    </row>
    <row r="700" spans="1:19" ht="15.75" customHeight="1" x14ac:dyDescent="0.3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84"/>
      <c r="M700" s="84"/>
      <c r="N700" s="84"/>
      <c r="O700" s="30"/>
      <c r="P700" s="39"/>
      <c r="Q700" s="30"/>
      <c r="R700" s="50"/>
      <c r="S700" s="49"/>
    </row>
    <row r="701" spans="1:19" ht="15.75" customHeight="1" x14ac:dyDescent="0.3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84"/>
      <c r="M701" s="84"/>
      <c r="N701" s="84"/>
      <c r="O701" s="30"/>
      <c r="P701" s="39"/>
      <c r="Q701" s="30"/>
      <c r="R701" s="50"/>
      <c r="S701" s="49"/>
    </row>
    <row r="702" spans="1:19" ht="15.75" customHeight="1" x14ac:dyDescent="0.3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84"/>
      <c r="M702" s="84"/>
      <c r="N702" s="84"/>
      <c r="O702" s="30"/>
      <c r="P702" s="39"/>
      <c r="Q702" s="30"/>
      <c r="R702" s="50"/>
      <c r="S702" s="49"/>
    </row>
    <row r="703" spans="1:19" ht="15.75" customHeight="1" x14ac:dyDescent="0.3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84"/>
      <c r="M703" s="84"/>
      <c r="N703" s="84"/>
      <c r="O703" s="30"/>
      <c r="P703" s="39"/>
      <c r="Q703" s="30"/>
      <c r="R703" s="50"/>
      <c r="S703" s="49"/>
    </row>
    <row r="704" spans="1:19" ht="15.75" customHeight="1" x14ac:dyDescent="0.3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84"/>
      <c r="M704" s="84"/>
      <c r="N704" s="84"/>
      <c r="O704" s="30"/>
      <c r="P704" s="39"/>
      <c r="Q704" s="30"/>
      <c r="R704" s="50"/>
      <c r="S704" s="49"/>
    </row>
    <row r="705" spans="1:19" ht="15.75" customHeight="1" x14ac:dyDescent="0.3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84"/>
      <c r="M705" s="84"/>
      <c r="N705" s="84"/>
      <c r="O705" s="30"/>
      <c r="P705" s="39"/>
      <c r="Q705" s="30"/>
      <c r="R705" s="50"/>
      <c r="S705" s="49"/>
    </row>
    <row r="706" spans="1:19" ht="15.75" customHeight="1" x14ac:dyDescent="0.3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84"/>
      <c r="M706" s="84"/>
      <c r="N706" s="84"/>
      <c r="O706" s="30"/>
      <c r="P706" s="39"/>
      <c r="Q706" s="30"/>
      <c r="R706" s="50"/>
      <c r="S706" s="49"/>
    </row>
    <row r="707" spans="1:19" ht="15.75" customHeight="1" x14ac:dyDescent="0.3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84"/>
      <c r="M707" s="84"/>
      <c r="N707" s="84"/>
      <c r="O707" s="30"/>
      <c r="P707" s="39"/>
      <c r="Q707" s="30"/>
      <c r="R707" s="50"/>
      <c r="S707" s="49"/>
    </row>
    <row r="708" spans="1:19" ht="15.75" customHeight="1" x14ac:dyDescent="0.3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84"/>
      <c r="M708" s="84"/>
      <c r="N708" s="84"/>
      <c r="O708" s="30"/>
      <c r="P708" s="39"/>
      <c r="Q708" s="30"/>
      <c r="R708" s="50"/>
      <c r="S708" s="49"/>
    </row>
    <row r="709" spans="1:19" ht="15.75" customHeight="1" x14ac:dyDescent="0.3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84"/>
      <c r="M709" s="84"/>
      <c r="N709" s="84"/>
      <c r="O709" s="30"/>
      <c r="P709" s="39"/>
      <c r="Q709" s="30"/>
      <c r="R709" s="50"/>
      <c r="S709" s="49"/>
    </row>
    <row r="710" spans="1:19" ht="15.75" customHeight="1" x14ac:dyDescent="0.3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84"/>
      <c r="M710" s="84"/>
      <c r="N710" s="84"/>
      <c r="O710" s="30"/>
      <c r="P710" s="39"/>
      <c r="Q710" s="30"/>
      <c r="R710" s="50"/>
      <c r="S710" s="49"/>
    </row>
    <row r="711" spans="1:19" ht="15.75" customHeight="1" x14ac:dyDescent="0.3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84"/>
      <c r="M711" s="84"/>
      <c r="N711" s="84"/>
      <c r="O711" s="30"/>
      <c r="P711" s="39"/>
      <c r="Q711" s="30"/>
      <c r="R711" s="50"/>
      <c r="S711" s="49"/>
    </row>
    <row r="712" spans="1:19" ht="15.75" customHeight="1" x14ac:dyDescent="0.3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84"/>
      <c r="M712" s="84"/>
      <c r="N712" s="84"/>
      <c r="O712" s="30"/>
      <c r="P712" s="39"/>
      <c r="Q712" s="30"/>
      <c r="R712" s="50"/>
      <c r="S712" s="49"/>
    </row>
    <row r="713" spans="1:19" ht="15.75" customHeight="1" x14ac:dyDescent="0.3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84"/>
      <c r="M713" s="84"/>
      <c r="N713" s="84"/>
      <c r="O713" s="30"/>
      <c r="P713" s="39"/>
      <c r="Q713" s="30"/>
      <c r="R713" s="50"/>
      <c r="S713" s="49"/>
    </row>
    <row r="714" spans="1:19" ht="15.75" customHeight="1" x14ac:dyDescent="0.3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84"/>
      <c r="M714" s="84"/>
      <c r="N714" s="84"/>
      <c r="O714" s="30"/>
      <c r="P714" s="39"/>
      <c r="Q714" s="30"/>
      <c r="R714" s="50"/>
      <c r="S714" s="49"/>
    </row>
    <row r="715" spans="1:19" ht="15.75" customHeight="1" x14ac:dyDescent="0.3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84"/>
      <c r="M715" s="84"/>
      <c r="N715" s="84"/>
      <c r="O715" s="30"/>
      <c r="P715" s="39"/>
      <c r="Q715" s="30"/>
      <c r="R715" s="50"/>
      <c r="S715" s="49"/>
    </row>
    <row r="716" spans="1:19" ht="15.75" customHeight="1" x14ac:dyDescent="0.3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84"/>
      <c r="M716" s="84"/>
      <c r="N716" s="84"/>
      <c r="O716" s="30"/>
      <c r="P716" s="39"/>
      <c r="Q716" s="30"/>
      <c r="R716" s="50"/>
      <c r="S716" s="49"/>
    </row>
    <row r="717" spans="1:19" ht="15.75" customHeight="1" x14ac:dyDescent="0.3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84"/>
      <c r="M717" s="84"/>
      <c r="N717" s="84"/>
      <c r="O717" s="30"/>
      <c r="P717" s="39"/>
      <c r="Q717" s="30"/>
      <c r="R717" s="50"/>
      <c r="S717" s="49"/>
    </row>
    <row r="718" spans="1:19" ht="15.75" customHeight="1" x14ac:dyDescent="0.3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84"/>
      <c r="M718" s="84"/>
      <c r="N718" s="84"/>
      <c r="O718" s="30"/>
      <c r="P718" s="39"/>
      <c r="Q718" s="30"/>
      <c r="R718" s="50"/>
      <c r="S718" s="49"/>
    </row>
    <row r="719" spans="1:19" ht="15.75" customHeight="1" x14ac:dyDescent="0.3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84"/>
      <c r="M719" s="84"/>
      <c r="N719" s="84"/>
      <c r="O719" s="30"/>
      <c r="P719" s="39"/>
      <c r="Q719" s="30"/>
      <c r="R719" s="50"/>
      <c r="S719" s="49"/>
    </row>
    <row r="720" spans="1:19" ht="15.75" customHeight="1" x14ac:dyDescent="0.3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84"/>
      <c r="M720" s="84"/>
      <c r="N720" s="84"/>
      <c r="O720" s="30"/>
      <c r="P720" s="39"/>
      <c r="Q720" s="30"/>
      <c r="R720" s="50"/>
      <c r="S720" s="49"/>
    </row>
    <row r="721" spans="1:19" ht="15.75" customHeight="1" x14ac:dyDescent="0.3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84"/>
      <c r="M721" s="84"/>
      <c r="N721" s="84"/>
      <c r="O721" s="30"/>
      <c r="P721" s="39"/>
      <c r="Q721" s="30"/>
      <c r="R721" s="50"/>
      <c r="S721" s="49"/>
    </row>
    <row r="722" spans="1:19" ht="15.75" customHeight="1" x14ac:dyDescent="0.3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84"/>
      <c r="M722" s="84"/>
      <c r="N722" s="84"/>
      <c r="O722" s="30"/>
      <c r="P722" s="39"/>
      <c r="Q722" s="30"/>
      <c r="R722" s="50"/>
      <c r="S722" s="49"/>
    </row>
    <row r="723" spans="1:19" ht="15.75" customHeight="1" x14ac:dyDescent="0.3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84"/>
      <c r="M723" s="84"/>
      <c r="N723" s="84"/>
      <c r="O723" s="30"/>
      <c r="P723" s="39"/>
      <c r="Q723" s="30"/>
      <c r="R723" s="50"/>
      <c r="S723" s="49"/>
    </row>
    <row r="724" spans="1:19" ht="15.75" customHeight="1" x14ac:dyDescent="0.3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84"/>
      <c r="M724" s="84"/>
      <c r="N724" s="84"/>
      <c r="O724" s="30"/>
      <c r="P724" s="39"/>
      <c r="Q724" s="30"/>
      <c r="R724" s="50"/>
      <c r="S724" s="49"/>
    </row>
    <row r="725" spans="1:19" ht="15.75" customHeight="1" x14ac:dyDescent="0.3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84"/>
      <c r="M725" s="84"/>
      <c r="N725" s="84"/>
      <c r="O725" s="30"/>
      <c r="P725" s="39"/>
      <c r="Q725" s="30"/>
      <c r="R725" s="50"/>
      <c r="S725" s="49"/>
    </row>
    <row r="726" spans="1:19" ht="15.75" customHeight="1" x14ac:dyDescent="0.3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84"/>
      <c r="M726" s="84"/>
      <c r="N726" s="84"/>
      <c r="O726" s="30"/>
      <c r="P726" s="39"/>
      <c r="Q726" s="30"/>
      <c r="R726" s="50"/>
      <c r="S726" s="49"/>
    </row>
    <row r="727" spans="1:19" ht="15.75" customHeight="1" x14ac:dyDescent="0.3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84"/>
      <c r="M727" s="84"/>
      <c r="N727" s="84"/>
      <c r="O727" s="30"/>
      <c r="P727" s="39"/>
      <c r="Q727" s="30"/>
      <c r="R727" s="50"/>
      <c r="S727" s="49"/>
    </row>
    <row r="728" spans="1:19" ht="15.75" customHeight="1" x14ac:dyDescent="0.3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84"/>
      <c r="M728" s="84"/>
      <c r="N728" s="84"/>
      <c r="O728" s="30"/>
      <c r="P728" s="39"/>
      <c r="Q728" s="30"/>
      <c r="R728" s="50"/>
      <c r="S728" s="49"/>
    </row>
    <row r="729" spans="1:19" ht="15.75" customHeight="1" x14ac:dyDescent="0.3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84"/>
      <c r="M729" s="84"/>
      <c r="N729" s="84"/>
      <c r="O729" s="30"/>
      <c r="P729" s="39"/>
      <c r="Q729" s="30"/>
      <c r="R729" s="50"/>
      <c r="S729" s="49"/>
    </row>
    <row r="730" spans="1:19" ht="15.75" customHeight="1" x14ac:dyDescent="0.3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84"/>
      <c r="M730" s="84"/>
      <c r="N730" s="84"/>
      <c r="O730" s="30"/>
      <c r="P730" s="39"/>
      <c r="Q730" s="30"/>
      <c r="R730" s="50"/>
      <c r="S730" s="49"/>
    </row>
    <row r="731" spans="1:19" ht="15.75" customHeight="1" x14ac:dyDescent="0.3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84"/>
      <c r="M731" s="84"/>
      <c r="N731" s="84"/>
      <c r="O731" s="30"/>
      <c r="P731" s="39"/>
      <c r="Q731" s="30"/>
      <c r="R731" s="50"/>
      <c r="S731" s="49"/>
    </row>
    <row r="732" spans="1:19" ht="15.75" customHeight="1" x14ac:dyDescent="0.3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84"/>
      <c r="M732" s="84"/>
      <c r="N732" s="84"/>
      <c r="O732" s="30"/>
      <c r="P732" s="39"/>
      <c r="Q732" s="30"/>
      <c r="R732" s="50"/>
      <c r="S732" s="49"/>
    </row>
    <row r="733" spans="1:19" ht="15.75" customHeight="1" x14ac:dyDescent="0.3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84"/>
      <c r="M733" s="84"/>
      <c r="N733" s="84"/>
      <c r="O733" s="30"/>
      <c r="P733" s="39"/>
      <c r="Q733" s="30"/>
      <c r="R733" s="50"/>
      <c r="S733" s="49"/>
    </row>
    <row r="734" spans="1:19" ht="15.75" customHeight="1" x14ac:dyDescent="0.3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84"/>
      <c r="M734" s="84"/>
      <c r="N734" s="84"/>
      <c r="O734" s="30"/>
      <c r="P734" s="39"/>
      <c r="Q734" s="30"/>
      <c r="R734" s="50"/>
      <c r="S734" s="49"/>
    </row>
    <row r="735" spans="1:19" ht="15.75" customHeight="1" x14ac:dyDescent="0.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84"/>
      <c r="M735" s="84"/>
      <c r="N735" s="84"/>
      <c r="O735" s="30"/>
      <c r="P735" s="39"/>
      <c r="Q735" s="30"/>
      <c r="R735" s="50"/>
      <c r="S735" s="49"/>
    </row>
    <row r="736" spans="1:19" ht="15.75" customHeight="1" x14ac:dyDescent="0.3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84"/>
      <c r="M736" s="84"/>
      <c r="N736" s="84"/>
      <c r="O736" s="30"/>
      <c r="P736" s="39"/>
      <c r="Q736" s="30"/>
      <c r="R736" s="50"/>
      <c r="S736" s="49"/>
    </row>
    <row r="737" spans="1:19" ht="15.75" customHeight="1" x14ac:dyDescent="0.3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84"/>
      <c r="M737" s="84"/>
      <c r="N737" s="84"/>
      <c r="O737" s="30"/>
      <c r="P737" s="39"/>
      <c r="Q737" s="30"/>
      <c r="R737" s="50"/>
      <c r="S737" s="49"/>
    </row>
    <row r="738" spans="1:19" ht="15.75" customHeight="1" x14ac:dyDescent="0.3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84"/>
      <c r="M738" s="84"/>
      <c r="N738" s="84"/>
      <c r="O738" s="30"/>
      <c r="P738" s="39"/>
      <c r="Q738" s="30"/>
      <c r="R738" s="50"/>
      <c r="S738" s="49"/>
    </row>
    <row r="739" spans="1:19" ht="15.75" customHeight="1" x14ac:dyDescent="0.3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84"/>
      <c r="M739" s="84"/>
      <c r="N739" s="84"/>
      <c r="O739" s="30"/>
      <c r="P739" s="39"/>
      <c r="Q739" s="30"/>
      <c r="R739" s="50"/>
      <c r="S739" s="49"/>
    </row>
    <row r="740" spans="1:19" ht="15.75" customHeight="1" x14ac:dyDescent="0.3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84"/>
      <c r="M740" s="84"/>
      <c r="N740" s="84"/>
      <c r="O740" s="30"/>
      <c r="P740" s="39"/>
      <c r="Q740" s="30"/>
      <c r="R740" s="50"/>
      <c r="S740" s="49"/>
    </row>
    <row r="741" spans="1:19" ht="15.75" customHeight="1" x14ac:dyDescent="0.3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84"/>
      <c r="M741" s="84"/>
      <c r="N741" s="84"/>
      <c r="O741" s="30"/>
      <c r="P741" s="39"/>
      <c r="Q741" s="30"/>
      <c r="R741" s="50"/>
      <c r="S741" s="49"/>
    </row>
    <row r="742" spans="1:19" ht="15.75" customHeight="1" x14ac:dyDescent="0.3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84"/>
      <c r="M742" s="84"/>
      <c r="N742" s="84"/>
      <c r="O742" s="30"/>
      <c r="P742" s="39"/>
      <c r="Q742" s="30"/>
      <c r="R742" s="50"/>
      <c r="S742" s="49"/>
    </row>
    <row r="743" spans="1:19" ht="15.75" customHeight="1" x14ac:dyDescent="0.3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84"/>
      <c r="M743" s="84"/>
      <c r="N743" s="84"/>
      <c r="O743" s="30"/>
      <c r="P743" s="39"/>
      <c r="Q743" s="30"/>
      <c r="R743" s="50"/>
      <c r="S743" s="49"/>
    </row>
    <row r="744" spans="1:19" ht="15.75" customHeight="1" x14ac:dyDescent="0.3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84"/>
      <c r="M744" s="84"/>
      <c r="N744" s="84"/>
      <c r="O744" s="30"/>
      <c r="P744" s="39"/>
      <c r="Q744" s="30"/>
      <c r="R744" s="50"/>
      <c r="S744" s="49"/>
    </row>
    <row r="745" spans="1:19" ht="15.75" customHeight="1" x14ac:dyDescent="0.3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84"/>
      <c r="M745" s="84"/>
      <c r="N745" s="84"/>
      <c r="O745" s="30"/>
      <c r="P745" s="39"/>
      <c r="Q745" s="30"/>
      <c r="R745" s="50"/>
      <c r="S745" s="49"/>
    </row>
    <row r="746" spans="1:19" ht="15.75" customHeight="1" x14ac:dyDescent="0.3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84"/>
      <c r="M746" s="84"/>
      <c r="N746" s="84"/>
      <c r="O746" s="30"/>
      <c r="P746" s="39"/>
      <c r="Q746" s="30"/>
      <c r="R746" s="50"/>
      <c r="S746" s="49"/>
    </row>
    <row r="747" spans="1:19" ht="15.75" customHeight="1" x14ac:dyDescent="0.3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84"/>
      <c r="M747" s="84"/>
      <c r="N747" s="84"/>
      <c r="O747" s="30"/>
      <c r="P747" s="39"/>
      <c r="Q747" s="30"/>
      <c r="R747" s="50"/>
      <c r="S747" s="49"/>
    </row>
    <row r="748" spans="1:19" ht="15.75" customHeight="1" x14ac:dyDescent="0.3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84"/>
      <c r="M748" s="84"/>
      <c r="N748" s="84"/>
      <c r="O748" s="30"/>
      <c r="P748" s="39"/>
      <c r="Q748" s="30"/>
      <c r="R748" s="50"/>
      <c r="S748" s="49"/>
    </row>
    <row r="749" spans="1:19" ht="15.75" customHeight="1" x14ac:dyDescent="0.3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84"/>
      <c r="M749" s="84"/>
      <c r="N749" s="84"/>
      <c r="O749" s="30"/>
      <c r="P749" s="39"/>
      <c r="Q749" s="30"/>
      <c r="R749" s="50"/>
      <c r="S749" s="49"/>
    </row>
    <row r="750" spans="1:19" ht="15.75" customHeight="1" x14ac:dyDescent="0.3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84"/>
      <c r="M750" s="84"/>
      <c r="N750" s="84"/>
      <c r="O750" s="30"/>
      <c r="P750" s="39"/>
      <c r="Q750" s="30"/>
      <c r="R750" s="50"/>
      <c r="S750" s="49"/>
    </row>
    <row r="751" spans="1:19" ht="15.75" customHeight="1" x14ac:dyDescent="0.3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84"/>
      <c r="M751" s="84"/>
      <c r="N751" s="84"/>
      <c r="O751" s="30"/>
      <c r="P751" s="39"/>
      <c r="Q751" s="30"/>
      <c r="R751" s="50"/>
      <c r="S751" s="49"/>
    </row>
    <row r="752" spans="1:19" ht="15.75" customHeight="1" x14ac:dyDescent="0.3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84"/>
      <c r="M752" s="84"/>
      <c r="N752" s="84"/>
      <c r="O752" s="30"/>
      <c r="P752" s="39"/>
      <c r="Q752" s="30"/>
      <c r="R752" s="50"/>
      <c r="S752" s="49"/>
    </row>
    <row r="753" spans="1:19" ht="15.75" customHeight="1" x14ac:dyDescent="0.3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84"/>
      <c r="M753" s="84"/>
      <c r="N753" s="84"/>
      <c r="O753" s="30"/>
      <c r="P753" s="39"/>
      <c r="Q753" s="30"/>
      <c r="R753" s="50"/>
      <c r="S753" s="49"/>
    </row>
    <row r="754" spans="1:19" ht="15.75" customHeight="1" x14ac:dyDescent="0.3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84"/>
      <c r="M754" s="84"/>
      <c r="N754" s="84"/>
      <c r="O754" s="30"/>
      <c r="P754" s="39"/>
      <c r="Q754" s="30"/>
      <c r="R754" s="50"/>
      <c r="S754" s="49"/>
    </row>
    <row r="755" spans="1:19" ht="15.75" customHeight="1" x14ac:dyDescent="0.3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84"/>
      <c r="M755" s="84"/>
      <c r="N755" s="84"/>
      <c r="O755" s="30"/>
      <c r="P755" s="39"/>
      <c r="Q755" s="30"/>
      <c r="R755" s="50"/>
      <c r="S755" s="49"/>
    </row>
    <row r="756" spans="1:19" ht="15.75" customHeight="1" x14ac:dyDescent="0.3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84"/>
      <c r="M756" s="84"/>
      <c r="N756" s="84"/>
      <c r="O756" s="30"/>
      <c r="P756" s="39"/>
      <c r="Q756" s="30"/>
      <c r="R756" s="50"/>
      <c r="S756" s="49"/>
    </row>
    <row r="757" spans="1:19" ht="15.75" customHeight="1" x14ac:dyDescent="0.3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84"/>
      <c r="M757" s="84"/>
      <c r="N757" s="84"/>
      <c r="O757" s="30"/>
      <c r="P757" s="39"/>
      <c r="Q757" s="30"/>
      <c r="R757" s="50"/>
      <c r="S757" s="49"/>
    </row>
    <row r="758" spans="1:19" ht="15.75" customHeight="1" x14ac:dyDescent="0.3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84"/>
      <c r="M758" s="84"/>
      <c r="N758" s="84"/>
      <c r="O758" s="30"/>
      <c r="P758" s="39"/>
      <c r="Q758" s="30"/>
      <c r="R758" s="50"/>
      <c r="S758" s="49"/>
    </row>
    <row r="759" spans="1:19" ht="15.75" customHeight="1" x14ac:dyDescent="0.3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84"/>
      <c r="M759" s="84"/>
      <c r="N759" s="84"/>
      <c r="O759" s="30"/>
      <c r="P759" s="39"/>
      <c r="Q759" s="30"/>
      <c r="R759" s="50"/>
      <c r="S759" s="49"/>
    </row>
    <row r="760" spans="1:19" ht="15.75" customHeight="1" x14ac:dyDescent="0.3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84"/>
      <c r="M760" s="84"/>
      <c r="N760" s="84"/>
      <c r="O760" s="30"/>
      <c r="P760" s="39"/>
      <c r="Q760" s="30"/>
      <c r="R760" s="50"/>
      <c r="S760" s="49"/>
    </row>
    <row r="761" spans="1:19" ht="15.75" customHeight="1" x14ac:dyDescent="0.3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84"/>
      <c r="M761" s="84"/>
      <c r="N761" s="84"/>
      <c r="O761" s="30"/>
      <c r="P761" s="39"/>
      <c r="Q761" s="30"/>
      <c r="R761" s="50"/>
      <c r="S761" s="49"/>
    </row>
    <row r="762" spans="1:19" ht="15.75" customHeight="1" x14ac:dyDescent="0.3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84"/>
      <c r="M762" s="84"/>
      <c r="N762" s="84"/>
      <c r="O762" s="30"/>
      <c r="P762" s="39"/>
      <c r="Q762" s="30"/>
      <c r="R762" s="50"/>
      <c r="S762" s="49"/>
    </row>
    <row r="763" spans="1:19" ht="15.75" customHeight="1" x14ac:dyDescent="0.3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84"/>
      <c r="M763" s="84"/>
      <c r="N763" s="84"/>
      <c r="O763" s="30"/>
      <c r="P763" s="39"/>
      <c r="Q763" s="30"/>
      <c r="R763" s="50"/>
      <c r="S763" s="49"/>
    </row>
    <row r="764" spans="1:19" ht="15.75" customHeight="1" x14ac:dyDescent="0.3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84"/>
      <c r="M764" s="84"/>
      <c r="N764" s="84"/>
      <c r="O764" s="30"/>
      <c r="P764" s="39"/>
      <c r="Q764" s="30"/>
      <c r="R764" s="50"/>
      <c r="S764" s="49"/>
    </row>
    <row r="765" spans="1:19" ht="15.75" customHeight="1" x14ac:dyDescent="0.3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84"/>
      <c r="M765" s="84"/>
      <c r="N765" s="84"/>
      <c r="O765" s="30"/>
      <c r="P765" s="39"/>
      <c r="Q765" s="30"/>
      <c r="R765" s="50"/>
      <c r="S765" s="49"/>
    </row>
    <row r="766" spans="1:19" ht="15.75" customHeight="1" x14ac:dyDescent="0.3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84"/>
      <c r="M766" s="84"/>
      <c r="N766" s="84"/>
      <c r="O766" s="30"/>
      <c r="P766" s="39"/>
      <c r="Q766" s="30"/>
      <c r="R766" s="50"/>
      <c r="S766" s="49"/>
    </row>
    <row r="767" spans="1:19" ht="15.75" customHeight="1" x14ac:dyDescent="0.3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84"/>
      <c r="M767" s="84"/>
      <c r="N767" s="84"/>
      <c r="O767" s="30"/>
      <c r="P767" s="39"/>
      <c r="Q767" s="30"/>
      <c r="R767" s="50"/>
      <c r="S767" s="49"/>
    </row>
    <row r="768" spans="1:19" ht="15.75" customHeight="1" x14ac:dyDescent="0.3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84"/>
      <c r="M768" s="84"/>
      <c r="N768" s="84"/>
      <c r="O768" s="30"/>
      <c r="P768" s="39"/>
      <c r="Q768" s="30"/>
      <c r="R768" s="50"/>
      <c r="S768" s="49"/>
    </row>
    <row r="769" spans="1:19" ht="15.75" customHeight="1" x14ac:dyDescent="0.3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84"/>
      <c r="M769" s="84"/>
      <c r="N769" s="84"/>
      <c r="O769" s="30"/>
      <c r="P769" s="39"/>
      <c r="Q769" s="30"/>
      <c r="R769" s="50"/>
      <c r="S769" s="49"/>
    </row>
    <row r="770" spans="1:19" ht="15.75" customHeight="1" x14ac:dyDescent="0.3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84"/>
      <c r="M770" s="84"/>
      <c r="N770" s="84"/>
      <c r="O770" s="30"/>
      <c r="P770" s="39"/>
      <c r="Q770" s="30"/>
      <c r="R770" s="50"/>
      <c r="S770" s="49"/>
    </row>
    <row r="771" spans="1:19" ht="15.75" customHeight="1" x14ac:dyDescent="0.3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84"/>
      <c r="M771" s="84"/>
      <c r="N771" s="84"/>
      <c r="O771" s="30"/>
      <c r="P771" s="39"/>
      <c r="Q771" s="30"/>
      <c r="R771" s="50"/>
      <c r="S771" s="49"/>
    </row>
    <row r="772" spans="1:19" ht="15.75" customHeight="1" x14ac:dyDescent="0.3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84"/>
      <c r="M772" s="84"/>
      <c r="N772" s="84"/>
      <c r="O772" s="30"/>
      <c r="P772" s="39"/>
      <c r="Q772" s="30"/>
      <c r="R772" s="50"/>
      <c r="S772" s="49"/>
    </row>
    <row r="773" spans="1:19" ht="15.75" customHeight="1" x14ac:dyDescent="0.3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84"/>
      <c r="M773" s="84"/>
      <c r="N773" s="84"/>
      <c r="O773" s="30"/>
      <c r="P773" s="39"/>
      <c r="Q773" s="30"/>
      <c r="R773" s="50"/>
      <c r="S773" s="49"/>
    </row>
    <row r="774" spans="1:19" ht="15.75" customHeight="1" x14ac:dyDescent="0.3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84"/>
      <c r="M774" s="84"/>
      <c r="N774" s="84"/>
      <c r="O774" s="30"/>
      <c r="P774" s="39"/>
      <c r="Q774" s="30"/>
      <c r="R774" s="50"/>
      <c r="S774" s="49"/>
    </row>
    <row r="775" spans="1:19" ht="15.75" customHeight="1" x14ac:dyDescent="0.3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84"/>
      <c r="M775" s="84"/>
      <c r="N775" s="84"/>
      <c r="O775" s="30"/>
      <c r="P775" s="39"/>
      <c r="Q775" s="30"/>
      <c r="R775" s="50"/>
      <c r="S775" s="49"/>
    </row>
    <row r="776" spans="1:19" ht="15.75" customHeight="1" x14ac:dyDescent="0.3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84"/>
      <c r="M776" s="84"/>
      <c r="N776" s="84"/>
      <c r="O776" s="30"/>
      <c r="P776" s="39"/>
      <c r="Q776" s="30"/>
      <c r="R776" s="50"/>
      <c r="S776" s="49"/>
    </row>
    <row r="777" spans="1:19" ht="15.75" customHeight="1" x14ac:dyDescent="0.3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84"/>
      <c r="M777" s="84"/>
      <c r="N777" s="84"/>
      <c r="O777" s="30"/>
      <c r="P777" s="39"/>
      <c r="Q777" s="30"/>
      <c r="R777" s="50"/>
      <c r="S777" s="49"/>
    </row>
    <row r="778" spans="1:19" ht="15.75" customHeight="1" x14ac:dyDescent="0.3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84"/>
      <c r="M778" s="84"/>
      <c r="N778" s="84"/>
      <c r="O778" s="30"/>
      <c r="P778" s="39"/>
      <c r="Q778" s="30"/>
      <c r="R778" s="50"/>
      <c r="S778" s="49"/>
    </row>
    <row r="779" spans="1:19" ht="15.75" customHeight="1" x14ac:dyDescent="0.3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84"/>
      <c r="M779" s="84"/>
      <c r="N779" s="84"/>
      <c r="O779" s="30"/>
      <c r="P779" s="39"/>
      <c r="Q779" s="30"/>
      <c r="R779" s="50"/>
      <c r="S779" s="49"/>
    </row>
    <row r="780" spans="1:19" ht="15.75" customHeight="1" x14ac:dyDescent="0.3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84"/>
      <c r="M780" s="84"/>
      <c r="N780" s="84"/>
      <c r="O780" s="30"/>
      <c r="P780" s="39"/>
      <c r="Q780" s="30"/>
      <c r="R780" s="50"/>
      <c r="S780" s="49"/>
    </row>
    <row r="781" spans="1:19" ht="15.75" customHeight="1" x14ac:dyDescent="0.3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84"/>
      <c r="M781" s="84"/>
      <c r="N781" s="84"/>
      <c r="O781" s="30"/>
      <c r="P781" s="39"/>
      <c r="Q781" s="30"/>
      <c r="R781" s="50"/>
      <c r="S781" s="49"/>
    </row>
    <row r="782" spans="1:19" ht="15.75" customHeight="1" x14ac:dyDescent="0.3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84"/>
      <c r="M782" s="84"/>
      <c r="N782" s="84"/>
      <c r="O782" s="30"/>
      <c r="P782" s="39"/>
      <c r="Q782" s="30"/>
      <c r="R782" s="50"/>
      <c r="S782" s="49"/>
    </row>
    <row r="783" spans="1:19" ht="15.75" customHeight="1" x14ac:dyDescent="0.3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84"/>
      <c r="M783" s="84"/>
      <c r="N783" s="84"/>
      <c r="O783" s="30"/>
      <c r="P783" s="39"/>
      <c r="Q783" s="30"/>
      <c r="R783" s="50"/>
      <c r="S783" s="49"/>
    </row>
    <row r="784" spans="1:19" ht="15.75" customHeight="1" x14ac:dyDescent="0.3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84"/>
      <c r="M784" s="84"/>
      <c r="N784" s="84"/>
      <c r="O784" s="30"/>
      <c r="P784" s="39"/>
      <c r="Q784" s="30"/>
      <c r="R784" s="50"/>
      <c r="S784" s="49"/>
    </row>
    <row r="785" spans="1:19" ht="15.75" customHeight="1" x14ac:dyDescent="0.3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84"/>
      <c r="M785" s="84"/>
      <c r="N785" s="84"/>
      <c r="O785" s="30"/>
      <c r="P785" s="39"/>
      <c r="Q785" s="30"/>
      <c r="R785" s="50"/>
      <c r="S785" s="49"/>
    </row>
    <row r="786" spans="1:19" ht="15.75" customHeight="1" x14ac:dyDescent="0.3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84"/>
      <c r="M786" s="84"/>
      <c r="N786" s="84"/>
      <c r="O786" s="30"/>
      <c r="P786" s="39"/>
      <c r="Q786" s="30"/>
      <c r="R786" s="50"/>
      <c r="S786" s="49"/>
    </row>
    <row r="787" spans="1:19" ht="15.75" customHeight="1" x14ac:dyDescent="0.3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84"/>
      <c r="M787" s="84"/>
      <c r="N787" s="84"/>
      <c r="O787" s="30"/>
      <c r="P787" s="39"/>
      <c r="Q787" s="30"/>
      <c r="R787" s="50"/>
      <c r="S787" s="49"/>
    </row>
    <row r="788" spans="1:19" ht="15.75" customHeight="1" x14ac:dyDescent="0.3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84"/>
      <c r="M788" s="84"/>
      <c r="N788" s="84"/>
      <c r="O788" s="30"/>
      <c r="P788" s="39"/>
      <c r="Q788" s="30"/>
      <c r="R788" s="50"/>
      <c r="S788" s="49"/>
    </row>
    <row r="789" spans="1:19" ht="15.75" customHeight="1" x14ac:dyDescent="0.3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84"/>
      <c r="M789" s="84"/>
      <c r="N789" s="84"/>
      <c r="O789" s="30"/>
      <c r="P789" s="39"/>
      <c r="Q789" s="30"/>
      <c r="R789" s="50"/>
      <c r="S789" s="49"/>
    </row>
    <row r="790" spans="1:19" ht="15.75" customHeight="1" x14ac:dyDescent="0.3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84"/>
      <c r="M790" s="84"/>
      <c r="N790" s="84"/>
      <c r="O790" s="30"/>
      <c r="P790" s="39"/>
      <c r="Q790" s="30"/>
      <c r="R790" s="50"/>
      <c r="S790" s="49"/>
    </row>
    <row r="791" spans="1:19" ht="15.75" customHeight="1" x14ac:dyDescent="0.3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84"/>
      <c r="M791" s="84"/>
      <c r="N791" s="84"/>
      <c r="O791" s="30"/>
      <c r="P791" s="39"/>
      <c r="Q791" s="30"/>
      <c r="R791" s="50"/>
      <c r="S791" s="49"/>
    </row>
    <row r="792" spans="1:19" ht="15.75" customHeight="1" x14ac:dyDescent="0.3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84"/>
      <c r="M792" s="84"/>
      <c r="N792" s="84"/>
      <c r="O792" s="30"/>
      <c r="P792" s="39"/>
      <c r="Q792" s="30"/>
      <c r="R792" s="50"/>
      <c r="S792" s="49"/>
    </row>
    <row r="793" spans="1:19" ht="15.75" customHeight="1" x14ac:dyDescent="0.3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84"/>
      <c r="M793" s="84"/>
      <c r="N793" s="84"/>
      <c r="O793" s="30"/>
      <c r="P793" s="39"/>
      <c r="Q793" s="30"/>
      <c r="R793" s="50"/>
      <c r="S793" s="49"/>
    </row>
    <row r="794" spans="1:19" ht="15.75" customHeight="1" x14ac:dyDescent="0.3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84"/>
      <c r="M794" s="84"/>
      <c r="N794" s="84"/>
      <c r="O794" s="30"/>
      <c r="P794" s="39"/>
      <c r="Q794" s="30"/>
      <c r="R794" s="50"/>
      <c r="S794" s="49"/>
    </row>
    <row r="795" spans="1:19" ht="15.75" customHeight="1" x14ac:dyDescent="0.3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84"/>
      <c r="M795" s="84"/>
      <c r="N795" s="84"/>
      <c r="O795" s="30"/>
      <c r="P795" s="39"/>
      <c r="Q795" s="30"/>
      <c r="R795" s="50"/>
      <c r="S795" s="49"/>
    </row>
    <row r="796" spans="1:19" ht="15.75" customHeight="1" x14ac:dyDescent="0.3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84"/>
      <c r="M796" s="84"/>
      <c r="N796" s="84"/>
      <c r="O796" s="30"/>
      <c r="P796" s="39"/>
      <c r="Q796" s="30"/>
      <c r="R796" s="50"/>
      <c r="S796" s="49"/>
    </row>
    <row r="797" spans="1:19" ht="15.75" customHeight="1" x14ac:dyDescent="0.3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84"/>
      <c r="M797" s="84"/>
      <c r="N797" s="84"/>
      <c r="O797" s="30"/>
      <c r="P797" s="39"/>
      <c r="Q797" s="30"/>
      <c r="R797" s="50"/>
      <c r="S797" s="49"/>
    </row>
    <row r="798" spans="1:19" ht="15.75" customHeight="1" x14ac:dyDescent="0.3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84"/>
      <c r="M798" s="84"/>
      <c r="N798" s="84"/>
      <c r="O798" s="30"/>
      <c r="P798" s="39"/>
      <c r="Q798" s="30"/>
      <c r="R798" s="50"/>
      <c r="S798" s="49"/>
    </row>
    <row r="799" spans="1:19" ht="15.75" customHeight="1" x14ac:dyDescent="0.3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84"/>
      <c r="M799" s="84"/>
      <c r="N799" s="84"/>
      <c r="O799" s="30"/>
      <c r="P799" s="39"/>
      <c r="Q799" s="30"/>
      <c r="R799" s="50"/>
      <c r="S799" s="49"/>
    </row>
    <row r="800" spans="1:19" ht="15.75" customHeight="1" x14ac:dyDescent="0.3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84"/>
      <c r="M800" s="84"/>
      <c r="N800" s="84"/>
      <c r="O800" s="30"/>
      <c r="P800" s="39"/>
      <c r="Q800" s="30"/>
      <c r="R800" s="50"/>
      <c r="S800" s="49"/>
    </row>
    <row r="801" spans="1:19" ht="15.75" customHeight="1" x14ac:dyDescent="0.3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84"/>
      <c r="M801" s="84"/>
      <c r="N801" s="84"/>
      <c r="O801" s="30"/>
      <c r="P801" s="39"/>
      <c r="Q801" s="30"/>
      <c r="R801" s="50"/>
      <c r="S801" s="49"/>
    </row>
    <row r="802" spans="1:19" ht="15.75" customHeight="1" x14ac:dyDescent="0.3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84"/>
      <c r="M802" s="84"/>
      <c r="N802" s="84"/>
      <c r="O802" s="30"/>
      <c r="P802" s="39"/>
      <c r="Q802" s="30"/>
      <c r="R802" s="50"/>
      <c r="S802" s="49"/>
    </row>
    <row r="803" spans="1:19" ht="15.75" customHeight="1" x14ac:dyDescent="0.3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84"/>
      <c r="M803" s="84"/>
      <c r="N803" s="84"/>
      <c r="O803" s="30"/>
      <c r="P803" s="39"/>
      <c r="Q803" s="30"/>
      <c r="R803" s="50"/>
      <c r="S803" s="49"/>
    </row>
    <row r="804" spans="1:19" ht="15.75" customHeight="1" x14ac:dyDescent="0.3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84"/>
      <c r="M804" s="84"/>
      <c r="N804" s="84"/>
      <c r="O804" s="30"/>
      <c r="P804" s="39"/>
      <c r="Q804" s="30"/>
      <c r="R804" s="50"/>
      <c r="S804" s="49"/>
    </row>
    <row r="805" spans="1:19" ht="15.75" customHeight="1" x14ac:dyDescent="0.3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84"/>
      <c r="M805" s="84"/>
      <c r="N805" s="84"/>
      <c r="O805" s="30"/>
      <c r="P805" s="39"/>
      <c r="Q805" s="30"/>
      <c r="R805" s="50"/>
      <c r="S805" s="49"/>
    </row>
    <row r="806" spans="1:19" ht="15.75" customHeight="1" x14ac:dyDescent="0.3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84"/>
      <c r="M806" s="84"/>
      <c r="N806" s="84"/>
      <c r="O806" s="30"/>
      <c r="P806" s="39"/>
      <c r="Q806" s="30"/>
      <c r="R806" s="50"/>
      <c r="S806" s="49"/>
    </row>
    <row r="807" spans="1:19" ht="15.75" customHeight="1" x14ac:dyDescent="0.3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84"/>
      <c r="M807" s="84"/>
      <c r="N807" s="84"/>
      <c r="O807" s="30"/>
      <c r="P807" s="39"/>
      <c r="Q807" s="30"/>
      <c r="R807" s="50"/>
      <c r="S807" s="49"/>
    </row>
    <row r="808" spans="1:19" ht="15.75" customHeight="1" x14ac:dyDescent="0.3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84"/>
      <c r="M808" s="84"/>
      <c r="N808" s="84"/>
      <c r="O808" s="30"/>
      <c r="P808" s="39"/>
      <c r="Q808" s="30"/>
      <c r="R808" s="50"/>
      <c r="S808" s="49"/>
    </row>
    <row r="809" spans="1:19" ht="15.75" customHeight="1" x14ac:dyDescent="0.3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84"/>
      <c r="M809" s="84"/>
      <c r="N809" s="84"/>
      <c r="O809" s="30"/>
      <c r="P809" s="39"/>
      <c r="Q809" s="30"/>
      <c r="R809" s="50"/>
      <c r="S809" s="49"/>
    </row>
    <row r="810" spans="1:19" ht="15.75" customHeight="1" x14ac:dyDescent="0.3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84"/>
      <c r="M810" s="84"/>
      <c r="N810" s="84"/>
      <c r="O810" s="30"/>
      <c r="P810" s="39"/>
      <c r="Q810" s="30"/>
      <c r="R810" s="50"/>
      <c r="S810" s="49"/>
    </row>
    <row r="811" spans="1:19" ht="15.75" customHeight="1" x14ac:dyDescent="0.3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84"/>
      <c r="M811" s="84"/>
      <c r="N811" s="84"/>
      <c r="O811" s="30"/>
      <c r="P811" s="39"/>
      <c r="Q811" s="30"/>
      <c r="R811" s="50"/>
      <c r="S811" s="49"/>
    </row>
    <row r="812" spans="1:19" ht="15.75" customHeight="1" x14ac:dyDescent="0.3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84"/>
      <c r="M812" s="84"/>
      <c r="N812" s="84"/>
      <c r="O812" s="30"/>
      <c r="P812" s="39"/>
      <c r="Q812" s="30"/>
      <c r="R812" s="50"/>
      <c r="S812" s="49"/>
    </row>
    <row r="813" spans="1:19" ht="15.75" customHeight="1" x14ac:dyDescent="0.3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84"/>
      <c r="M813" s="84"/>
      <c r="N813" s="84"/>
      <c r="O813" s="30"/>
      <c r="P813" s="39"/>
      <c r="Q813" s="30"/>
      <c r="R813" s="50"/>
      <c r="S813" s="49"/>
    </row>
    <row r="814" spans="1:19" ht="15.75" customHeight="1" x14ac:dyDescent="0.3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84"/>
      <c r="M814" s="84"/>
      <c r="N814" s="84"/>
      <c r="O814" s="30"/>
      <c r="P814" s="39"/>
      <c r="Q814" s="30"/>
      <c r="R814" s="50"/>
      <c r="S814" s="49"/>
    </row>
    <row r="815" spans="1:19" ht="15.75" customHeight="1" x14ac:dyDescent="0.3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84"/>
      <c r="M815" s="84"/>
      <c r="N815" s="84"/>
      <c r="O815" s="30"/>
      <c r="P815" s="39"/>
      <c r="Q815" s="30"/>
      <c r="R815" s="50"/>
      <c r="S815" s="49"/>
    </row>
    <row r="816" spans="1:19" ht="15.75" customHeight="1" x14ac:dyDescent="0.3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84"/>
      <c r="M816" s="84"/>
      <c r="N816" s="84"/>
      <c r="O816" s="30"/>
      <c r="P816" s="39"/>
      <c r="Q816" s="30"/>
      <c r="R816" s="50"/>
      <c r="S816" s="49"/>
    </row>
    <row r="817" spans="1:19" ht="15.75" customHeight="1" x14ac:dyDescent="0.3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84"/>
      <c r="M817" s="84"/>
      <c r="N817" s="84"/>
      <c r="O817" s="30"/>
      <c r="P817" s="39"/>
      <c r="Q817" s="30"/>
      <c r="R817" s="50"/>
      <c r="S817" s="49"/>
    </row>
    <row r="818" spans="1:19" ht="15.75" customHeight="1" x14ac:dyDescent="0.3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84"/>
      <c r="M818" s="84"/>
      <c r="N818" s="84"/>
      <c r="O818" s="30"/>
      <c r="P818" s="39"/>
      <c r="Q818" s="30"/>
      <c r="R818" s="50"/>
      <c r="S818" s="49"/>
    </row>
    <row r="819" spans="1:19" ht="15.75" customHeight="1" x14ac:dyDescent="0.3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84"/>
      <c r="M819" s="84"/>
      <c r="N819" s="84"/>
      <c r="O819" s="30"/>
      <c r="P819" s="39"/>
      <c r="Q819" s="30"/>
      <c r="R819" s="50"/>
      <c r="S819" s="49"/>
    </row>
    <row r="820" spans="1:19" ht="15.75" customHeight="1" x14ac:dyDescent="0.3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84"/>
      <c r="M820" s="84"/>
      <c r="N820" s="84"/>
      <c r="O820" s="30"/>
      <c r="P820" s="39"/>
      <c r="Q820" s="30"/>
      <c r="R820" s="50"/>
      <c r="S820" s="49"/>
    </row>
    <row r="821" spans="1:19" ht="15.75" customHeight="1" x14ac:dyDescent="0.3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84"/>
      <c r="M821" s="84"/>
      <c r="N821" s="84"/>
      <c r="O821" s="30"/>
      <c r="P821" s="39"/>
      <c r="Q821" s="30"/>
      <c r="R821" s="50"/>
      <c r="S821" s="49"/>
    </row>
    <row r="822" spans="1:19" ht="15.75" customHeight="1" x14ac:dyDescent="0.3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84"/>
      <c r="M822" s="84"/>
      <c r="N822" s="84"/>
      <c r="O822" s="30"/>
      <c r="P822" s="39"/>
      <c r="Q822" s="30"/>
      <c r="R822" s="50"/>
      <c r="S822" s="49"/>
    </row>
    <row r="823" spans="1:19" ht="15.75" customHeight="1" x14ac:dyDescent="0.3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84"/>
      <c r="M823" s="84"/>
      <c r="N823" s="84"/>
      <c r="O823" s="30"/>
      <c r="P823" s="39"/>
      <c r="Q823" s="30"/>
      <c r="R823" s="50"/>
      <c r="S823" s="49"/>
    </row>
    <row r="824" spans="1:19" ht="15.75" customHeight="1" x14ac:dyDescent="0.3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84"/>
      <c r="M824" s="84"/>
      <c r="N824" s="84"/>
      <c r="O824" s="30"/>
      <c r="P824" s="39"/>
      <c r="Q824" s="30"/>
      <c r="R824" s="50"/>
      <c r="S824" s="49"/>
    </row>
    <row r="825" spans="1:19" ht="15.75" customHeight="1" x14ac:dyDescent="0.3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84"/>
      <c r="M825" s="84"/>
      <c r="N825" s="84"/>
      <c r="O825" s="30"/>
      <c r="P825" s="39"/>
      <c r="Q825" s="30"/>
      <c r="R825" s="50"/>
      <c r="S825" s="49"/>
    </row>
    <row r="826" spans="1:19" ht="15.75" customHeight="1" x14ac:dyDescent="0.3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84"/>
      <c r="M826" s="84"/>
      <c r="N826" s="84"/>
      <c r="O826" s="30"/>
      <c r="P826" s="39"/>
      <c r="Q826" s="30"/>
      <c r="R826" s="50"/>
      <c r="S826" s="49"/>
    </row>
    <row r="827" spans="1:19" ht="15.75" customHeight="1" x14ac:dyDescent="0.3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84"/>
      <c r="M827" s="84"/>
      <c r="N827" s="84"/>
      <c r="O827" s="30"/>
      <c r="P827" s="39"/>
      <c r="Q827" s="30"/>
      <c r="R827" s="50"/>
      <c r="S827" s="49"/>
    </row>
    <row r="828" spans="1:19" ht="15.75" customHeight="1" x14ac:dyDescent="0.3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84"/>
      <c r="M828" s="84"/>
      <c r="N828" s="84"/>
      <c r="O828" s="30"/>
      <c r="P828" s="39"/>
      <c r="Q828" s="30"/>
      <c r="R828" s="50"/>
      <c r="S828" s="49"/>
    </row>
    <row r="829" spans="1:19" ht="15.75" customHeight="1" x14ac:dyDescent="0.3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84"/>
      <c r="M829" s="84"/>
      <c r="N829" s="84"/>
      <c r="O829" s="30"/>
      <c r="P829" s="39"/>
      <c r="Q829" s="30"/>
      <c r="R829" s="50"/>
      <c r="S829" s="49"/>
    </row>
    <row r="830" spans="1:19" ht="15.75" customHeight="1" x14ac:dyDescent="0.3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84"/>
      <c r="M830" s="84"/>
      <c r="N830" s="84"/>
      <c r="O830" s="30"/>
      <c r="P830" s="39"/>
      <c r="Q830" s="30"/>
      <c r="R830" s="50"/>
      <c r="S830" s="49"/>
    </row>
    <row r="831" spans="1:19" ht="15.75" customHeight="1" x14ac:dyDescent="0.3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84"/>
      <c r="M831" s="84"/>
      <c r="N831" s="84"/>
      <c r="O831" s="30"/>
      <c r="P831" s="39"/>
      <c r="Q831" s="30"/>
      <c r="R831" s="50"/>
      <c r="S831" s="49"/>
    </row>
    <row r="832" spans="1:19" ht="15.75" customHeight="1" x14ac:dyDescent="0.3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84"/>
      <c r="M832" s="84"/>
      <c r="N832" s="84"/>
      <c r="O832" s="30"/>
      <c r="P832" s="39"/>
      <c r="Q832" s="30"/>
      <c r="R832" s="50"/>
      <c r="S832" s="49"/>
    </row>
    <row r="833" spans="1:19" ht="15.75" customHeight="1" x14ac:dyDescent="0.3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84"/>
      <c r="M833" s="84"/>
      <c r="N833" s="84"/>
      <c r="O833" s="30"/>
      <c r="P833" s="39"/>
      <c r="Q833" s="30"/>
      <c r="R833" s="50"/>
      <c r="S833" s="49"/>
    </row>
    <row r="834" spans="1:19" ht="15.75" customHeight="1" x14ac:dyDescent="0.3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84"/>
      <c r="M834" s="84"/>
      <c r="N834" s="84"/>
      <c r="O834" s="30"/>
      <c r="P834" s="39"/>
      <c r="Q834" s="30"/>
      <c r="R834" s="50"/>
      <c r="S834" s="49"/>
    </row>
    <row r="835" spans="1:19" ht="15.75" customHeight="1" x14ac:dyDescent="0.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84"/>
      <c r="M835" s="84"/>
      <c r="N835" s="84"/>
      <c r="O835" s="30"/>
      <c r="P835" s="39"/>
      <c r="Q835" s="30"/>
      <c r="R835" s="50"/>
      <c r="S835" s="49"/>
    </row>
    <row r="836" spans="1:19" ht="15.75" customHeight="1" x14ac:dyDescent="0.3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84"/>
      <c r="M836" s="84"/>
      <c r="N836" s="84"/>
      <c r="O836" s="30"/>
      <c r="P836" s="39"/>
      <c r="Q836" s="30"/>
      <c r="R836" s="50"/>
      <c r="S836" s="49"/>
    </row>
    <row r="837" spans="1:19" ht="15.75" customHeight="1" x14ac:dyDescent="0.3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84"/>
      <c r="M837" s="84"/>
      <c r="N837" s="84"/>
      <c r="O837" s="30"/>
      <c r="P837" s="39"/>
      <c r="Q837" s="30"/>
      <c r="R837" s="50"/>
      <c r="S837" s="49"/>
    </row>
    <row r="838" spans="1:19" ht="15.75" customHeight="1" x14ac:dyDescent="0.3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84"/>
      <c r="M838" s="84"/>
      <c r="N838" s="84"/>
      <c r="O838" s="30"/>
      <c r="P838" s="39"/>
      <c r="Q838" s="30"/>
      <c r="R838" s="50"/>
      <c r="S838" s="49"/>
    </row>
    <row r="839" spans="1:19" ht="15.75" customHeight="1" x14ac:dyDescent="0.3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84"/>
      <c r="M839" s="84"/>
      <c r="N839" s="84"/>
      <c r="O839" s="30"/>
      <c r="P839" s="39"/>
      <c r="Q839" s="30"/>
      <c r="R839" s="50"/>
      <c r="S839" s="49"/>
    </row>
    <row r="840" spans="1:19" ht="15.75" customHeight="1" x14ac:dyDescent="0.3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84"/>
      <c r="M840" s="84"/>
      <c r="N840" s="84"/>
      <c r="O840" s="30"/>
      <c r="P840" s="39"/>
      <c r="Q840" s="30"/>
      <c r="R840" s="50"/>
      <c r="S840" s="49"/>
    </row>
    <row r="841" spans="1:19" ht="15.75" customHeight="1" x14ac:dyDescent="0.3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84"/>
      <c r="M841" s="84"/>
      <c r="N841" s="84"/>
      <c r="O841" s="30"/>
      <c r="P841" s="39"/>
      <c r="Q841" s="30"/>
      <c r="R841" s="50"/>
      <c r="S841" s="49"/>
    </row>
    <row r="842" spans="1:19" ht="15.75" customHeight="1" x14ac:dyDescent="0.3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84"/>
      <c r="M842" s="84"/>
      <c r="N842" s="84"/>
      <c r="O842" s="30"/>
      <c r="P842" s="39"/>
      <c r="Q842" s="30"/>
      <c r="R842" s="50"/>
      <c r="S842" s="49"/>
    </row>
    <row r="843" spans="1:19" ht="15.75" customHeight="1" x14ac:dyDescent="0.3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84"/>
      <c r="M843" s="84"/>
      <c r="N843" s="84"/>
      <c r="O843" s="30"/>
      <c r="P843" s="39"/>
      <c r="Q843" s="30"/>
      <c r="R843" s="50"/>
      <c r="S843" s="49"/>
    </row>
    <row r="844" spans="1:19" ht="15.75" customHeight="1" x14ac:dyDescent="0.3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84"/>
      <c r="M844" s="84"/>
      <c r="N844" s="84"/>
      <c r="O844" s="30"/>
      <c r="P844" s="39"/>
      <c r="Q844" s="30"/>
      <c r="R844" s="50"/>
      <c r="S844" s="49"/>
    </row>
    <row r="845" spans="1:19" ht="15.75" customHeight="1" x14ac:dyDescent="0.3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84"/>
      <c r="M845" s="84"/>
      <c r="N845" s="84"/>
      <c r="O845" s="30"/>
      <c r="P845" s="39"/>
      <c r="Q845" s="30"/>
      <c r="R845" s="50"/>
      <c r="S845" s="49"/>
    </row>
    <row r="846" spans="1:19" ht="15.75" customHeight="1" x14ac:dyDescent="0.3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84"/>
      <c r="M846" s="84"/>
      <c r="N846" s="84"/>
      <c r="O846" s="30"/>
      <c r="P846" s="39"/>
      <c r="Q846" s="30"/>
      <c r="R846" s="50"/>
      <c r="S846" s="49"/>
    </row>
    <row r="847" spans="1:19" ht="15.75" customHeight="1" x14ac:dyDescent="0.3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84"/>
      <c r="M847" s="84"/>
      <c r="N847" s="84"/>
      <c r="O847" s="30"/>
      <c r="P847" s="39"/>
      <c r="Q847" s="30"/>
      <c r="R847" s="50"/>
      <c r="S847" s="49"/>
    </row>
    <row r="848" spans="1:19" ht="15.75" customHeight="1" x14ac:dyDescent="0.3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84"/>
      <c r="M848" s="84"/>
      <c r="N848" s="84"/>
      <c r="O848" s="30"/>
      <c r="P848" s="39"/>
      <c r="Q848" s="30"/>
      <c r="R848" s="50"/>
      <c r="S848" s="49"/>
    </row>
    <row r="849" spans="1:19" ht="15.75" customHeight="1" x14ac:dyDescent="0.3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84"/>
      <c r="M849" s="84"/>
      <c r="N849" s="84"/>
      <c r="O849" s="30"/>
      <c r="P849" s="39"/>
      <c r="Q849" s="30"/>
      <c r="R849" s="50"/>
      <c r="S849" s="49"/>
    </row>
    <row r="850" spans="1:19" ht="15.75" customHeight="1" x14ac:dyDescent="0.3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84"/>
      <c r="M850" s="84"/>
      <c r="N850" s="84"/>
      <c r="O850" s="30"/>
      <c r="P850" s="39"/>
      <c r="Q850" s="30"/>
      <c r="R850" s="50"/>
      <c r="S850" s="49"/>
    </row>
    <row r="851" spans="1:19" ht="15.75" customHeight="1" x14ac:dyDescent="0.3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84"/>
      <c r="M851" s="84"/>
      <c r="N851" s="84"/>
      <c r="O851" s="30"/>
      <c r="P851" s="39"/>
      <c r="Q851" s="30"/>
      <c r="R851" s="50"/>
      <c r="S851" s="49"/>
    </row>
    <row r="852" spans="1:19" ht="15.75" customHeight="1" x14ac:dyDescent="0.3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84"/>
      <c r="M852" s="84"/>
      <c r="N852" s="84"/>
      <c r="O852" s="30"/>
      <c r="P852" s="39"/>
      <c r="Q852" s="30"/>
      <c r="R852" s="50"/>
      <c r="S852" s="49"/>
    </row>
    <row r="853" spans="1:19" ht="15.75" customHeight="1" x14ac:dyDescent="0.3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84"/>
      <c r="M853" s="84"/>
      <c r="N853" s="84"/>
      <c r="O853" s="30"/>
      <c r="P853" s="39"/>
      <c r="Q853" s="30"/>
      <c r="R853" s="50"/>
      <c r="S853" s="49"/>
    </row>
    <row r="854" spans="1:19" ht="15.75" customHeight="1" x14ac:dyDescent="0.3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84"/>
      <c r="M854" s="84"/>
      <c r="N854" s="84"/>
      <c r="O854" s="30"/>
      <c r="P854" s="39"/>
      <c r="Q854" s="30"/>
      <c r="R854" s="50"/>
      <c r="S854" s="49"/>
    </row>
    <row r="855" spans="1:19" ht="15.75" customHeight="1" x14ac:dyDescent="0.3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84"/>
      <c r="M855" s="84"/>
      <c r="N855" s="84"/>
      <c r="O855" s="30"/>
      <c r="P855" s="39"/>
      <c r="Q855" s="30"/>
      <c r="R855" s="50"/>
      <c r="S855" s="49"/>
    </row>
    <row r="856" spans="1:19" ht="15.75" customHeight="1" x14ac:dyDescent="0.3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84"/>
      <c r="M856" s="84"/>
      <c r="N856" s="84"/>
      <c r="O856" s="30"/>
      <c r="P856" s="39"/>
      <c r="Q856" s="30"/>
      <c r="R856" s="50"/>
      <c r="S856" s="49"/>
    </row>
    <row r="857" spans="1:19" ht="15.75" customHeight="1" x14ac:dyDescent="0.3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84"/>
      <c r="M857" s="84"/>
      <c r="N857" s="84"/>
      <c r="O857" s="30"/>
      <c r="P857" s="39"/>
      <c r="Q857" s="30"/>
      <c r="R857" s="50"/>
      <c r="S857" s="49"/>
    </row>
    <row r="858" spans="1:19" ht="15.75" customHeight="1" x14ac:dyDescent="0.3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84"/>
      <c r="M858" s="84"/>
      <c r="N858" s="84"/>
      <c r="O858" s="30"/>
      <c r="P858" s="39"/>
      <c r="Q858" s="30"/>
      <c r="R858" s="50"/>
      <c r="S858" s="49"/>
    </row>
    <row r="859" spans="1:19" ht="15.75" customHeight="1" x14ac:dyDescent="0.3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84"/>
      <c r="M859" s="84"/>
      <c r="N859" s="84"/>
      <c r="O859" s="30"/>
      <c r="P859" s="39"/>
      <c r="Q859" s="30"/>
      <c r="R859" s="50"/>
      <c r="S859" s="49"/>
    </row>
    <row r="860" spans="1:19" ht="15.75" customHeight="1" x14ac:dyDescent="0.3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84"/>
      <c r="M860" s="84"/>
      <c r="N860" s="84"/>
      <c r="O860" s="30"/>
      <c r="P860" s="39"/>
      <c r="Q860" s="30"/>
      <c r="R860" s="50"/>
      <c r="S860" s="49"/>
    </row>
    <row r="861" spans="1:19" ht="15.75" customHeight="1" x14ac:dyDescent="0.3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84"/>
      <c r="M861" s="84"/>
      <c r="N861" s="84"/>
      <c r="O861" s="30"/>
      <c r="P861" s="39"/>
      <c r="Q861" s="30"/>
      <c r="R861" s="50"/>
      <c r="S861" s="49"/>
    </row>
    <row r="862" spans="1:19" ht="15.75" customHeight="1" x14ac:dyDescent="0.3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84"/>
      <c r="M862" s="84"/>
      <c r="N862" s="84"/>
      <c r="O862" s="30"/>
      <c r="P862" s="39"/>
      <c r="Q862" s="30"/>
      <c r="R862" s="50"/>
      <c r="S862" s="49"/>
    </row>
    <row r="863" spans="1:19" ht="15.75" customHeight="1" x14ac:dyDescent="0.3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84"/>
      <c r="M863" s="84"/>
      <c r="N863" s="84"/>
      <c r="O863" s="30"/>
      <c r="P863" s="39"/>
      <c r="Q863" s="30"/>
      <c r="R863" s="50"/>
      <c r="S863" s="49"/>
    </row>
    <row r="864" spans="1:19" ht="15.75" customHeight="1" x14ac:dyDescent="0.3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84"/>
      <c r="M864" s="84"/>
      <c r="N864" s="84"/>
      <c r="O864" s="30"/>
      <c r="P864" s="39"/>
      <c r="Q864" s="30"/>
      <c r="R864" s="50"/>
      <c r="S864" s="49"/>
    </row>
    <row r="865" spans="1:19" ht="15.75" customHeight="1" x14ac:dyDescent="0.3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84"/>
      <c r="M865" s="84"/>
      <c r="N865" s="84"/>
      <c r="O865" s="30"/>
      <c r="P865" s="39"/>
      <c r="Q865" s="30"/>
      <c r="R865" s="50"/>
      <c r="S865" s="49"/>
    </row>
    <row r="866" spans="1:19" ht="15.75" customHeight="1" x14ac:dyDescent="0.3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84"/>
      <c r="M866" s="84"/>
      <c r="N866" s="84"/>
      <c r="O866" s="30"/>
      <c r="P866" s="39"/>
      <c r="Q866" s="30"/>
      <c r="R866" s="50"/>
      <c r="S866" s="49"/>
    </row>
    <row r="867" spans="1:19" ht="15.75" customHeight="1" x14ac:dyDescent="0.3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84"/>
      <c r="M867" s="84"/>
      <c r="N867" s="84"/>
      <c r="O867" s="30"/>
      <c r="P867" s="39"/>
      <c r="Q867" s="30"/>
      <c r="R867" s="50"/>
      <c r="S867" s="49"/>
    </row>
    <row r="868" spans="1:19" ht="15.75" customHeight="1" x14ac:dyDescent="0.3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84"/>
      <c r="M868" s="84"/>
      <c r="N868" s="84"/>
      <c r="O868" s="30"/>
      <c r="P868" s="39"/>
      <c r="Q868" s="30"/>
      <c r="R868" s="50"/>
      <c r="S868" s="49"/>
    </row>
    <row r="869" spans="1:19" ht="15.75" customHeight="1" x14ac:dyDescent="0.3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84"/>
      <c r="M869" s="84"/>
      <c r="N869" s="84"/>
      <c r="O869" s="30"/>
      <c r="P869" s="39"/>
      <c r="Q869" s="30"/>
      <c r="R869" s="50"/>
      <c r="S869" s="49"/>
    </row>
    <row r="870" spans="1:19" ht="15.75" customHeight="1" x14ac:dyDescent="0.3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84"/>
      <c r="M870" s="84"/>
      <c r="N870" s="84"/>
      <c r="O870" s="30"/>
      <c r="P870" s="39"/>
      <c r="Q870" s="30"/>
      <c r="R870" s="50"/>
      <c r="S870" s="49"/>
    </row>
    <row r="871" spans="1:19" ht="15.75" customHeight="1" x14ac:dyDescent="0.3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84"/>
      <c r="M871" s="84"/>
      <c r="N871" s="84"/>
      <c r="O871" s="30"/>
      <c r="P871" s="39"/>
      <c r="Q871" s="30"/>
      <c r="R871" s="50"/>
      <c r="S871" s="49"/>
    </row>
    <row r="872" spans="1:19" ht="15.75" customHeight="1" x14ac:dyDescent="0.3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84"/>
      <c r="M872" s="84"/>
      <c r="N872" s="84"/>
      <c r="O872" s="30"/>
      <c r="P872" s="39"/>
      <c r="Q872" s="30"/>
      <c r="R872" s="50"/>
      <c r="S872" s="49"/>
    </row>
    <row r="873" spans="1:19" ht="15.75" customHeight="1" x14ac:dyDescent="0.3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84"/>
      <c r="M873" s="84"/>
      <c r="N873" s="84"/>
      <c r="O873" s="30"/>
      <c r="P873" s="39"/>
      <c r="Q873" s="30"/>
      <c r="R873" s="50"/>
      <c r="S873" s="49"/>
    </row>
    <row r="874" spans="1:19" ht="15.75" customHeight="1" x14ac:dyDescent="0.3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84"/>
      <c r="M874" s="84"/>
      <c r="N874" s="84"/>
      <c r="O874" s="30"/>
      <c r="P874" s="39"/>
      <c r="Q874" s="30"/>
      <c r="R874" s="50"/>
      <c r="S874" s="49"/>
    </row>
    <row r="875" spans="1:19" ht="15.75" customHeight="1" x14ac:dyDescent="0.3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84"/>
      <c r="M875" s="84"/>
      <c r="N875" s="84"/>
      <c r="O875" s="30"/>
      <c r="P875" s="39"/>
      <c r="Q875" s="30"/>
      <c r="R875" s="50"/>
      <c r="S875" s="49"/>
    </row>
    <row r="876" spans="1:19" ht="15.75" customHeight="1" x14ac:dyDescent="0.3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84"/>
      <c r="M876" s="84"/>
      <c r="N876" s="84"/>
      <c r="O876" s="30"/>
      <c r="P876" s="39"/>
      <c r="Q876" s="30"/>
      <c r="R876" s="50"/>
      <c r="S876" s="49"/>
    </row>
    <row r="877" spans="1:19" ht="15.75" customHeight="1" x14ac:dyDescent="0.3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84"/>
      <c r="M877" s="84"/>
      <c r="N877" s="84"/>
      <c r="O877" s="30"/>
      <c r="P877" s="39"/>
      <c r="Q877" s="30"/>
      <c r="R877" s="50"/>
      <c r="S877" s="49"/>
    </row>
    <row r="878" spans="1:19" ht="15.75" customHeight="1" x14ac:dyDescent="0.3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84"/>
      <c r="M878" s="84"/>
      <c r="N878" s="84"/>
      <c r="O878" s="30"/>
      <c r="P878" s="39"/>
      <c r="Q878" s="30"/>
      <c r="R878" s="50"/>
      <c r="S878" s="49"/>
    </row>
    <row r="879" spans="1:19" ht="15.75" customHeight="1" x14ac:dyDescent="0.3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84"/>
      <c r="M879" s="84"/>
      <c r="N879" s="84"/>
      <c r="O879" s="30"/>
      <c r="P879" s="39"/>
      <c r="Q879" s="30"/>
      <c r="R879" s="50"/>
      <c r="S879" s="49"/>
    </row>
    <row r="880" spans="1:19" ht="15.75" customHeight="1" x14ac:dyDescent="0.3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84"/>
      <c r="M880" s="84"/>
      <c r="N880" s="84"/>
      <c r="O880" s="30"/>
      <c r="P880" s="39"/>
      <c r="Q880" s="30"/>
      <c r="R880" s="50"/>
      <c r="S880" s="49"/>
    </row>
    <row r="881" spans="1:19" ht="15.75" customHeight="1" x14ac:dyDescent="0.3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84"/>
      <c r="M881" s="84"/>
      <c r="N881" s="84"/>
      <c r="O881" s="30"/>
      <c r="P881" s="39"/>
      <c r="Q881" s="30"/>
      <c r="R881" s="50"/>
      <c r="S881" s="49"/>
    </row>
    <row r="882" spans="1:19" ht="15.75" customHeight="1" x14ac:dyDescent="0.3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84"/>
      <c r="M882" s="84"/>
      <c r="N882" s="84"/>
      <c r="O882" s="30"/>
      <c r="P882" s="39"/>
      <c r="Q882" s="30"/>
      <c r="R882" s="50"/>
      <c r="S882" s="49"/>
    </row>
    <row r="883" spans="1:19" ht="15.75" customHeight="1" x14ac:dyDescent="0.3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84"/>
      <c r="M883" s="84"/>
      <c r="N883" s="84"/>
      <c r="O883" s="30"/>
      <c r="P883" s="39"/>
      <c r="Q883" s="30"/>
      <c r="R883" s="50"/>
      <c r="S883" s="49"/>
    </row>
    <row r="884" spans="1:19" ht="15.75" customHeight="1" x14ac:dyDescent="0.3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84"/>
      <c r="M884" s="84"/>
      <c r="N884" s="84"/>
      <c r="O884" s="30"/>
      <c r="P884" s="39"/>
      <c r="Q884" s="30"/>
      <c r="R884" s="50"/>
      <c r="S884" s="49"/>
    </row>
    <row r="885" spans="1:19" ht="15.75" customHeight="1" x14ac:dyDescent="0.3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84"/>
      <c r="M885" s="84"/>
      <c r="N885" s="84"/>
      <c r="O885" s="30"/>
      <c r="P885" s="39"/>
      <c r="Q885" s="30"/>
      <c r="R885" s="50"/>
      <c r="S885" s="49"/>
    </row>
    <row r="886" spans="1:19" ht="15.75" customHeight="1" x14ac:dyDescent="0.3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84"/>
      <c r="M886" s="84"/>
      <c r="N886" s="84"/>
      <c r="O886" s="30"/>
      <c r="P886" s="39"/>
      <c r="Q886" s="30"/>
      <c r="R886" s="50"/>
      <c r="S886" s="49"/>
    </row>
    <row r="887" spans="1:19" ht="15.75" customHeight="1" x14ac:dyDescent="0.3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84"/>
      <c r="M887" s="84"/>
      <c r="N887" s="84"/>
      <c r="O887" s="30"/>
      <c r="P887" s="39"/>
      <c r="Q887" s="30"/>
      <c r="R887" s="50"/>
      <c r="S887" s="49"/>
    </row>
    <row r="888" spans="1:19" ht="15.75" customHeight="1" x14ac:dyDescent="0.3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84"/>
      <c r="M888" s="84"/>
      <c r="N888" s="84"/>
      <c r="O888" s="30"/>
      <c r="P888" s="39"/>
      <c r="Q888" s="30"/>
      <c r="R888" s="50"/>
      <c r="S888" s="49"/>
    </row>
    <row r="889" spans="1:19" ht="15.75" customHeight="1" x14ac:dyDescent="0.3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84"/>
      <c r="M889" s="84"/>
      <c r="N889" s="84"/>
      <c r="O889" s="30"/>
      <c r="P889" s="39"/>
      <c r="Q889" s="30"/>
      <c r="R889" s="50"/>
      <c r="S889" s="49"/>
    </row>
    <row r="890" spans="1:19" ht="15.75" customHeight="1" x14ac:dyDescent="0.3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84"/>
      <c r="M890" s="84"/>
      <c r="N890" s="84"/>
      <c r="O890" s="30"/>
      <c r="P890" s="39"/>
      <c r="Q890" s="30"/>
      <c r="R890" s="50"/>
      <c r="S890" s="49"/>
    </row>
    <row r="891" spans="1:19" ht="15.75" customHeight="1" x14ac:dyDescent="0.3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84"/>
      <c r="M891" s="84"/>
      <c r="N891" s="84"/>
      <c r="O891" s="30"/>
      <c r="P891" s="39"/>
      <c r="Q891" s="30"/>
      <c r="R891" s="50"/>
      <c r="S891" s="49"/>
    </row>
    <row r="892" spans="1:19" ht="15.75" customHeight="1" x14ac:dyDescent="0.3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84"/>
      <c r="M892" s="84"/>
      <c r="N892" s="84"/>
      <c r="O892" s="30"/>
      <c r="P892" s="39"/>
      <c r="Q892" s="30"/>
      <c r="R892" s="50"/>
      <c r="S892" s="49"/>
    </row>
    <row r="893" spans="1:19" ht="15.75" customHeight="1" x14ac:dyDescent="0.3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84"/>
      <c r="M893" s="84"/>
      <c r="N893" s="84"/>
      <c r="O893" s="30"/>
      <c r="P893" s="39"/>
      <c r="Q893" s="30"/>
      <c r="R893" s="50"/>
      <c r="S893" s="49"/>
    </row>
    <row r="894" spans="1:19" ht="15.75" customHeight="1" x14ac:dyDescent="0.3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84"/>
      <c r="M894" s="84"/>
      <c r="N894" s="84"/>
      <c r="O894" s="30"/>
      <c r="P894" s="39"/>
      <c r="Q894" s="30"/>
      <c r="R894" s="50"/>
      <c r="S894" s="49"/>
    </row>
    <row r="895" spans="1:19" ht="15.75" customHeight="1" x14ac:dyDescent="0.3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84"/>
      <c r="M895" s="84"/>
      <c r="N895" s="84"/>
      <c r="O895" s="30"/>
      <c r="P895" s="39"/>
      <c r="Q895" s="30"/>
      <c r="R895" s="50"/>
      <c r="S895" s="49"/>
    </row>
    <row r="896" spans="1:19" ht="15.75" customHeight="1" x14ac:dyDescent="0.3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84"/>
      <c r="M896" s="84"/>
      <c r="N896" s="84"/>
      <c r="O896" s="30"/>
      <c r="P896" s="39"/>
      <c r="Q896" s="30"/>
      <c r="R896" s="50"/>
      <c r="S896" s="49"/>
    </row>
    <row r="897" spans="1:19" ht="15.75" customHeight="1" x14ac:dyDescent="0.3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84"/>
      <c r="M897" s="84"/>
      <c r="N897" s="84"/>
      <c r="O897" s="30"/>
      <c r="P897" s="39"/>
      <c r="Q897" s="30"/>
      <c r="R897" s="50"/>
      <c r="S897" s="49"/>
    </row>
    <row r="898" spans="1:19" ht="15.75" customHeight="1" x14ac:dyDescent="0.3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84"/>
      <c r="M898" s="84"/>
      <c r="N898" s="84"/>
      <c r="O898" s="30"/>
      <c r="P898" s="39"/>
      <c r="Q898" s="30"/>
      <c r="R898" s="50"/>
      <c r="S898" s="49"/>
    </row>
    <row r="899" spans="1:19" ht="15.75" customHeight="1" x14ac:dyDescent="0.3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84"/>
      <c r="M899" s="84"/>
      <c r="N899" s="84"/>
      <c r="O899" s="30"/>
      <c r="P899" s="39"/>
      <c r="Q899" s="30"/>
      <c r="R899" s="50"/>
      <c r="S899" s="49"/>
    </row>
    <row r="900" spans="1:19" ht="15.75" customHeight="1" x14ac:dyDescent="0.3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84"/>
      <c r="M900" s="84"/>
      <c r="N900" s="84"/>
      <c r="O900" s="30"/>
      <c r="P900" s="39"/>
      <c r="Q900" s="30"/>
      <c r="R900" s="50"/>
      <c r="S900" s="49"/>
    </row>
    <row r="901" spans="1:19" ht="15.75" customHeight="1" x14ac:dyDescent="0.3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84"/>
      <c r="M901" s="84"/>
      <c r="N901" s="84"/>
      <c r="O901" s="30"/>
      <c r="P901" s="39"/>
      <c r="Q901" s="30"/>
      <c r="R901" s="50"/>
      <c r="S901" s="49"/>
    </row>
    <row r="902" spans="1:19" ht="15.75" customHeight="1" x14ac:dyDescent="0.3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84"/>
      <c r="M902" s="84"/>
      <c r="N902" s="84"/>
      <c r="O902" s="30"/>
      <c r="P902" s="39"/>
      <c r="Q902" s="30"/>
      <c r="R902" s="50"/>
      <c r="S902" s="49"/>
    </row>
    <row r="903" spans="1:19" ht="15.75" customHeight="1" x14ac:dyDescent="0.3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84"/>
      <c r="M903" s="84"/>
      <c r="N903" s="84"/>
      <c r="O903" s="30"/>
      <c r="P903" s="39"/>
      <c r="Q903" s="30"/>
      <c r="R903" s="50"/>
      <c r="S903" s="49"/>
    </row>
    <row r="904" spans="1:19" ht="15.75" customHeight="1" x14ac:dyDescent="0.3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84"/>
      <c r="M904" s="84"/>
      <c r="N904" s="84"/>
      <c r="O904" s="30"/>
      <c r="P904" s="39"/>
      <c r="Q904" s="30"/>
      <c r="R904" s="50"/>
      <c r="S904" s="49"/>
    </row>
    <row r="905" spans="1:19" ht="15.75" customHeight="1" x14ac:dyDescent="0.3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84"/>
      <c r="M905" s="84"/>
      <c r="N905" s="84"/>
      <c r="O905" s="30"/>
      <c r="P905" s="39"/>
      <c r="Q905" s="30"/>
      <c r="R905" s="50"/>
      <c r="S905" s="49"/>
    </row>
    <row r="906" spans="1:19" ht="15.75" customHeight="1" x14ac:dyDescent="0.3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84"/>
      <c r="M906" s="84"/>
      <c r="N906" s="84"/>
      <c r="O906" s="30"/>
      <c r="P906" s="39"/>
      <c r="Q906" s="30"/>
      <c r="R906" s="50"/>
      <c r="S906" s="49"/>
    </row>
    <row r="907" spans="1:19" ht="15.75" customHeight="1" x14ac:dyDescent="0.3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84"/>
      <c r="M907" s="84"/>
      <c r="N907" s="84"/>
      <c r="O907" s="30"/>
      <c r="P907" s="39"/>
      <c r="Q907" s="30"/>
      <c r="R907" s="50"/>
      <c r="S907" s="49"/>
    </row>
    <row r="908" spans="1:19" ht="15.75" customHeight="1" x14ac:dyDescent="0.3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84"/>
      <c r="M908" s="84"/>
      <c r="N908" s="84"/>
      <c r="O908" s="30"/>
      <c r="P908" s="39"/>
      <c r="Q908" s="30"/>
      <c r="R908" s="50"/>
      <c r="S908" s="49"/>
    </row>
    <row r="909" spans="1:19" ht="15.75" customHeight="1" x14ac:dyDescent="0.3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84"/>
      <c r="M909" s="84"/>
      <c r="N909" s="84"/>
      <c r="O909" s="30"/>
      <c r="P909" s="39"/>
      <c r="Q909" s="30"/>
      <c r="R909" s="50"/>
      <c r="S909" s="49"/>
    </row>
    <row r="910" spans="1:19" ht="15.75" customHeight="1" x14ac:dyDescent="0.3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84"/>
      <c r="M910" s="84"/>
      <c r="N910" s="84"/>
      <c r="O910" s="30"/>
      <c r="P910" s="39"/>
      <c r="Q910" s="30"/>
      <c r="R910" s="50"/>
      <c r="S910" s="49"/>
    </row>
    <row r="911" spans="1:19" ht="15.75" customHeight="1" x14ac:dyDescent="0.3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84"/>
      <c r="M911" s="84"/>
      <c r="N911" s="84"/>
      <c r="O911" s="30"/>
      <c r="P911" s="39"/>
      <c r="Q911" s="30"/>
      <c r="R911" s="50"/>
      <c r="S911" s="49"/>
    </row>
    <row r="912" spans="1:19" ht="15.75" customHeight="1" x14ac:dyDescent="0.3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84"/>
      <c r="M912" s="84"/>
      <c r="N912" s="84"/>
      <c r="O912" s="30"/>
      <c r="P912" s="39"/>
      <c r="Q912" s="30"/>
      <c r="R912" s="50"/>
      <c r="S912" s="49"/>
    </row>
    <row r="913" spans="1:19" ht="15.75" customHeight="1" x14ac:dyDescent="0.3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84"/>
      <c r="M913" s="84"/>
      <c r="N913" s="84"/>
      <c r="O913" s="30"/>
      <c r="P913" s="39"/>
      <c r="Q913" s="30"/>
      <c r="R913" s="50"/>
      <c r="S913" s="49"/>
    </row>
    <row r="914" spans="1:19" ht="15.75" customHeight="1" x14ac:dyDescent="0.3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84"/>
      <c r="M914" s="84"/>
      <c r="N914" s="84"/>
      <c r="O914" s="30"/>
      <c r="P914" s="39"/>
      <c r="Q914" s="30"/>
      <c r="R914" s="50"/>
      <c r="S914" s="49"/>
    </row>
    <row r="915" spans="1:19" ht="15.75" customHeight="1" x14ac:dyDescent="0.3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84"/>
      <c r="M915" s="84"/>
      <c r="N915" s="84"/>
      <c r="O915" s="30"/>
      <c r="P915" s="39"/>
      <c r="Q915" s="30"/>
      <c r="R915" s="50"/>
      <c r="S915" s="49"/>
    </row>
    <row r="916" spans="1:19" ht="15.75" customHeight="1" x14ac:dyDescent="0.3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84"/>
      <c r="M916" s="84"/>
      <c r="N916" s="84"/>
      <c r="O916" s="30"/>
      <c r="P916" s="39"/>
      <c r="Q916" s="30"/>
      <c r="R916" s="50"/>
      <c r="S916" s="49"/>
    </row>
    <row r="917" spans="1:19" ht="15.75" customHeight="1" x14ac:dyDescent="0.3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84"/>
      <c r="M917" s="84"/>
      <c r="N917" s="84"/>
      <c r="O917" s="30"/>
      <c r="P917" s="39"/>
      <c r="Q917" s="30"/>
      <c r="R917" s="50"/>
      <c r="S917" s="49"/>
    </row>
    <row r="918" spans="1:19" ht="15.75" customHeight="1" x14ac:dyDescent="0.3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84"/>
      <c r="M918" s="84"/>
      <c r="N918" s="84"/>
      <c r="O918" s="30"/>
      <c r="P918" s="39"/>
      <c r="Q918" s="30"/>
      <c r="R918" s="50"/>
      <c r="S918" s="49"/>
    </row>
    <row r="919" spans="1:19" ht="15.75" customHeight="1" x14ac:dyDescent="0.3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84"/>
      <c r="M919" s="84"/>
      <c r="N919" s="84"/>
      <c r="O919" s="30"/>
      <c r="P919" s="39"/>
      <c r="Q919" s="30"/>
      <c r="R919" s="50"/>
      <c r="S919" s="49"/>
    </row>
    <row r="920" spans="1:19" ht="15.75" customHeight="1" x14ac:dyDescent="0.3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84"/>
      <c r="M920" s="84"/>
      <c r="N920" s="84"/>
      <c r="O920" s="30"/>
      <c r="P920" s="39"/>
      <c r="Q920" s="30"/>
      <c r="R920" s="50"/>
      <c r="S920" s="49"/>
    </row>
    <row r="921" spans="1:19" ht="15.75" customHeight="1" x14ac:dyDescent="0.3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84"/>
      <c r="M921" s="84"/>
      <c r="N921" s="84"/>
      <c r="O921" s="30"/>
      <c r="P921" s="39"/>
      <c r="Q921" s="30"/>
      <c r="R921" s="50"/>
      <c r="S921" s="49"/>
    </row>
    <row r="922" spans="1:19" ht="15.75" customHeight="1" x14ac:dyDescent="0.3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84"/>
      <c r="M922" s="84"/>
      <c r="N922" s="84"/>
      <c r="O922" s="30"/>
      <c r="P922" s="39"/>
      <c r="Q922" s="30"/>
      <c r="R922" s="50"/>
      <c r="S922" s="49"/>
    </row>
    <row r="923" spans="1:19" ht="15.75" customHeight="1" x14ac:dyDescent="0.3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84"/>
      <c r="M923" s="84"/>
      <c r="N923" s="84"/>
      <c r="O923" s="30"/>
      <c r="P923" s="39"/>
      <c r="Q923" s="30"/>
      <c r="R923" s="50"/>
      <c r="S923" s="49"/>
    </row>
    <row r="924" spans="1:19" ht="15.75" customHeight="1" x14ac:dyDescent="0.3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84"/>
      <c r="M924" s="84"/>
      <c r="N924" s="84"/>
      <c r="O924" s="30"/>
      <c r="P924" s="39"/>
      <c r="Q924" s="30"/>
      <c r="R924" s="50"/>
      <c r="S924" s="49"/>
    </row>
    <row r="925" spans="1:19" ht="15.75" customHeight="1" x14ac:dyDescent="0.3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84"/>
      <c r="M925" s="84"/>
      <c r="N925" s="84"/>
      <c r="O925" s="30"/>
      <c r="P925" s="39"/>
      <c r="Q925" s="30"/>
      <c r="R925" s="50"/>
      <c r="S925" s="49"/>
    </row>
    <row r="926" spans="1:19" ht="15.75" customHeight="1" x14ac:dyDescent="0.3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84"/>
      <c r="M926" s="84"/>
      <c r="N926" s="84"/>
      <c r="O926" s="30"/>
      <c r="P926" s="39"/>
      <c r="Q926" s="30"/>
      <c r="R926" s="50"/>
      <c r="S926" s="49"/>
    </row>
    <row r="927" spans="1:19" ht="15.75" customHeight="1" x14ac:dyDescent="0.3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84"/>
      <c r="M927" s="84"/>
      <c r="N927" s="84"/>
      <c r="O927" s="30"/>
      <c r="P927" s="39"/>
      <c r="Q927" s="30"/>
      <c r="R927" s="50"/>
      <c r="S927" s="49"/>
    </row>
    <row r="928" spans="1:19" ht="15.75" customHeight="1" x14ac:dyDescent="0.3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84"/>
      <c r="M928" s="84"/>
      <c r="N928" s="84"/>
      <c r="O928" s="30"/>
      <c r="P928" s="39"/>
      <c r="Q928" s="30"/>
      <c r="R928" s="50"/>
      <c r="S928" s="49"/>
    </row>
    <row r="929" spans="1:19" ht="15.75" customHeight="1" x14ac:dyDescent="0.3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84"/>
      <c r="M929" s="84"/>
      <c r="N929" s="84"/>
      <c r="O929" s="30"/>
      <c r="P929" s="39"/>
      <c r="Q929" s="30"/>
      <c r="R929" s="50"/>
      <c r="S929" s="49"/>
    </row>
    <row r="930" spans="1:19" ht="15.75" customHeight="1" x14ac:dyDescent="0.3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84"/>
      <c r="M930" s="84"/>
      <c r="N930" s="84"/>
      <c r="O930" s="30"/>
      <c r="P930" s="39"/>
      <c r="Q930" s="30"/>
      <c r="R930" s="50"/>
      <c r="S930" s="49"/>
    </row>
    <row r="931" spans="1:19" ht="15.75" customHeight="1" x14ac:dyDescent="0.3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84"/>
      <c r="M931" s="84"/>
      <c r="N931" s="84"/>
      <c r="O931" s="30"/>
      <c r="P931" s="39"/>
      <c r="Q931" s="30"/>
      <c r="R931" s="50"/>
      <c r="S931" s="49"/>
    </row>
    <row r="932" spans="1:19" ht="15.75" customHeight="1" x14ac:dyDescent="0.3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84"/>
      <c r="M932" s="84"/>
      <c r="N932" s="84"/>
      <c r="O932" s="30"/>
      <c r="P932" s="39"/>
      <c r="Q932" s="30"/>
      <c r="R932" s="50"/>
      <c r="S932" s="49"/>
    </row>
    <row r="933" spans="1:19" ht="15.75" customHeight="1" x14ac:dyDescent="0.3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84"/>
      <c r="M933" s="84"/>
      <c r="N933" s="84"/>
      <c r="O933" s="30"/>
      <c r="P933" s="39"/>
      <c r="Q933" s="30"/>
      <c r="R933" s="50"/>
      <c r="S933" s="49"/>
    </row>
    <row r="934" spans="1:19" ht="15.75" customHeight="1" x14ac:dyDescent="0.3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84"/>
      <c r="M934" s="84"/>
      <c r="N934" s="84"/>
      <c r="O934" s="30"/>
      <c r="P934" s="39"/>
      <c r="Q934" s="30"/>
      <c r="R934" s="50"/>
      <c r="S934" s="49"/>
    </row>
    <row r="935" spans="1:19" ht="15.75" customHeight="1" x14ac:dyDescent="0.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84"/>
      <c r="M935" s="84"/>
      <c r="N935" s="84"/>
      <c r="O935" s="30"/>
      <c r="P935" s="39"/>
      <c r="Q935" s="30"/>
      <c r="R935" s="50"/>
      <c r="S935" s="49"/>
    </row>
    <row r="936" spans="1:19" ht="15.75" customHeight="1" x14ac:dyDescent="0.3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84"/>
      <c r="M936" s="84"/>
      <c r="N936" s="84"/>
      <c r="O936" s="30"/>
      <c r="P936" s="39"/>
      <c r="Q936" s="30"/>
      <c r="R936" s="50"/>
      <c r="S936" s="49"/>
    </row>
    <row r="937" spans="1:19" ht="15.75" customHeight="1" x14ac:dyDescent="0.3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84"/>
      <c r="M937" s="84"/>
      <c r="N937" s="84"/>
      <c r="O937" s="30"/>
      <c r="P937" s="39"/>
      <c r="Q937" s="30"/>
      <c r="R937" s="50"/>
      <c r="S937" s="49"/>
    </row>
    <row r="938" spans="1:19" ht="15.75" customHeight="1" x14ac:dyDescent="0.3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84"/>
      <c r="M938" s="84"/>
      <c r="N938" s="84"/>
      <c r="O938" s="30"/>
      <c r="P938" s="39"/>
      <c r="Q938" s="30"/>
      <c r="R938" s="50"/>
      <c r="S938" s="49"/>
    </row>
    <row r="939" spans="1:19" ht="15.75" customHeight="1" x14ac:dyDescent="0.3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84"/>
      <c r="M939" s="84"/>
      <c r="N939" s="84"/>
      <c r="O939" s="30"/>
      <c r="P939" s="39"/>
      <c r="Q939" s="30"/>
      <c r="R939" s="50"/>
      <c r="S939" s="49"/>
    </row>
    <row r="940" spans="1:19" ht="15.75" customHeight="1" x14ac:dyDescent="0.3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84"/>
      <c r="M940" s="84"/>
      <c r="N940" s="84"/>
      <c r="O940" s="30"/>
      <c r="P940" s="39"/>
      <c r="Q940" s="30"/>
      <c r="R940" s="50"/>
      <c r="S940" s="49"/>
    </row>
    <row r="941" spans="1:19" ht="15.75" customHeight="1" x14ac:dyDescent="0.3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84"/>
      <c r="M941" s="84"/>
      <c r="N941" s="84"/>
      <c r="O941" s="30"/>
      <c r="P941" s="39"/>
      <c r="Q941" s="30"/>
      <c r="R941" s="50"/>
      <c r="S941" s="49"/>
    </row>
    <row r="942" spans="1:19" ht="15.75" customHeight="1" x14ac:dyDescent="0.3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84"/>
      <c r="M942" s="84"/>
      <c r="N942" s="84"/>
      <c r="O942" s="30"/>
      <c r="P942" s="39"/>
      <c r="Q942" s="30"/>
      <c r="R942" s="50"/>
      <c r="S942" s="49"/>
    </row>
    <row r="943" spans="1:19" ht="15.75" customHeight="1" x14ac:dyDescent="0.3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84"/>
      <c r="M943" s="84"/>
      <c r="N943" s="84"/>
      <c r="O943" s="30"/>
      <c r="P943" s="39"/>
      <c r="Q943" s="30"/>
      <c r="R943" s="50"/>
      <c r="S943" s="49"/>
    </row>
    <row r="944" spans="1:19" ht="15.75" customHeight="1" x14ac:dyDescent="0.3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84"/>
      <c r="M944" s="84"/>
      <c r="N944" s="84"/>
      <c r="O944" s="30"/>
      <c r="P944" s="39"/>
      <c r="Q944" s="30"/>
      <c r="R944" s="50"/>
      <c r="S944" s="49"/>
    </row>
    <row r="945" spans="1:19" ht="15.75" customHeight="1" x14ac:dyDescent="0.3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84"/>
      <c r="M945" s="84"/>
      <c r="N945" s="84"/>
      <c r="O945" s="30"/>
      <c r="P945" s="39"/>
      <c r="Q945" s="30"/>
      <c r="R945" s="50"/>
      <c r="S945" s="49"/>
    </row>
    <row r="946" spans="1:19" ht="15.75" customHeight="1" x14ac:dyDescent="0.3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84"/>
      <c r="M946" s="84"/>
      <c r="N946" s="84"/>
      <c r="O946" s="30"/>
      <c r="P946" s="39"/>
      <c r="Q946" s="30"/>
      <c r="R946" s="50"/>
      <c r="S946" s="49"/>
    </row>
    <row r="947" spans="1:19" ht="15.75" customHeight="1" x14ac:dyDescent="0.3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84"/>
      <c r="M947" s="84"/>
      <c r="N947" s="84"/>
      <c r="O947" s="30"/>
      <c r="P947" s="39"/>
      <c r="Q947" s="30"/>
      <c r="R947" s="50"/>
      <c r="S947" s="49"/>
    </row>
    <row r="948" spans="1:19" ht="15.75" customHeight="1" x14ac:dyDescent="0.3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84"/>
      <c r="M948" s="84"/>
      <c r="N948" s="84"/>
      <c r="O948" s="30"/>
      <c r="P948" s="39"/>
      <c r="Q948" s="30"/>
      <c r="R948" s="50"/>
      <c r="S948" s="49"/>
    </row>
    <row r="949" spans="1:19" ht="15.75" customHeight="1" x14ac:dyDescent="0.3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84"/>
      <c r="M949" s="84"/>
      <c r="N949" s="84"/>
      <c r="O949" s="30"/>
      <c r="P949" s="39"/>
      <c r="Q949" s="30"/>
      <c r="R949" s="50"/>
      <c r="S949" s="49"/>
    </row>
    <row r="950" spans="1:19" ht="15.75" customHeight="1" x14ac:dyDescent="0.3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84"/>
      <c r="M950" s="84"/>
      <c r="N950" s="84"/>
      <c r="O950" s="30"/>
      <c r="P950" s="39"/>
      <c r="Q950" s="30"/>
      <c r="R950" s="50"/>
      <c r="S950" s="49"/>
    </row>
    <row r="951" spans="1:19" ht="15.75" customHeight="1" x14ac:dyDescent="0.3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84"/>
      <c r="M951" s="84"/>
      <c r="N951" s="84"/>
      <c r="O951" s="30"/>
      <c r="P951" s="39"/>
      <c r="Q951" s="30"/>
      <c r="R951" s="50"/>
      <c r="S951" s="49"/>
    </row>
    <row r="952" spans="1:19" ht="15.75" customHeight="1" x14ac:dyDescent="0.3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84"/>
      <c r="M952" s="84"/>
      <c r="N952" s="84"/>
      <c r="O952" s="30"/>
      <c r="P952" s="39"/>
      <c r="Q952" s="30"/>
      <c r="R952" s="50"/>
      <c r="S952" s="49"/>
    </row>
    <row r="953" spans="1:19" ht="15.75" customHeight="1" x14ac:dyDescent="0.3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84"/>
      <c r="M953" s="84"/>
      <c r="N953" s="84"/>
      <c r="O953" s="30"/>
      <c r="P953" s="39"/>
      <c r="Q953" s="30"/>
      <c r="R953" s="50"/>
      <c r="S953" s="49"/>
    </row>
    <row r="954" spans="1:19" ht="15.75" customHeight="1" x14ac:dyDescent="0.3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84"/>
      <c r="M954" s="84"/>
      <c r="N954" s="84"/>
      <c r="O954" s="30"/>
      <c r="P954" s="39"/>
      <c r="Q954" s="30"/>
      <c r="R954" s="50"/>
      <c r="S954" s="49"/>
    </row>
    <row r="955" spans="1:19" ht="15.75" customHeight="1" x14ac:dyDescent="0.3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84"/>
      <c r="M955" s="84"/>
      <c r="N955" s="84"/>
      <c r="O955" s="30"/>
      <c r="P955" s="39"/>
      <c r="Q955" s="30"/>
      <c r="R955" s="50"/>
      <c r="S955" s="49"/>
    </row>
    <row r="956" spans="1:19" ht="15.75" customHeight="1" x14ac:dyDescent="0.3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84"/>
      <c r="M956" s="84"/>
      <c r="N956" s="84"/>
      <c r="O956" s="30"/>
      <c r="P956" s="39"/>
      <c r="Q956" s="30"/>
      <c r="R956" s="50"/>
      <c r="S956" s="49"/>
    </row>
    <row r="957" spans="1:19" ht="15.75" customHeight="1" x14ac:dyDescent="0.3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84"/>
      <c r="M957" s="84"/>
      <c r="N957" s="84"/>
      <c r="O957" s="30"/>
      <c r="P957" s="39"/>
      <c r="Q957" s="30"/>
      <c r="R957" s="50"/>
      <c r="S957" s="49"/>
    </row>
    <row r="958" spans="1:19" ht="15.75" customHeight="1" x14ac:dyDescent="0.3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84"/>
      <c r="M958" s="84"/>
      <c r="N958" s="84"/>
      <c r="O958" s="30"/>
      <c r="P958" s="39"/>
      <c r="Q958" s="30"/>
      <c r="R958" s="50"/>
      <c r="S958" s="49"/>
    </row>
    <row r="959" spans="1:19" ht="15.75" customHeight="1" x14ac:dyDescent="0.3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84"/>
      <c r="M959" s="84"/>
      <c r="N959" s="84"/>
      <c r="O959" s="30"/>
      <c r="P959" s="39"/>
      <c r="Q959" s="30"/>
      <c r="R959" s="50"/>
      <c r="S959" s="49"/>
    </row>
    <row r="960" spans="1:19" ht="15.75" customHeight="1" x14ac:dyDescent="0.3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84"/>
      <c r="M960" s="84"/>
      <c r="N960" s="84"/>
      <c r="O960" s="30"/>
      <c r="P960" s="39"/>
      <c r="Q960" s="30"/>
      <c r="R960" s="50"/>
      <c r="S960" s="49"/>
    </row>
    <row r="961" spans="1:19" ht="15.75" customHeight="1" x14ac:dyDescent="0.3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84"/>
      <c r="M961" s="84"/>
      <c r="N961" s="84"/>
      <c r="O961" s="30"/>
      <c r="P961" s="39"/>
      <c r="Q961" s="30"/>
      <c r="R961" s="50"/>
      <c r="S961" s="49"/>
    </row>
    <row r="962" spans="1:19" ht="15.75" customHeight="1" x14ac:dyDescent="0.3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84"/>
      <c r="M962" s="84"/>
      <c r="N962" s="84"/>
      <c r="O962" s="30"/>
      <c r="P962" s="39"/>
      <c r="Q962" s="30"/>
      <c r="R962" s="50"/>
      <c r="S962" s="49"/>
    </row>
    <row r="963" spans="1:19" ht="15.75" customHeight="1" x14ac:dyDescent="0.3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84"/>
      <c r="M963" s="84"/>
      <c r="N963" s="84"/>
      <c r="O963" s="30"/>
      <c r="P963" s="39"/>
      <c r="Q963" s="30"/>
      <c r="R963" s="50"/>
      <c r="S963" s="49"/>
    </row>
    <row r="964" spans="1:19" ht="15.75" customHeight="1" x14ac:dyDescent="0.3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84"/>
      <c r="M964" s="84"/>
      <c r="N964" s="84"/>
      <c r="O964" s="30"/>
      <c r="P964" s="39"/>
      <c r="Q964" s="30"/>
      <c r="R964" s="50"/>
      <c r="S964" s="49"/>
    </row>
    <row r="965" spans="1:19" ht="15.75" customHeight="1" x14ac:dyDescent="0.3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84"/>
      <c r="M965" s="84"/>
      <c r="N965" s="84"/>
      <c r="O965" s="30"/>
      <c r="P965" s="39"/>
      <c r="Q965" s="30"/>
      <c r="R965" s="50"/>
      <c r="S965" s="49"/>
    </row>
    <row r="966" spans="1:19" ht="15.75" customHeight="1" x14ac:dyDescent="0.3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84"/>
      <c r="M966" s="84"/>
      <c r="N966" s="84"/>
      <c r="O966" s="30"/>
      <c r="P966" s="39"/>
      <c r="Q966" s="30"/>
      <c r="R966" s="50"/>
      <c r="S966" s="49"/>
    </row>
    <row r="967" spans="1:19" ht="15.75" customHeight="1" x14ac:dyDescent="0.3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84"/>
      <c r="M967" s="84"/>
      <c r="N967" s="84"/>
      <c r="O967" s="30"/>
      <c r="P967" s="39"/>
      <c r="Q967" s="30"/>
      <c r="R967" s="50"/>
      <c r="S967" s="49"/>
    </row>
    <row r="968" spans="1:19" ht="15.75" customHeight="1" x14ac:dyDescent="0.3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84"/>
      <c r="M968" s="84"/>
      <c r="N968" s="84"/>
      <c r="O968" s="30"/>
      <c r="P968" s="39"/>
      <c r="Q968" s="30"/>
      <c r="R968" s="50"/>
      <c r="S968" s="49"/>
    </row>
    <row r="969" spans="1:19" ht="15.75" customHeight="1" x14ac:dyDescent="0.3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84"/>
      <c r="M969" s="84"/>
      <c r="N969" s="84"/>
      <c r="O969" s="30"/>
      <c r="P969" s="39"/>
      <c r="Q969" s="30"/>
      <c r="R969" s="50"/>
      <c r="S969" s="49"/>
    </row>
    <row r="970" spans="1:19" ht="15.75" customHeight="1" x14ac:dyDescent="0.3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84"/>
      <c r="M970" s="84"/>
      <c r="N970" s="84"/>
      <c r="O970" s="30"/>
      <c r="P970" s="39"/>
      <c r="Q970" s="30"/>
      <c r="R970" s="50"/>
      <c r="S970" s="49"/>
    </row>
    <row r="971" spans="1:19" ht="15.75" customHeight="1" x14ac:dyDescent="0.3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84"/>
      <c r="M971" s="84"/>
      <c r="N971" s="84"/>
      <c r="O971" s="30"/>
      <c r="P971" s="39"/>
      <c r="Q971" s="30"/>
      <c r="R971" s="50"/>
      <c r="S971" s="49"/>
    </row>
    <row r="972" spans="1:19" ht="15.75" customHeight="1" x14ac:dyDescent="0.3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84"/>
      <c r="M972" s="84"/>
      <c r="N972" s="84"/>
      <c r="O972" s="30"/>
      <c r="P972" s="39"/>
      <c r="Q972" s="30"/>
      <c r="R972" s="50"/>
      <c r="S972" s="49"/>
    </row>
    <row r="973" spans="1:19" ht="15.75" customHeight="1" x14ac:dyDescent="0.3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84"/>
      <c r="M973" s="84"/>
      <c r="N973" s="84"/>
      <c r="O973" s="30"/>
      <c r="P973" s="39"/>
      <c r="Q973" s="30"/>
      <c r="R973" s="50"/>
      <c r="S973" s="49"/>
    </row>
    <row r="974" spans="1:19" ht="15.75" customHeight="1" x14ac:dyDescent="0.3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84"/>
      <c r="M974" s="84"/>
      <c r="N974" s="84"/>
      <c r="O974" s="30"/>
      <c r="P974" s="39"/>
      <c r="Q974" s="30"/>
      <c r="R974" s="50"/>
      <c r="S974" s="49"/>
    </row>
    <row r="975" spans="1:19" ht="15.75" customHeight="1" x14ac:dyDescent="0.3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84"/>
      <c r="M975" s="84"/>
      <c r="N975" s="84"/>
      <c r="O975" s="30"/>
      <c r="P975" s="39"/>
      <c r="Q975" s="30"/>
      <c r="R975" s="50"/>
      <c r="S975" s="49"/>
    </row>
    <row r="976" spans="1:19" ht="15.75" customHeight="1" x14ac:dyDescent="0.3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84"/>
      <c r="M976" s="84"/>
      <c r="N976" s="84"/>
      <c r="O976" s="30"/>
      <c r="P976" s="39"/>
      <c r="Q976" s="30"/>
      <c r="R976" s="50"/>
      <c r="S976" s="49"/>
    </row>
    <row r="977" spans="1:19" ht="15.75" customHeight="1" x14ac:dyDescent="0.3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84"/>
      <c r="M977" s="84"/>
      <c r="N977" s="84"/>
      <c r="O977" s="30"/>
      <c r="P977" s="39"/>
      <c r="Q977" s="30"/>
      <c r="R977" s="50"/>
      <c r="S977" s="49"/>
    </row>
    <row r="978" spans="1:19" ht="15.75" customHeight="1" x14ac:dyDescent="0.3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84"/>
      <c r="M978" s="84"/>
      <c r="N978" s="84"/>
      <c r="O978" s="30"/>
      <c r="P978" s="39"/>
      <c r="Q978" s="30"/>
      <c r="R978" s="50"/>
      <c r="S978" s="49"/>
    </row>
    <row r="979" spans="1:19" ht="15.75" customHeight="1" x14ac:dyDescent="0.3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84"/>
      <c r="M979" s="84"/>
      <c r="N979" s="84"/>
      <c r="O979" s="30"/>
      <c r="P979" s="39"/>
      <c r="Q979" s="30"/>
      <c r="R979" s="50"/>
      <c r="S979" s="49"/>
    </row>
    <row r="980" spans="1:19" ht="15.75" customHeight="1" x14ac:dyDescent="0.3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84"/>
      <c r="M980" s="84"/>
      <c r="N980" s="84"/>
      <c r="O980" s="30"/>
      <c r="P980" s="39"/>
      <c r="Q980" s="30"/>
      <c r="R980" s="50"/>
      <c r="S980" s="49"/>
    </row>
    <row r="981" spans="1:19" ht="15.75" customHeight="1" x14ac:dyDescent="0.3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84"/>
      <c r="M981" s="84"/>
      <c r="N981" s="84"/>
      <c r="O981" s="30"/>
      <c r="P981" s="39"/>
      <c r="Q981" s="30"/>
      <c r="R981" s="50"/>
      <c r="S981" s="49"/>
    </row>
    <row r="982" spans="1:19" ht="15.75" customHeight="1" x14ac:dyDescent="0.3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84"/>
      <c r="M982" s="84"/>
      <c r="N982" s="84"/>
      <c r="O982" s="30"/>
      <c r="P982" s="39"/>
      <c r="Q982" s="30"/>
      <c r="R982" s="50"/>
      <c r="S982" s="49"/>
    </row>
    <row r="983" spans="1:19" ht="15.75" customHeight="1" x14ac:dyDescent="0.35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84"/>
      <c r="M983" s="84"/>
      <c r="N983" s="84"/>
      <c r="O983" s="30"/>
      <c r="P983" s="39"/>
      <c r="Q983" s="30"/>
      <c r="R983" s="50"/>
      <c r="S983" s="49"/>
    </row>
    <row r="984" spans="1:19" ht="15.75" customHeight="1" x14ac:dyDescent="0.3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84"/>
      <c r="M984" s="84"/>
      <c r="N984" s="84"/>
      <c r="O984" s="30"/>
      <c r="P984" s="39"/>
      <c r="Q984" s="30"/>
      <c r="R984" s="50"/>
      <c r="S984" s="49"/>
    </row>
    <row r="985" spans="1:19" ht="15.75" customHeight="1" x14ac:dyDescent="0.3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84"/>
      <c r="M985" s="84"/>
      <c r="N985" s="84"/>
      <c r="O985" s="30"/>
      <c r="P985" s="39"/>
      <c r="Q985" s="30"/>
      <c r="R985" s="50"/>
      <c r="S985" s="49"/>
    </row>
    <row r="986" spans="1:19" ht="15.75" customHeight="1" x14ac:dyDescent="0.3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84"/>
      <c r="M986" s="84"/>
      <c r="N986" s="84"/>
      <c r="O986" s="30"/>
      <c r="P986" s="39"/>
      <c r="Q986" s="30"/>
      <c r="R986" s="50"/>
      <c r="S986" s="49"/>
    </row>
    <row r="987" spans="1:19" ht="15.75" customHeight="1" x14ac:dyDescent="0.35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84"/>
      <c r="M987" s="84"/>
      <c r="N987" s="84"/>
      <c r="O987" s="30"/>
      <c r="P987" s="39"/>
      <c r="Q987" s="30"/>
      <c r="R987" s="50"/>
      <c r="S987" s="49"/>
    </row>
    <row r="988" spans="1:19" ht="15.75" customHeight="1" x14ac:dyDescent="0.3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84"/>
      <c r="M988" s="84"/>
      <c r="N988" s="84"/>
      <c r="O988" s="30"/>
      <c r="P988" s="39"/>
      <c r="Q988" s="30"/>
      <c r="R988" s="50"/>
      <c r="S988" s="49"/>
    </row>
    <row r="989" spans="1:19" ht="15.75" customHeight="1" x14ac:dyDescent="0.3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84"/>
      <c r="M989" s="84"/>
      <c r="N989" s="84"/>
      <c r="O989" s="30"/>
      <c r="P989" s="39"/>
      <c r="Q989" s="30"/>
      <c r="R989" s="50"/>
      <c r="S989" s="49"/>
    </row>
    <row r="990" spans="1:19" ht="15.75" customHeight="1" x14ac:dyDescent="0.3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84"/>
      <c r="M990" s="84"/>
      <c r="N990" s="84"/>
      <c r="O990" s="30"/>
      <c r="P990" s="39"/>
      <c r="Q990" s="30"/>
      <c r="R990" s="50"/>
      <c r="S990" s="49"/>
    </row>
    <row r="991" spans="1:19" ht="15.75" customHeight="1" x14ac:dyDescent="0.3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84"/>
      <c r="M991" s="84"/>
      <c r="N991" s="84"/>
      <c r="O991" s="30"/>
      <c r="P991" s="39"/>
      <c r="Q991" s="30"/>
      <c r="R991" s="50"/>
      <c r="S991" s="49"/>
    </row>
    <row r="992" spans="1:19" ht="15.75" customHeight="1" x14ac:dyDescent="0.3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84"/>
      <c r="M992" s="84"/>
      <c r="N992" s="84"/>
      <c r="O992" s="30"/>
      <c r="P992" s="39"/>
      <c r="Q992" s="30"/>
      <c r="R992" s="50"/>
      <c r="S992" s="49"/>
    </row>
    <row r="993" spans="1:19" ht="15.75" customHeight="1" x14ac:dyDescent="0.3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84"/>
      <c r="M993" s="84"/>
      <c r="N993" s="84"/>
      <c r="O993" s="30"/>
      <c r="P993" s="39"/>
      <c r="Q993" s="30"/>
      <c r="R993" s="50"/>
      <c r="S993" s="49"/>
    </row>
    <row r="994" spans="1:19" ht="15.75" customHeight="1" x14ac:dyDescent="0.3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84"/>
      <c r="M994" s="84"/>
      <c r="N994" s="84"/>
      <c r="O994" s="30"/>
      <c r="P994" s="39"/>
      <c r="Q994" s="30"/>
      <c r="R994" s="50"/>
      <c r="S994" s="49"/>
    </row>
    <row r="995" spans="1:19" ht="15.75" customHeight="1" x14ac:dyDescent="0.3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84"/>
      <c r="M995" s="84"/>
      <c r="N995" s="84"/>
      <c r="O995" s="30"/>
      <c r="P995" s="39"/>
      <c r="Q995" s="30"/>
      <c r="R995" s="50"/>
      <c r="S995" s="49"/>
    </row>
    <row r="996" spans="1:19" ht="15.75" customHeight="1" x14ac:dyDescent="0.3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84"/>
      <c r="M996" s="84"/>
      <c r="N996" s="84"/>
      <c r="O996" s="30"/>
      <c r="P996" s="39"/>
      <c r="Q996" s="30"/>
      <c r="R996" s="50"/>
      <c r="S996" s="49"/>
    </row>
    <row r="997" spans="1:19" ht="15.75" customHeight="1" x14ac:dyDescent="0.35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84"/>
      <c r="M997" s="84"/>
      <c r="N997" s="84"/>
      <c r="O997" s="30"/>
      <c r="P997" s="39"/>
      <c r="Q997" s="30"/>
      <c r="R997" s="50"/>
      <c r="S997" s="49"/>
    </row>
    <row r="998" spans="1:19" ht="15.75" customHeight="1" x14ac:dyDescent="0.3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84"/>
      <c r="M998" s="84"/>
      <c r="N998" s="84"/>
      <c r="O998" s="30"/>
      <c r="P998" s="39"/>
      <c r="Q998" s="30"/>
      <c r="R998" s="50"/>
      <c r="S998" s="49"/>
    </row>
    <row r="999" spans="1:19" ht="15.75" customHeight="1" x14ac:dyDescent="0.35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84"/>
      <c r="M999" s="84"/>
      <c r="N999" s="84"/>
      <c r="O999" s="30"/>
      <c r="P999" s="39"/>
      <c r="Q999" s="30"/>
      <c r="R999" s="50"/>
      <c r="S999" s="49"/>
    </row>
    <row r="1000" spans="1:19" ht="15.75" customHeight="1" x14ac:dyDescent="0.35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84"/>
      <c r="M1000" s="84"/>
      <c r="N1000" s="84"/>
      <c r="O1000" s="30"/>
      <c r="P1000" s="39"/>
      <c r="Q1000" s="30"/>
      <c r="R1000" s="50"/>
      <c r="S1000" s="49"/>
    </row>
    <row r="1001" spans="1:19" ht="15.75" customHeight="1" x14ac:dyDescent="0.35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84"/>
      <c r="M1001" s="84"/>
      <c r="N1001" s="84"/>
      <c r="O1001" s="30"/>
      <c r="P1001" s="39"/>
      <c r="Q1001" s="30"/>
      <c r="R1001" s="50"/>
      <c r="S1001" s="49"/>
    </row>
  </sheetData>
  <autoFilter ref="A3:S106" xr:uid="{00000000-0009-0000-0000-000001000000}">
    <filterColumn colId="1">
      <filters>
        <filter val="SC"/>
        <filter val="TR"/>
      </filters>
    </filterColumn>
    <filterColumn colId="13">
      <customFilters>
        <customFilter operator="notEqual" val=" "/>
      </customFilters>
    </filterColumn>
    <sortState xmlns:xlrd2="http://schemas.microsoft.com/office/spreadsheetml/2017/richdata2" ref="A4:S106">
      <sortCondition ref="B3:B106"/>
    </sortState>
  </autoFilter>
  <mergeCells count="1">
    <mergeCell ref="A2:E2"/>
  </mergeCells>
  <pageMargins left="0.7" right="0.7" top="0.75" bottom="0.75" header="0" footer="0"/>
  <pageSetup paperSize="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 HC Calc</vt:lpstr>
      <vt:lpstr>PCRC25</vt:lpstr>
      <vt:lpstr>GRC25</vt:lpstr>
      <vt:lpstr>BMRC25</vt:lpstr>
      <vt:lpstr>CRC26</vt:lpstr>
      <vt:lpstr>PCRC26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operations</dc:creator>
  <cp:lastModifiedBy>Adrian Viccars</cp:lastModifiedBy>
  <cp:lastPrinted>2025-07-11T04:19:17Z</cp:lastPrinted>
  <dcterms:created xsi:type="dcterms:W3CDTF">2023-06-23T05:05:42Z</dcterms:created>
  <dcterms:modified xsi:type="dcterms:W3CDTF">2026-06-13T06:17:46Z</dcterms:modified>
</cp:coreProperties>
</file>