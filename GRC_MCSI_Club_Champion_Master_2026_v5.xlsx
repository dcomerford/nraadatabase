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765" yWindow="1560" windowWidth="24015" windowHeight="14595" tabRatio="500" firstSheet="0" activeTab="2" autoFilterDateGrouping="1"/>
  </bookViews>
  <sheets>
    <sheet name="Settings" sheetId="1" state="visible" r:id="rId1"/>
    <sheet name="Results" sheetId="2" state="visible" r:id="rId2"/>
    <sheet name="Club Champion" sheetId="3" state="visible" r:id="rId3"/>
    <sheet name="Club Champion V5" sheetId="4" state="visible" r:id="rId4"/>
  </sheets>
  <definedNames>
    <definedName name="_xlnm._FilterDatabase" localSheetId="2" hidden="1">'Club Champion'!$A$3:$N$3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 mmmm\ yyyy"/>
    <numFmt numFmtId="165" formatCode="0.0"/>
    <numFmt numFmtId="166" formatCode="0.000"/>
  </numFmts>
  <fonts count="14">
    <font>
      <name val="Calibri"/>
      <charset val="1"/>
      <sz val="11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2"/>
    </font>
    <font>
      <name val="Calibri"/>
      <family val="2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sz val="11"/>
      <scheme val="minor"/>
    </font>
    <font>
      <name val="Calibri"/>
      <family val="2"/>
      <sz val="11"/>
    </font>
    <font>
      <b val="1"/>
    </font>
    <font>
      <i val="1"/>
      <color rgb="0066666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00E2EFDA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1" fillId="0" borderId="0" pivotButton="0" quotePrefix="0" xfId="0"/>
    <xf numFmtId="15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/>
    </xf>
    <xf numFmtId="2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2" fontId="4" fillId="2" borderId="1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 wrapText="1"/>
    </xf>
    <xf numFmtId="1" fontId="5" fillId="0" borderId="0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/>
    </xf>
    <xf numFmtId="0" fontId="11" fillId="5" borderId="0" pivotButton="0" quotePrefix="0" xfId="0"/>
    <xf numFmtId="0" fontId="0" fillId="5" borderId="0" pivotButton="0" quotePrefix="0" xfId="0"/>
    <xf numFmtId="165" fontId="3" fillId="0" borderId="0" applyAlignment="1" pivotButton="0" quotePrefix="0" xfId="0">
      <alignment horizontal="center"/>
    </xf>
    <xf numFmtId="0" fontId="12" fillId="0" borderId="0" pivotButton="0" quotePrefix="0" xfId="0"/>
    <xf numFmtId="164" fontId="5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Normal 2" xfId="1"/>
  </cellStyles>
  <dxfs count="20"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isciplineFactors" displayName="DisciplineFactors" ref="A1:D7" headerRowCount="1" totalsRowShown="0" headerRowDxfId="19" dataDxfId="18">
  <tableColumns count="4">
    <tableColumn id="1" name="Discipline" dataDxfId="17"/>
    <tableColumn id="2" name="Score Conversion" dataDxfId="16"/>
    <tableColumn id="3" name="Equipment Factor" dataDxfId="0"/>
    <tableColumn id="4" name="Notes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K271" headerRowCount="1" totalsRowShown="0" headerRowDxfId="14" dataDxfId="13">
  <autoFilter ref="A1:K271"/>
  <sortState ref="A2:K271">
    <sortCondition ref="A1:A271"/>
  </sortState>
  <tableColumns count="11">
    <tableColumn id="1" name="Date" dataDxfId="12"/>
    <tableColumn id="2" name="Range" dataDxfId="11"/>
    <tableColumn id="3" name="Shooter" dataDxfId="10"/>
    <tableColumn id="4" name="Discipline" dataDxfId="9"/>
    <tableColumn id="5" name="Raw Score" dataDxfId="8"/>
    <tableColumn id="6" name="Centres" dataDxfId="7"/>
    <tableColumn id="7" name="Score Conversion" dataDxfId="6"/>
    <tableColumn id="8" name="Equalised" dataDxfId="5"/>
    <tableColumn id="9" name="Centre Bonus" dataDxfId="4"/>
    <tableColumn id="10" name="Equipment Factor" dataDxfId="3"/>
    <tableColumn id="11" name="Adjusted Sco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Normal="100" workbookViewId="0">
      <selection activeCell="C18" sqref="C18"/>
    </sheetView>
  </sheetViews>
  <sheetFormatPr baseColWidth="8" defaultColWidth="8.6328125" defaultRowHeight="14.5"/>
  <cols>
    <col width="26.6328125" customWidth="1" style="4" min="1" max="1"/>
    <col width="16.1796875" customWidth="1" style="4" min="2" max="2"/>
    <col width="18.6328125" customWidth="1" style="4" min="3" max="3"/>
    <col width="29.453125" customWidth="1" style="5" min="4" max="4"/>
    <col width="8.6328125" customWidth="1" style="5" min="5" max="5"/>
    <col width="20.90625" customWidth="1" style="5" min="6" max="6"/>
    <col width="9" customWidth="1" style="5" min="7" max="7"/>
    <col width="8.6328125" customWidth="1" style="4" min="8" max="8"/>
    <col width="8.6328125" customWidth="1" style="5" min="9" max="11"/>
    <col width="10" customWidth="1" min="11" max="11"/>
    <col width="8.6328125" customWidth="1" style="39" min="12" max="12"/>
    <col width="8.6328125" customWidth="1" style="5" min="13" max="16384"/>
  </cols>
  <sheetData>
    <row r="1" ht="31.5" customFormat="1" customHeight="1" s="18">
      <c r="A1" s="17" t="inlineStr">
        <is>
          <t>Discipline</t>
        </is>
      </c>
      <c r="B1" s="17" t="inlineStr">
        <is>
          <t>Score Conversion</t>
        </is>
      </c>
      <c r="C1" s="17" t="inlineStr">
        <is>
          <t>Equipment Factor</t>
        </is>
      </c>
      <c r="D1" s="17" t="inlineStr">
        <is>
          <t>Notes</t>
        </is>
      </c>
      <c r="F1" s="19" t="inlineStr">
        <is>
          <t>Discipline</t>
        </is>
      </c>
      <c r="G1" s="19" t="inlineStr">
        <is>
          <t>V4</t>
        </is>
      </c>
      <c r="H1" s="19" t="inlineStr">
        <is>
          <t>V3</t>
        </is>
      </c>
      <c r="I1" s="19" t="inlineStr">
        <is>
          <t>V2</t>
        </is>
      </c>
      <c r="J1" s="19" t="inlineStr">
        <is>
          <t>Peter's</t>
        </is>
      </c>
      <c r="K1" s="40" t="inlineStr">
        <is>
          <t>V5</t>
        </is>
      </c>
      <c r="L1" s="37" t="n"/>
    </row>
    <row r="2" ht="15" customFormat="1" customHeight="1" s="18">
      <c r="A2" s="6" t="inlineStr">
        <is>
          <t>FO</t>
        </is>
      </c>
      <c r="B2" s="20" t="n">
        <v>1</v>
      </c>
      <c r="C2" s="35" t="n">
        <v>1.42</v>
      </c>
      <c r="D2" s="18" t="inlineStr">
        <is>
          <t>F-Open</t>
        </is>
      </c>
      <c r="F2" s="21" t="inlineStr">
        <is>
          <t>F-Open</t>
        </is>
      </c>
      <c r="G2" s="35" t="n">
        <v>1.42</v>
      </c>
      <c r="H2" s="22" t="n">
        <v>1.42</v>
      </c>
      <c r="I2" s="23" t="n">
        <v>1.43</v>
      </c>
      <c r="J2" s="24" t="n">
        <v>1.39</v>
      </c>
      <c r="K2" s="41" t="n">
        <v>1.406</v>
      </c>
      <c r="L2" s="38" t="n">
        <v>1.011</v>
      </c>
    </row>
    <row r="3" ht="15" customFormat="1" customHeight="1" s="18">
      <c r="A3" s="6" t="inlineStr">
        <is>
          <t>FTR</t>
        </is>
      </c>
      <c r="B3" s="20" t="n">
        <v>1</v>
      </c>
      <c r="C3" s="35" t="n">
        <v>1.45</v>
      </c>
      <c r="D3" s="18" t="inlineStr">
        <is>
          <t>F/TR</t>
        </is>
      </c>
      <c r="F3" s="21" t="inlineStr">
        <is>
          <t>F/TR</t>
        </is>
      </c>
      <c r="G3" s="35" t="n">
        <v>1.45</v>
      </c>
      <c r="H3" s="22" t="n">
        <v>1.44</v>
      </c>
      <c r="I3" s="23" t="n">
        <v>1.45</v>
      </c>
      <c r="J3" s="24" t="n">
        <v>1.39</v>
      </c>
      <c r="K3" s="41" t="n">
        <v>1.45</v>
      </c>
      <c r="L3" s="38" t="n">
        <v>1.032</v>
      </c>
    </row>
    <row r="4" ht="15" customFormat="1" customHeight="1" s="18">
      <c r="A4" s="6" t="inlineStr">
        <is>
          <t>FS</t>
        </is>
      </c>
      <c r="B4" s="20" t="n">
        <v>1</v>
      </c>
      <c r="C4" s="35" t="n">
        <v>1.46</v>
      </c>
      <c r="D4" s="18" t="inlineStr">
        <is>
          <t>F-Standard</t>
        </is>
      </c>
      <c r="F4" s="21" t="inlineStr">
        <is>
          <t>F-Standard</t>
        </is>
      </c>
      <c r="G4" s="35" t="n">
        <v>1.46</v>
      </c>
      <c r="H4" s="22" t="n">
        <v>1.44</v>
      </c>
      <c r="I4" s="23" t="n">
        <v>1.45</v>
      </c>
      <c r="J4" s="24" t="n">
        <v>1.43</v>
      </c>
      <c r="K4" s="41" t="n">
        <v>1.475</v>
      </c>
      <c r="L4" s="38" t="n">
        <v>1.046</v>
      </c>
    </row>
    <row r="5" ht="15" customFormat="1" customHeight="1" s="18">
      <c r="A5" s="6" t="inlineStr">
        <is>
          <t>TR</t>
        </is>
      </c>
      <c r="B5" s="20" t="n">
        <v>1.2</v>
      </c>
      <c r="C5" s="35" t="n">
        <v>1.42</v>
      </c>
      <c r="D5" s="18" t="inlineStr">
        <is>
          <t>Target Rifle</t>
        </is>
      </c>
      <c r="F5" s="21" t="inlineStr">
        <is>
          <t>Target Rifle</t>
        </is>
      </c>
      <c r="G5" s="35" t="n">
        <v>1.42</v>
      </c>
      <c r="H5" s="22" t="n">
        <v>1.43</v>
      </c>
      <c r="I5" s="23" t="n">
        <v>1.42</v>
      </c>
      <c r="J5" s="24" t="n">
        <v>1.53</v>
      </c>
      <c r="K5" s="41" t="n">
        <v>1.412</v>
      </c>
      <c r="L5" s="38" t="n">
        <v>1.014</v>
      </c>
    </row>
    <row r="6" ht="15" customFormat="1" customHeight="1" s="18">
      <c r="A6" s="6" t="inlineStr">
        <is>
          <t>SO</t>
        </is>
      </c>
      <c r="B6" s="20" t="n">
        <v>1.2</v>
      </c>
      <c r="C6" s="35" t="n">
        <v>1.4</v>
      </c>
      <c r="D6" s="18" t="inlineStr">
        <is>
          <t>Sporter Open</t>
        </is>
      </c>
      <c r="F6" s="21" t="inlineStr">
        <is>
          <t>Sporter Open</t>
        </is>
      </c>
      <c r="G6" s="35" t="n">
        <v>1.4</v>
      </c>
      <c r="H6" s="22" t="n">
        <v>1.42</v>
      </c>
      <c r="I6" s="23" t="n">
        <v>1.4</v>
      </c>
      <c r="J6" s="24" t="n">
        <v>1.47</v>
      </c>
      <c r="K6" s="41" t="n">
        <v>1.383</v>
      </c>
      <c r="L6" s="37" t="n">
        <v>1</v>
      </c>
    </row>
    <row r="7" ht="15" customFormat="1" customHeight="1" s="18">
      <c r="A7" s="6" t="inlineStr">
        <is>
          <t>SP</t>
        </is>
      </c>
      <c r="B7" s="20" t="n">
        <v>1.2</v>
      </c>
      <c r="C7" s="35" t="n">
        <v>1.41</v>
      </c>
      <c r="D7" s="18" t="inlineStr">
        <is>
          <t>Sporter Production</t>
        </is>
      </c>
      <c r="F7" s="21" t="inlineStr">
        <is>
          <t>Sporter Production</t>
        </is>
      </c>
      <c r="G7" s="35" t="n">
        <v>1.41</v>
      </c>
      <c r="H7" s="22" t="n">
        <v>1.43</v>
      </c>
      <c r="I7" s="23" t="n">
        <v>1.41</v>
      </c>
      <c r="J7" s="24" t="n">
        <v>1.53</v>
      </c>
      <c r="K7" s="41" t="n">
        <v>1.383</v>
      </c>
      <c r="L7" s="37" t="n">
        <v>1.006</v>
      </c>
    </row>
    <row r="8" ht="15" customFormat="1" customHeight="1" s="18">
      <c r="A8" s="6" t="n"/>
      <c r="B8" s="20" t="n"/>
      <c r="C8" s="20" t="n"/>
      <c r="H8" s="6" t="n"/>
      <c r="L8" s="37" t="n"/>
    </row>
    <row r="9" ht="15" customFormat="1" customHeight="1" s="18">
      <c r="A9" s="25" t="inlineStr">
        <is>
          <t>Centre bonus per centre</t>
        </is>
      </c>
      <c r="B9" s="20" t="n">
        <v>0.7</v>
      </c>
      <c r="C9" s="20" t="n"/>
      <c r="D9" s="18" t="inlineStr">
        <is>
          <t>Centre Bonus = Centres x 0.70</t>
        </is>
      </c>
      <c r="F9" s="18" t="inlineStr">
        <is>
          <t>Note: Peter's calcs don’t convert 50s to 60s</t>
        </is>
      </c>
      <c r="H9" s="6" t="n"/>
      <c r="L9" s="37" t="n"/>
    </row>
    <row r="10" ht="15" customHeight="1">
      <c r="A10" s="26" t="inlineStr">
        <is>
          <t>Peter used full centre value</t>
        </is>
      </c>
      <c r="B10" s="42" t="n">
        <v>1</v>
      </c>
    </row>
    <row r="11">
      <c r="F11" s="43" t="inlineStr">
        <is>
          <t>V5: SO and SP share a single Sporter factor (1.383). Calibrated at top-40% K&amp;Q cohort with Sporter merged.</t>
        </is>
      </c>
    </row>
    <row r="14">
      <c r="G14" s="36" t="inlineStr">
        <is>
          <t>SO</t>
        </is>
      </c>
      <c r="H14" s="36" t="n">
        <v>1</v>
      </c>
    </row>
    <row r="15">
      <c r="G15" s="36" t="inlineStr">
        <is>
          <t>SP</t>
        </is>
      </c>
      <c r="H15" s="36" t="n">
        <v>1.005</v>
      </c>
    </row>
    <row r="16">
      <c r="G16" s="36" t="inlineStr">
        <is>
          <t>FO</t>
        </is>
      </c>
    </row>
    <row r="17">
      <c r="G17" s="36" t="inlineStr">
        <is>
          <t>TR</t>
        </is>
      </c>
    </row>
    <row r="18">
      <c r="G18" s="36" t="inlineStr">
        <is>
          <t>FTR</t>
        </is>
      </c>
    </row>
    <row r="19">
      <c r="G19" s="36" t="inlineStr">
        <is>
          <t>FS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6"/>
  <sheetViews>
    <sheetView zoomScaleNormal="100" workbookViewId="0">
      <pane ySplit="1" topLeftCell="A254" activePane="bottomLeft" state="frozen"/>
      <selection pane="bottomLeft" activeCell="D276" sqref="D276"/>
    </sheetView>
  </sheetViews>
  <sheetFormatPr baseColWidth="8" defaultColWidth="8.6328125" defaultRowHeight="14.5"/>
  <cols>
    <col width="15.6328125" customWidth="1" style="4" min="1" max="1"/>
    <col width="7.7265625" customWidth="1" style="4" min="2" max="2"/>
    <col width="17.1796875" customWidth="1" style="5" min="3" max="3"/>
    <col width="10.36328125" customWidth="1" style="4" min="4" max="4"/>
    <col width="10.90625" customWidth="1" style="4" min="5" max="5"/>
    <col width="8.90625" customWidth="1" style="4" min="6" max="6"/>
    <col width="16.1796875" customWidth="1" style="4" min="7" max="7"/>
    <col width="10.36328125" customWidth="1" style="4" min="8" max="8"/>
    <col width="13.26953125" customWidth="1" style="4" min="9" max="9"/>
    <col width="14.54296875" customWidth="1" style="4" min="10" max="10"/>
    <col width="14.36328125" customWidth="1" style="4" min="11" max="11"/>
    <col width="14" customWidth="1" style="5" min="12" max="16384"/>
  </cols>
  <sheetData>
    <row r="1" ht="32.25" customFormat="1" customHeight="1" s="2">
      <c r="A1" s="1" t="inlineStr">
        <is>
          <t>Date</t>
        </is>
      </c>
      <c r="B1" s="1" t="inlineStr">
        <is>
          <t>Range</t>
        </is>
      </c>
      <c r="C1" s="1" t="inlineStr">
        <is>
          <t>Shooter</t>
        </is>
      </c>
      <c r="D1" s="1" t="inlineStr">
        <is>
          <t>Discipline</t>
        </is>
      </c>
      <c r="E1" s="1" t="inlineStr">
        <is>
          <t>Raw Score</t>
        </is>
      </c>
      <c r="F1" s="1" t="inlineStr">
        <is>
          <t>Centres</t>
        </is>
      </c>
      <c r="G1" s="1" t="inlineStr">
        <is>
          <t>Score Conversion</t>
        </is>
      </c>
      <c r="H1" s="1" t="inlineStr">
        <is>
          <t>Equalised</t>
        </is>
      </c>
      <c r="I1" s="1" t="inlineStr">
        <is>
          <t>Centre Bonus</t>
        </is>
      </c>
      <c r="J1" s="1" t="inlineStr">
        <is>
          <t>Equipment Factor</t>
        </is>
      </c>
      <c r="K1" s="1" t="inlineStr">
        <is>
          <t>Adjusted Score</t>
        </is>
      </c>
      <c r="L1" s="40" t="inlineStr">
        <is>
          <t>Adjusted V5</t>
        </is>
      </c>
    </row>
    <row r="2" ht="14.25" customHeight="1">
      <c r="A2" s="44" t="n">
        <v>46039</v>
      </c>
      <c r="B2" s="4" t="n">
        <v>600</v>
      </c>
      <c r="C2" s="5" t="inlineStr">
        <is>
          <t>Comerford, Dan</t>
        </is>
      </c>
      <c r="D2" s="6" t="inlineStr">
        <is>
          <t>SO</t>
        </is>
      </c>
      <c r="E2" s="4" t="n">
        <v>50</v>
      </c>
      <c r="F2" s="4" t="n">
        <v>5</v>
      </c>
      <c r="G2" s="7">
        <f>IF($D2="","",IFERROR(INDEX(Settings!$B$2:$B$7,MATCH(TRIM(CLEAN($D2)),Settings!$A$2:$A$7,0)),""))</f>
        <v/>
      </c>
      <c r="H2" s="7">
        <f>IF(OR($E2="",$G2=""),"",$E2*$G2)</f>
        <v/>
      </c>
      <c r="I2" s="7">
        <f>IF($F2="","",$F2*Settings!$B$9)</f>
        <v/>
      </c>
      <c r="J2" s="7">
        <f>IF($D2="","",IFERROR(INDEX(Settings!$C$2:$C$7,MATCH(TRIM(CLEAN($D2)),Settings!$A$2:$A$7,0)),""))</f>
        <v/>
      </c>
      <c r="K2" s="7">
        <f>IF(OR($H2="",$I2="",$J2=""),"",ROUND(($H2+$I2)*$J2,2))</f>
        <v/>
      </c>
      <c r="L2" t="n">
        <v>87.81999999999999</v>
      </c>
    </row>
    <row r="3" ht="14.25" customHeight="1">
      <c r="A3" s="44" t="n">
        <v>46039</v>
      </c>
      <c r="B3" s="4" t="n">
        <v>600</v>
      </c>
      <c r="C3" s="5" t="inlineStr">
        <is>
          <t>Kilpatrick, Brian</t>
        </is>
      </c>
      <c r="D3" s="6" t="inlineStr">
        <is>
          <t>SP</t>
        </is>
      </c>
      <c r="E3" s="4" t="n">
        <v>48</v>
      </c>
      <c r="F3" s="4" t="n">
        <v>5</v>
      </c>
      <c r="G3" s="7">
        <f>IF($D3="","",IFERROR(INDEX(Settings!$B$2:$B$7,MATCH(TRIM(CLEAN($D3)),Settings!$A$2:$A$7,0)),""))</f>
        <v/>
      </c>
      <c r="H3" s="7">
        <f>IF(OR($E3="",$G3=""),"",$E3*$G3)</f>
        <v/>
      </c>
      <c r="I3" s="7">
        <f>IF($F3="","",$F3*Settings!$B$9)</f>
        <v/>
      </c>
      <c r="J3" s="7">
        <f>IF($D3="","",IFERROR(INDEX(Settings!$C$2:$C$7,MATCH(TRIM(CLEAN($D3)),Settings!$A$2:$A$7,0)),""))</f>
        <v/>
      </c>
      <c r="K3" s="7">
        <f>IF(OR($H3="",$I3="",$J3=""),"",ROUND(($H3+$I3)*$J3,2))</f>
        <v/>
      </c>
      <c r="L3" t="n">
        <v>84.5</v>
      </c>
    </row>
    <row r="4" ht="14.25" customHeight="1">
      <c r="A4" s="44" t="n">
        <v>46039</v>
      </c>
      <c r="B4" s="4" t="n">
        <v>600</v>
      </c>
      <c r="C4" s="5" t="inlineStr">
        <is>
          <t>Mann, Neil</t>
        </is>
      </c>
      <c r="D4" s="6" t="inlineStr">
        <is>
          <t>SP</t>
        </is>
      </c>
      <c r="E4" s="4" t="n">
        <v>49</v>
      </c>
      <c r="F4" s="4" t="n">
        <v>4</v>
      </c>
      <c r="G4" s="7">
        <f>IF($D4="","",IFERROR(INDEX(Settings!$B$2:$B$7,MATCH(TRIM(CLEAN($D4)),Settings!$A$2:$A$7,0)),""))</f>
        <v/>
      </c>
      <c r="H4" s="7">
        <f>IF(OR($E4="",$G4=""),"",$E4*$G4)</f>
        <v/>
      </c>
      <c r="I4" s="7">
        <f>IF($F4="","",$F4*Settings!$B$9)</f>
        <v/>
      </c>
      <c r="J4" s="7">
        <f>IF($D4="","",IFERROR(INDEX(Settings!$C$2:$C$7,MATCH(TRIM(CLEAN($D4)),Settings!$A$2:$A$7,0)),""))</f>
        <v/>
      </c>
      <c r="K4" s="7">
        <f>IF(OR($H4="",$I4="",$J4=""),"",ROUND(($H4+$I4)*$J4,2))</f>
        <v/>
      </c>
      <c r="L4" t="n">
        <v>85.19</v>
      </c>
    </row>
    <row r="5" ht="14.25" customHeight="1">
      <c r="A5" s="44" t="n">
        <v>46039</v>
      </c>
      <c r="B5" s="4" t="n">
        <v>600</v>
      </c>
      <c r="C5" s="5" t="inlineStr">
        <is>
          <t>Viccars, Adrian</t>
        </is>
      </c>
      <c r="D5" s="6" t="inlineStr">
        <is>
          <t>SP</t>
        </is>
      </c>
      <c r="E5" s="4" t="n">
        <v>48</v>
      </c>
      <c r="F5" s="4" t="n">
        <v>4</v>
      </c>
      <c r="G5" s="7">
        <f>IF($D5="","",IFERROR(INDEX(Settings!$B$2:$B$7,MATCH(TRIM(CLEAN($D5)),Settings!$A$2:$A$7,0)),""))</f>
        <v/>
      </c>
      <c r="H5" s="7">
        <f>IF(OR($E5="",$G5=""),"",$E5*$G5)</f>
        <v/>
      </c>
      <c r="I5" s="7">
        <f>IF($F5="","",$F5*Settings!$B$9)</f>
        <v/>
      </c>
      <c r="J5" s="7">
        <f>IF($D5="","",IFERROR(INDEX(Settings!$C$2:$C$7,MATCH(TRIM(CLEAN($D5)),Settings!$A$2:$A$7,0)),""))</f>
        <v/>
      </c>
      <c r="K5" s="7">
        <f>IF(OR($H5="",$I5="",$J5=""),"",ROUND(($H5+$I5)*$J5,2))</f>
        <v/>
      </c>
      <c r="L5" t="n">
        <v>83.53</v>
      </c>
    </row>
    <row r="6" ht="14.25" customHeight="1">
      <c r="A6" s="44" t="n">
        <v>46039</v>
      </c>
      <c r="B6" s="4" t="n">
        <v>600</v>
      </c>
      <c r="C6" s="5" t="inlineStr">
        <is>
          <t>Staley, Eric</t>
        </is>
      </c>
      <c r="D6" s="6" t="inlineStr">
        <is>
          <t>SO</t>
        </is>
      </c>
      <c r="E6" s="4" t="n">
        <v>49</v>
      </c>
      <c r="F6" s="4" t="n">
        <v>4</v>
      </c>
      <c r="G6" s="7">
        <f>IF($D6="","",IFERROR(INDEX(Settings!$B$2:$B$7,MATCH(TRIM(CLEAN($D6)),Settings!$A$2:$A$7,0)),""))</f>
        <v/>
      </c>
      <c r="H6" s="7">
        <f>IF(OR($E6="",$G6=""),"",$E6*$G6)</f>
        <v/>
      </c>
      <c r="I6" s="7">
        <f>IF($F6="","",$F6*Settings!$B$9)</f>
        <v/>
      </c>
      <c r="J6" s="7">
        <f>IF($D6="","",IFERROR(INDEX(Settings!$C$2:$C$7,MATCH(TRIM(CLEAN($D6)),Settings!$A$2:$A$7,0)),""))</f>
        <v/>
      </c>
      <c r="K6" s="7">
        <f>IF(OR($H6="",$I6="",$J6=""),"",ROUND(($H6+$I6)*$J6,2))</f>
        <v/>
      </c>
      <c r="L6" t="n">
        <v>85.19</v>
      </c>
    </row>
    <row r="7" ht="14.25" customHeight="1">
      <c r="A7" s="44" t="n">
        <v>46039</v>
      </c>
      <c r="B7" s="4" t="n">
        <v>600</v>
      </c>
      <c r="C7" s="5" t="inlineStr">
        <is>
          <t>Toh, Keith</t>
        </is>
      </c>
      <c r="D7" s="6" t="inlineStr">
        <is>
          <t>TR</t>
        </is>
      </c>
      <c r="E7" s="4" t="n">
        <v>45</v>
      </c>
      <c r="F7" s="4" t="n">
        <v>4</v>
      </c>
      <c r="G7" s="7">
        <f>IF($D7="","",IFERROR(INDEX(Settings!$B$2:$B$7,MATCH(TRIM(CLEAN($D7)),Settings!$A$2:$A$7,0)),""))</f>
        <v/>
      </c>
      <c r="H7" s="7">
        <f>IF(OR($E7="",$G7=""),"",$E7*$G7)</f>
        <v/>
      </c>
      <c r="I7" s="7">
        <f>IF($F7="","",$F7*Settings!$B$9)</f>
        <v/>
      </c>
      <c r="J7" s="7">
        <f>IF($D7="","",IFERROR(INDEX(Settings!$C$2:$C$7,MATCH(TRIM(CLEAN($D7)),Settings!$A$2:$A$7,0)),""))</f>
        <v/>
      </c>
      <c r="K7" s="7">
        <f>IF(OR($H7="",$I7="",$J7=""),"",ROUND(($H7+$I7)*$J7,2))</f>
        <v/>
      </c>
      <c r="L7" t="n">
        <v>80.2</v>
      </c>
    </row>
    <row r="8" ht="14.25" customHeight="1">
      <c r="A8" s="44" t="n">
        <v>46039</v>
      </c>
      <c r="B8" s="4" t="n">
        <v>600</v>
      </c>
      <c r="C8" s="5" t="inlineStr">
        <is>
          <t>Poynton, Bill</t>
        </is>
      </c>
      <c r="D8" s="6" t="inlineStr">
        <is>
          <t>TR</t>
        </is>
      </c>
      <c r="E8" s="4" t="n">
        <v>48</v>
      </c>
      <c r="F8" s="4" t="n">
        <v>4</v>
      </c>
      <c r="G8" s="7">
        <f>IF($D8="","",IFERROR(INDEX(Settings!$B$2:$B$7,MATCH(TRIM(CLEAN($D8)),Settings!$A$2:$A$7,0)),""))</f>
        <v/>
      </c>
      <c r="H8" s="7">
        <f>IF(OR($E8="",$G8=""),"",$E8*$G8)</f>
        <v/>
      </c>
      <c r="I8" s="7">
        <f>IF($F8="","",$F8*Settings!$B$9)</f>
        <v/>
      </c>
      <c r="J8" s="7">
        <f>IF($D8="","",IFERROR(INDEX(Settings!$C$2:$C$7,MATCH(TRIM(CLEAN($D8)),Settings!$A$2:$A$7,0)),""))</f>
        <v/>
      </c>
      <c r="K8" s="7">
        <f>IF(OR($H8="",$I8="",$J8=""),"",ROUND(($H8+$I8)*$J8,2))</f>
        <v/>
      </c>
      <c r="L8" t="n">
        <v>85.28</v>
      </c>
    </row>
    <row r="9" ht="14.25" customHeight="1">
      <c r="A9" s="44" t="n">
        <v>46039</v>
      </c>
      <c r="B9" s="4" t="n">
        <v>600</v>
      </c>
      <c r="C9" s="5" t="inlineStr">
        <is>
          <t>Patto, Nick</t>
        </is>
      </c>
      <c r="D9" s="6" t="inlineStr">
        <is>
          <t>FO</t>
        </is>
      </c>
      <c r="E9" s="4" t="n">
        <v>52</v>
      </c>
      <c r="F9" s="4" t="n">
        <v>3</v>
      </c>
      <c r="G9" s="7">
        <f>IF($D9="","",IFERROR(INDEX(Settings!$B$2:$B$7,MATCH(TRIM(CLEAN($D9)),Settings!$A$2:$A$7,0)),""))</f>
        <v/>
      </c>
      <c r="H9" s="7">
        <f>IF(OR($E9="",$G9=""),"",$E9*$G9)</f>
        <v/>
      </c>
      <c r="I9" s="7">
        <f>IF($F9="","",$F9*Settings!$B$9)</f>
        <v/>
      </c>
      <c r="J9" s="7">
        <f>IF($D9="","",IFERROR(INDEX(Settings!$C$2:$C$7,MATCH(TRIM(CLEAN($D9)),Settings!$A$2:$A$7,0)),""))</f>
        <v/>
      </c>
      <c r="K9" s="7">
        <f>IF(OR($H9="",$I9="",$J9=""),"",ROUND(($H9+$I9)*$J9,2))</f>
        <v/>
      </c>
      <c r="L9" t="n">
        <v>76.06</v>
      </c>
    </row>
    <row r="10" ht="14.25" customHeight="1">
      <c r="A10" s="44" t="n">
        <v>46039</v>
      </c>
      <c r="B10" s="4" t="n">
        <v>600</v>
      </c>
      <c r="C10" s="5" t="inlineStr">
        <is>
          <t>Cubbidge, Helen</t>
        </is>
      </c>
      <c r="D10" s="6" t="inlineStr">
        <is>
          <t>SO</t>
        </is>
      </c>
      <c r="E10" s="4" t="n">
        <v>49</v>
      </c>
      <c r="F10" s="4" t="n">
        <v>3</v>
      </c>
      <c r="G10" s="7">
        <f>IF($D10="","",IFERROR(INDEX(Settings!$B$2:$B$7,MATCH(TRIM(CLEAN($D10)),Settings!$A$2:$A$7,0)),""))</f>
        <v/>
      </c>
      <c r="H10" s="7">
        <f>IF(OR($E10="",$G10=""),"",$E10*$G10)</f>
        <v/>
      </c>
      <c r="I10" s="7">
        <f>IF($F10="","",$F10*Settings!$B$9)</f>
        <v/>
      </c>
      <c r="J10" s="7">
        <f>IF($D10="","",IFERROR(INDEX(Settings!$C$2:$C$7,MATCH(TRIM(CLEAN($D10)),Settings!$A$2:$A$7,0)),""))</f>
        <v/>
      </c>
      <c r="K10" s="7">
        <f>IF(OR($H10="",$I10="",$J10=""),"",ROUND(($H10+$I10)*$J10,2))</f>
        <v/>
      </c>
      <c r="L10" t="n">
        <v>84.22</v>
      </c>
    </row>
    <row r="11" ht="14.25" customHeight="1">
      <c r="A11" s="44" t="n">
        <v>46039</v>
      </c>
      <c r="B11" s="4" t="n">
        <v>600</v>
      </c>
      <c r="C11" s="5" t="inlineStr">
        <is>
          <t>Hanna, John</t>
        </is>
      </c>
      <c r="D11" s="6" t="inlineStr">
        <is>
          <t>SP</t>
        </is>
      </c>
      <c r="E11" s="4" t="n">
        <v>45</v>
      </c>
      <c r="F11" s="4" t="n">
        <v>2</v>
      </c>
      <c r="G11" s="7">
        <f>IF($D11="","",IFERROR(INDEX(Settings!$B$2:$B$7,MATCH(TRIM(CLEAN($D11)),Settings!$A$2:$A$7,0)),""))</f>
        <v/>
      </c>
      <c r="H11" s="7">
        <f>IF(OR($E11="",$G11=""),"",$E11*$G11)</f>
        <v/>
      </c>
      <c r="I11" s="7">
        <f>IF($F11="","",$F11*Settings!$B$9)</f>
        <v/>
      </c>
      <c r="J11" s="7">
        <f>IF($D11="","",IFERROR(INDEX(Settings!$C$2:$C$7,MATCH(TRIM(CLEAN($D11)),Settings!$A$2:$A$7,0)),""))</f>
        <v/>
      </c>
      <c r="K11" s="7">
        <f>IF(OR($H11="",$I11="",$J11=""),"",ROUND(($H11+$I11)*$J11,2))</f>
        <v/>
      </c>
      <c r="L11" t="n">
        <v>76.62</v>
      </c>
    </row>
    <row r="12" ht="14.25" customHeight="1">
      <c r="A12" s="44" t="n">
        <v>46039</v>
      </c>
      <c r="B12" s="4" t="n">
        <v>600</v>
      </c>
      <c r="C12" s="5" t="inlineStr">
        <is>
          <t>Hemkes, Rudy</t>
        </is>
      </c>
      <c r="D12" s="6" t="inlineStr">
        <is>
          <t>SO</t>
        </is>
      </c>
      <c r="E12" s="4" t="n">
        <v>42</v>
      </c>
      <c r="F12" s="4" t="n">
        <v>2</v>
      </c>
      <c r="G12" s="7">
        <f>IF($D12="","",IFERROR(INDEX(Settings!$B$2:$B$7,MATCH(TRIM(CLEAN($D12)),Settings!$A$2:$A$7,0)),""))</f>
        <v/>
      </c>
      <c r="H12" s="7">
        <f>IF(OR($E12="",$G12=""),"",$E12*$G12)</f>
        <v/>
      </c>
      <c r="I12" s="7">
        <f>IF($F12="","",$F12*Settings!$B$9)</f>
        <v/>
      </c>
      <c r="J12" s="7">
        <f>IF($D12="","",IFERROR(INDEX(Settings!$C$2:$C$7,MATCH(TRIM(CLEAN($D12)),Settings!$A$2:$A$7,0)),""))</f>
        <v/>
      </c>
      <c r="K12" s="7">
        <f>IF(OR($H12="",$I12="",$J12=""),"",ROUND(($H12+$I12)*$J12,2))</f>
        <v/>
      </c>
      <c r="L12" t="n">
        <v>71.64</v>
      </c>
    </row>
    <row r="13" ht="14.25" customHeight="1">
      <c r="A13" s="44" t="n">
        <v>46039</v>
      </c>
      <c r="B13" s="4" t="n">
        <v>600</v>
      </c>
      <c r="C13" s="5" t="inlineStr">
        <is>
          <t>Green, Daniel</t>
        </is>
      </c>
      <c r="D13" s="6" t="inlineStr">
        <is>
          <t>SO</t>
        </is>
      </c>
      <c r="E13" s="4" t="n">
        <v>47</v>
      </c>
      <c r="F13" s="4" t="n">
        <v>2</v>
      </c>
      <c r="G13" s="7">
        <f>IF($D13="","",IFERROR(INDEX(Settings!$B$2:$B$7,MATCH(TRIM(CLEAN($D13)),Settings!$A$2:$A$7,0)),""))</f>
        <v/>
      </c>
      <c r="H13" s="7">
        <f>IF(OR($E13="",$G13=""),"",$E13*$G13)</f>
        <v/>
      </c>
      <c r="I13" s="7">
        <f>IF($F13="","",$F13*Settings!$B$9)</f>
        <v/>
      </c>
      <c r="J13" s="7">
        <f>IF($D13="","",IFERROR(INDEX(Settings!$C$2:$C$7,MATCH(TRIM(CLEAN($D13)),Settings!$A$2:$A$7,0)),""))</f>
        <v/>
      </c>
      <c r="K13" s="7">
        <f>IF(OR($H13="",$I13="",$J13=""),"",ROUND(($H13+$I13)*$J13,2))</f>
        <v/>
      </c>
      <c r="L13" t="n">
        <v>79.94</v>
      </c>
    </row>
    <row r="14" ht="14.25" customHeight="1">
      <c r="A14" s="44" t="n">
        <v>46039</v>
      </c>
      <c r="B14" s="4" t="n">
        <v>600</v>
      </c>
      <c r="C14" s="5" t="inlineStr">
        <is>
          <t>Gierer, Gerald</t>
        </is>
      </c>
      <c r="D14" s="6" t="inlineStr">
        <is>
          <t>SP</t>
        </is>
      </c>
      <c r="E14" s="4" t="n">
        <v>45</v>
      </c>
      <c r="F14" s="4" t="n">
        <v>2</v>
      </c>
      <c r="G14" s="7">
        <f>IF($D14="","",IFERROR(INDEX(Settings!$B$2:$B$7,MATCH(TRIM(CLEAN($D14)),Settings!$A$2:$A$7,0)),""))</f>
        <v/>
      </c>
      <c r="H14" s="7">
        <f>IF(OR($E14="",$G14=""),"",$E14*$G14)</f>
        <v/>
      </c>
      <c r="I14" s="7">
        <f>IF($F14="","",$F14*Settings!$B$9)</f>
        <v/>
      </c>
      <c r="J14" s="7">
        <f>IF($D14="","",IFERROR(INDEX(Settings!$C$2:$C$7,MATCH(TRIM(CLEAN($D14)),Settings!$A$2:$A$7,0)),""))</f>
        <v/>
      </c>
      <c r="K14" s="7">
        <f>IF(OR($H14="",$I14="",$J14=""),"",ROUND(($H14+$I14)*$J14,2))</f>
        <v/>
      </c>
      <c r="L14" t="n">
        <v>76.62</v>
      </c>
    </row>
    <row r="15" ht="14.25" customHeight="1">
      <c r="A15" s="44" t="n">
        <v>46039</v>
      </c>
      <c r="B15" s="4" t="n">
        <v>600</v>
      </c>
      <c r="C15" s="5" t="inlineStr">
        <is>
          <t>Heath, David</t>
        </is>
      </c>
      <c r="D15" s="6" t="inlineStr">
        <is>
          <t>TR</t>
        </is>
      </c>
      <c r="E15" s="4" t="n">
        <v>40</v>
      </c>
      <c r="F15" s="4" t="n">
        <v>2</v>
      </c>
      <c r="G15" s="7">
        <f>IF($D15="","",IFERROR(INDEX(Settings!$B$2:$B$7,MATCH(TRIM(CLEAN($D15)),Settings!$A$2:$A$7,0)),""))</f>
        <v/>
      </c>
      <c r="H15" s="7">
        <f>IF(OR($E15="",$G15=""),"",$E15*$G15)</f>
        <v/>
      </c>
      <c r="I15" s="7">
        <f>IF($F15="","",$F15*Settings!$B$9)</f>
        <v/>
      </c>
      <c r="J15" s="7">
        <f>IF($D15="","",IFERROR(INDEX(Settings!$C$2:$C$7,MATCH(TRIM(CLEAN($D15)),Settings!$A$2:$A$7,0)),""))</f>
        <v/>
      </c>
      <c r="K15" s="7">
        <f>IF(OR($H15="",$I15="",$J15=""),"",ROUND(($H15+$I15)*$J15,2))</f>
        <v/>
      </c>
      <c r="L15" t="n">
        <v>69.75</v>
      </c>
    </row>
    <row r="16" ht="14.25" customHeight="1">
      <c r="A16" s="44" t="n">
        <v>46039</v>
      </c>
      <c r="B16" s="4" t="n">
        <v>600</v>
      </c>
      <c r="C16" s="5" t="inlineStr">
        <is>
          <t>Beretta, Chris</t>
        </is>
      </c>
      <c r="D16" s="6" t="inlineStr">
        <is>
          <t>FO</t>
        </is>
      </c>
      <c r="E16" s="4" t="n">
        <v>52</v>
      </c>
      <c r="F16" s="4" t="n">
        <v>1</v>
      </c>
      <c r="G16" s="7">
        <f>IF($D16="","",IFERROR(INDEX(Settings!$B$2:$B$7,MATCH(TRIM(CLEAN($D16)),Settings!$A$2:$A$7,0)),""))</f>
        <v/>
      </c>
      <c r="H16" s="7">
        <f>IF(OR($E16="",$G16=""),"",$E16*$G16)</f>
        <v/>
      </c>
      <c r="I16" s="7">
        <f>IF($F16="","",$F16*Settings!$B$9)</f>
        <v/>
      </c>
      <c r="J16" s="7">
        <f>IF($D16="","",IFERROR(INDEX(Settings!$C$2:$C$7,MATCH(TRIM(CLEAN($D16)),Settings!$A$2:$A$7,0)),""))</f>
        <v/>
      </c>
      <c r="K16" s="7">
        <f>IF(OR($H16="",$I16="",$J16=""),"",ROUND(($H16+$I16)*$J16,2))</f>
        <v/>
      </c>
      <c r="L16" t="n">
        <v>74.09999999999999</v>
      </c>
    </row>
    <row r="17" ht="14.25" customHeight="1">
      <c r="A17" s="44" t="n">
        <v>46039</v>
      </c>
      <c r="B17" s="4" t="n">
        <v>600</v>
      </c>
      <c r="C17" s="5" t="inlineStr">
        <is>
          <t>Porter, Stephen</t>
        </is>
      </c>
      <c r="D17" s="6" t="inlineStr">
        <is>
          <t>FS</t>
        </is>
      </c>
      <c r="E17" s="4" t="n">
        <v>52</v>
      </c>
      <c r="F17" s="4" t="n">
        <v>1</v>
      </c>
      <c r="G17" s="7">
        <f>IF($D17="","",IFERROR(INDEX(Settings!$B$2:$B$7,MATCH(TRIM(CLEAN($D17)),Settings!$A$2:$A$7,0)),""))</f>
        <v/>
      </c>
      <c r="H17" s="7">
        <f>IF(OR($E17="",$G17=""),"",$E17*$G17)</f>
        <v/>
      </c>
      <c r="I17" s="7">
        <f>IF($F17="","",$F17*Settings!$B$9)</f>
        <v/>
      </c>
      <c r="J17" s="7">
        <f>IF($D17="","",IFERROR(INDEX(Settings!$C$2:$C$7,MATCH(TRIM(CLEAN($D17)),Settings!$A$2:$A$7,0)),""))</f>
        <v/>
      </c>
      <c r="K17" s="7">
        <f>IF(OR($H17="",$I17="",$J17=""),"",ROUND(($H17+$I17)*$J17,2))</f>
        <v/>
      </c>
      <c r="L17" t="n">
        <v>77.73</v>
      </c>
    </row>
    <row r="18" ht="14.25" customHeight="1">
      <c r="A18" s="44" t="n">
        <v>46039</v>
      </c>
      <c r="B18" s="4" t="n">
        <v>600</v>
      </c>
      <c r="C18" s="5" t="inlineStr">
        <is>
          <t>Smaldino, Richard</t>
        </is>
      </c>
      <c r="D18" s="6" t="inlineStr">
        <is>
          <t>SP</t>
        </is>
      </c>
      <c r="E18" s="4" t="n">
        <v>45</v>
      </c>
      <c r="F18" s="4" t="n">
        <v>1</v>
      </c>
      <c r="G18" s="7">
        <f>IF($D18="","",IFERROR(INDEX(Settings!$B$2:$B$7,MATCH(TRIM(CLEAN($D18)),Settings!$A$2:$A$7,0)),""))</f>
        <v/>
      </c>
      <c r="H18" s="7">
        <f>IF(OR($E18="",$G18=""),"",$E18*$G18)</f>
        <v/>
      </c>
      <c r="I18" s="7">
        <f>IF($F18="","",$F18*Settings!$B$9)</f>
        <v/>
      </c>
      <c r="J18" s="7">
        <f>IF($D18="","",IFERROR(INDEX(Settings!$C$2:$C$7,MATCH(TRIM(CLEAN($D18)),Settings!$A$2:$A$7,0)),""))</f>
        <v/>
      </c>
      <c r="K18" s="7">
        <f>IF(OR($H18="",$I18="",$J18=""),"",ROUND(($H18+$I18)*$J18,2))</f>
        <v/>
      </c>
      <c r="L18" t="n">
        <v>75.65000000000001</v>
      </c>
    </row>
    <row r="19" ht="14.25" customHeight="1">
      <c r="A19" s="44" t="n">
        <v>46039</v>
      </c>
      <c r="B19" s="4" t="n">
        <v>600</v>
      </c>
      <c r="C19" s="5" t="inlineStr">
        <is>
          <t>Hulett, Carol</t>
        </is>
      </c>
      <c r="D19" s="6" t="inlineStr">
        <is>
          <t>FS</t>
        </is>
      </c>
      <c r="E19" s="4" t="n">
        <v>51</v>
      </c>
      <c r="F19" s="4" t="n">
        <v>1</v>
      </c>
      <c r="G19" s="7">
        <f>IF($D19="","",IFERROR(INDEX(Settings!$B$2:$B$7,MATCH(TRIM(CLEAN($D19)),Settings!$A$2:$A$7,0)),""))</f>
        <v/>
      </c>
      <c r="H19" s="7">
        <f>IF(OR($E19="",$G19=""),"",$E19*$G19)</f>
        <v/>
      </c>
      <c r="I19" s="7">
        <f>IF($F19="","",$F19*Settings!$B$9)</f>
        <v/>
      </c>
      <c r="J19" s="7">
        <f>IF($D19="","",IFERROR(INDEX(Settings!$C$2:$C$7,MATCH(TRIM(CLEAN($D19)),Settings!$A$2:$A$7,0)),""))</f>
        <v/>
      </c>
      <c r="K19" s="7">
        <f>IF(OR($H19="",$I19="",$J19=""),"",ROUND(($H19+$I19)*$J19,2))</f>
        <v/>
      </c>
      <c r="L19" t="n">
        <v>76.26000000000001</v>
      </c>
    </row>
    <row r="20" ht="14.25" customHeight="1">
      <c r="A20" s="44" t="n">
        <v>46039</v>
      </c>
      <c r="B20" s="4" t="n">
        <v>600</v>
      </c>
      <c r="C20" s="5" t="inlineStr">
        <is>
          <t>Chay, Tony</t>
        </is>
      </c>
      <c r="D20" s="6" t="inlineStr">
        <is>
          <t>SP</t>
        </is>
      </c>
      <c r="E20" s="4" t="n">
        <v>42</v>
      </c>
      <c r="F20" s="4" t="n">
        <v>1</v>
      </c>
      <c r="G20" s="7">
        <f>IF($D20="","",IFERROR(INDEX(Settings!$B$2:$B$7,MATCH(TRIM(CLEAN($D20)),Settings!$A$2:$A$7,0)),""))</f>
        <v/>
      </c>
      <c r="H20" s="7">
        <f>IF(OR($E20="",$G20=""),"",$E20*$G20)</f>
        <v/>
      </c>
      <c r="I20" s="7">
        <f>IF($F20="","",$F20*Settings!$B$9)</f>
        <v/>
      </c>
      <c r="J20" s="7">
        <f>IF($D20="","",IFERROR(INDEX(Settings!$C$2:$C$7,MATCH(TRIM(CLEAN($D20)),Settings!$A$2:$A$7,0)),""))</f>
        <v/>
      </c>
      <c r="K20" s="7">
        <f>IF(OR($H20="",$I20="",$J20=""),"",ROUND(($H20+$I20)*$J20,2))</f>
        <v/>
      </c>
      <c r="L20" t="n">
        <v>70.67</v>
      </c>
    </row>
    <row r="21" ht="14.25" customHeight="1">
      <c r="A21" s="44" t="n">
        <v>46039</v>
      </c>
      <c r="B21" s="4" t="n">
        <v>600</v>
      </c>
      <c r="C21" s="5" t="inlineStr">
        <is>
          <t>Thomson, Peter</t>
        </is>
      </c>
      <c r="D21" s="6" t="inlineStr">
        <is>
          <t>SP</t>
        </is>
      </c>
      <c r="E21" s="4" t="n">
        <v>45</v>
      </c>
      <c r="F21" s="4" t="n">
        <v>1</v>
      </c>
      <c r="G21" s="7">
        <f>IF($D21="","",IFERROR(INDEX(Settings!$B$2:$B$7,MATCH(TRIM(CLEAN($D21)),Settings!$A$2:$A$7,0)),""))</f>
        <v/>
      </c>
      <c r="H21" s="7">
        <f>IF(OR($E21="",$G21=""),"",$E21*$G21)</f>
        <v/>
      </c>
      <c r="I21" s="7">
        <f>IF($F21="","",$F21*Settings!$B$9)</f>
        <v/>
      </c>
      <c r="J21" s="7">
        <f>IF($D21="","",IFERROR(INDEX(Settings!$C$2:$C$7,MATCH(TRIM(CLEAN($D21)),Settings!$A$2:$A$7,0)),""))</f>
        <v/>
      </c>
      <c r="K21" s="7">
        <f>IF(OR($H21="",$I21="",$J21=""),"",ROUND(($H21+$I21)*$J21,2))</f>
        <v/>
      </c>
      <c r="L21" t="n">
        <v>75.65000000000001</v>
      </c>
    </row>
    <row r="22" ht="14.25" customHeight="1">
      <c r="A22" s="44" t="n">
        <v>46039</v>
      </c>
      <c r="B22" s="4" t="n">
        <v>600</v>
      </c>
      <c r="C22" s="5" t="inlineStr">
        <is>
          <t>Hulett, Peter</t>
        </is>
      </c>
      <c r="D22" s="6" t="inlineStr">
        <is>
          <t>TR</t>
        </is>
      </c>
      <c r="E22" s="4" t="n">
        <v>41</v>
      </c>
      <c r="F22" s="4" t="n">
        <v>1</v>
      </c>
      <c r="G22" s="7">
        <f>IF($D22="","",IFERROR(INDEX(Settings!$B$2:$B$7,MATCH(TRIM(CLEAN($D22)),Settings!$A$2:$A$7,0)),""))</f>
        <v/>
      </c>
      <c r="H22" s="7">
        <f>IF(OR($E22="",$G22=""),"",$E22*$G22)</f>
        <v/>
      </c>
      <c r="I22" s="7">
        <f>IF($F22="","",$F22*Settings!$B$9)</f>
        <v/>
      </c>
      <c r="J22" s="7">
        <f>IF($D22="","",IFERROR(INDEX(Settings!$C$2:$C$7,MATCH(TRIM(CLEAN($D22)),Settings!$A$2:$A$7,0)),""))</f>
        <v/>
      </c>
      <c r="K22" s="7">
        <f>IF(OR($H22="",$I22="",$J22=""),"",ROUND(($H22+$I22)*$J22,2))</f>
        <v/>
      </c>
      <c r="L22" t="n">
        <v>70.45999999999999</v>
      </c>
    </row>
    <row r="23" ht="14.25" customHeight="1">
      <c r="A23" s="44" t="n">
        <v>46039</v>
      </c>
      <c r="B23" s="4" t="n">
        <v>600</v>
      </c>
      <c r="C23" s="5" t="inlineStr">
        <is>
          <t>Greed, Adrian</t>
        </is>
      </c>
      <c r="D23" s="6" t="inlineStr">
        <is>
          <t>TR</t>
        </is>
      </c>
      <c r="E23" s="4" t="n">
        <v>47</v>
      </c>
      <c r="F23" s="4" t="n">
        <v>0</v>
      </c>
      <c r="G23" s="7">
        <f>IF($D23="","",IFERROR(INDEX(Settings!$B$2:$B$7,MATCH(TRIM(CLEAN($D23)),Settings!$A$2:$A$7,0)),""))</f>
        <v/>
      </c>
      <c r="H23" s="7">
        <f>IF(OR($E23="",$G23=""),"",$E23*$G23)</f>
        <v/>
      </c>
      <c r="I23" s="7">
        <f>IF($F23="","",$F23*Settings!$B$9)</f>
        <v/>
      </c>
      <c r="J23" s="7">
        <f>IF($D23="","",IFERROR(INDEX(Settings!$C$2:$C$7,MATCH(TRIM(CLEAN($D23)),Settings!$A$2:$A$7,0)),""))</f>
        <v/>
      </c>
      <c r="K23" s="7">
        <f>IF(OR($H23="",$I23="",$J23=""),"",ROUND(($H23+$I23)*$J23,2))</f>
        <v/>
      </c>
      <c r="L23" t="n">
        <v>79.64</v>
      </c>
    </row>
    <row r="24" ht="14.25" customHeight="1">
      <c r="A24" s="44" t="n">
        <v>46039</v>
      </c>
      <c r="B24" s="4" t="n">
        <v>700</v>
      </c>
      <c r="C24" s="5" t="inlineStr">
        <is>
          <t>Smaldino, Richard</t>
        </is>
      </c>
      <c r="D24" s="6" t="inlineStr">
        <is>
          <t>SP</t>
        </is>
      </c>
      <c r="E24" s="4" t="n">
        <v>50</v>
      </c>
      <c r="F24" s="4" t="n">
        <v>6</v>
      </c>
      <c r="G24" s="7">
        <f>IF($D24="","",IFERROR(INDEX(Settings!$B$2:$B$7,MATCH(TRIM(CLEAN($D24)),Settings!$A$2:$A$7,0)),""))</f>
        <v/>
      </c>
      <c r="H24" s="7">
        <f>IF(OR($E24="",$G24=""),"",$E24*$G24)</f>
        <v/>
      </c>
      <c r="I24" s="7">
        <f>IF($F24="","",$F24*Settings!$B$9)</f>
        <v/>
      </c>
      <c r="J24" s="7">
        <f>IF($D24="","",IFERROR(INDEX(Settings!$C$2:$C$7,MATCH(TRIM(CLEAN($D24)),Settings!$A$2:$A$7,0)),""))</f>
        <v/>
      </c>
      <c r="K24" s="7">
        <f>IF(OR($H24="",$I24="",$J24=""),"",ROUND(($H24+$I24)*$J24,2))</f>
        <v/>
      </c>
      <c r="L24" t="n">
        <v>88.79000000000001</v>
      </c>
    </row>
    <row r="25" ht="14.25" customHeight="1">
      <c r="A25" s="44" t="n">
        <v>46039</v>
      </c>
      <c r="B25" s="4" t="n">
        <v>700</v>
      </c>
      <c r="C25" s="5" t="inlineStr">
        <is>
          <t>Comerford, Dan</t>
        </is>
      </c>
      <c r="D25" s="6" t="inlineStr">
        <is>
          <t>SO</t>
        </is>
      </c>
      <c r="E25" s="4" t="n">
        <v>48</v>
      </c>
      <c r="F25" s="4" t="n">
        <v>5</v>
      </c>
      <c r="G25" s="7">
        <f>IF($D25="","",IFERROR(INDEX(Settings!$B$2:$B$7,MATCH(TRIM(CLEAN($D25)),Settings!$A$2:$A$7,0)),""))</f>
        <v/>
      </c>
      <c r="H25" s="7">
        <f>IF(OR($E25="",$G25=""),"",$E25*$G25)</f>
        <v/>
      </c>
      <c r="I25" s="7">
        <f>IF($F25="","",$F25*Settings!$B$9)</f>
        <v/>
      </c>
      <c r="J25" s="7">
        <f>IF($D25="","",IFERROR(INDEX(Settings!$C$2:$C$7,MATCH(TRIM(CLEAN($D25)),Settings!$A$2:$A$7,0)),""))</f>
        <v/>
      </c>
      <c r="K25" s="7">
        <f>IF(OR($H25="",$I25="",$J25=""),"",ROUND(($H25+$I25)*$J25,2))</f>
        <v/>
      </c>
      <c r="L25" t="n">
        <v>84.5</v>
      </c>
    </row>
    <row r="26" ht="14.25" customHeight="1">
      <c r="A26" s="44" t="n">
        <v>46039</v>
      </c>
      <c r="B26" s="4" t="n">
        <v>700</v>
      </c>
      <c r="C26" s="5" t="inlineStr">
        <is>
          <t>Greed, Adrian</t>
        </is>
      </c>
      <c r="D26" s="6" t="inlineStr">
        <is>
          <t>TR</t>
        </is>
      </c>
      <c r="E26" s="4" t="n">
        <v>48</v>
      </c>
      <c r="F26" s="4" t="n">
        <v>5</v>
      </c>
      <c r="G26" s="7">
        <f>IF($D26="","",IFERROR(INDEX(Settings!$B$2:$B$7,MATCH(TRIM(CLEAN($D26)),Settings!$A$2:$A$7,0)),""))</f>
        <v/>
      </c>
      <c r="H26" s="7">
        <f>IF(OR($E26="",$G26=""),"",$E26*$G26)</f>
        <v/>
      </c>
      <c r="I26" s="7">
        <f>IF($F26="","",$F26*Settings!$B$9)</f>
        <v/>
      </c>
      <c r="J26" s="7">
        <f>IF($D26="","",IFERROR(INDEX(Settings!$C$2:$C$7,MATCH(TRIM(CLEAN($D26)),Settings!$A$2:$A$7,0)),""))</f>
        <v/>
      </c>
      <c r="K26" s="7">
        <f>IF(OR($H26="",$I26="",$J26=""),"",ROUND(($H26+$I26)*$J26,2))</f>
        <v/>
      </c>
      <c r="L26" t="n">
        <v>86.27</v>
      </c>
    </row>
    <row r="27" ht="14.25" customHeight="1">
      <c r="A27" s="44" t="n">
        <v>46039</v>
      </c>
      <c r="B27" s="4" t="n">
        <v>700</v>
      </c>
      <c r="C27" s="5" t="inlineStr">
        <is>
          <t>Viccars, Adrian</t>
        </is>
      </c>
      <c r="D27" s="6" t="inlineStr">
        <is>
          <t>SP</t>
        </is>
      </c>
      <c r="E27" s="4" t="n">
        <v>47</v>
      </c>
      <c r="F27" s="4" t="n">
        <v>5</v>
      </c>
      <c r="G27" s="7">
        <f>IF($D27="","",IFERROR(INDEX(Settings!$B$2:$B$7,MATCH(TRIM(CLEAN($D27)),Settings!$A$2:$A$7,0)),""))</f>
        <v/>
      </c>
      <c r="H27" s="7">
        <f>IF(OR($E27="",$G27=""),"",$E27*$G27)</f>
        <v/>
      </c>
      <c r="I27" s="7">
        <f>IF($F27="","",$F27*Settings!$B$9)</f>
        <v/>
      </c>
      <c r="J27" s="7">
        <f>IF($D27="","",IFERROR(INDEX(Settings!$C$2:$C$7,MATCH(TRIM(CLEAN($D27)),Settings!$A$2:$A$7,0)),""))</f>
        <v/>
      </c>
      <c r="K27" s="7">
        <f>IF(OR($H27="",$I27="",$J27=""),"",ROUND(($H27+$I27)*$J27,2))</f>
        <v/>
      </c>
      <c r="L27" t="n">
        <v>82.84</v>
      </c>
    </row>
    <row r="28" ht="14.25" customHeight="1">
      <c r="A28" s="44" t="n">
        <v>46039</v>
      </c>
      <c r="B28" s="4" t="n">
        <v>700</v>
      </c>
      <c r="C28" s="5" t="inlineStr">
        <is>
          <t>Toh, Keith</t>
        </is>
      </c>
      <c r="D28" s="6" t="inlineStr">
        <is>
          <t>TR</t>
        </is>
      </c>
      <c r="E28" s="4" t="n">
        <v>47</v>
      </c>
      <c r="F28" s="4" t="n">
        <v>5</v>
      </c>
      <c r="G28" s="7">
        <f>IF($D28="","",IFERROR(INDEX(Settings!$B$2:$B$7,MATCH(TRIM(CLEAN($D28)),Settings!$A$2:$A$7,0)),""))</f>
        <v/>
      </c>
      <c r="H28" s="7">
        <f>IF(OR($E28="",$G28=""),"",$E28*$G28)</f>
        <v/>
      </c>
      <c r="I28" s="7">
        <f>IF($F28="","",$F28*Settings!$B$9)</f>
        <v/>
      </c>
      <c r="J28" s="7">
        <f>IF($D28="","",IFERROR(INDEX(Settings!$C$2:$C$7,MATCH(TRIM(CLEAN($D28)),Settings!$A$2:$A$7,0)),""))</f>
        <v/>
      </c>
      <c r="K28" s="7">
        <f>IF(OR($H28="",$I28="",$J28=""),"",ROUND(($H28+$I28)*$J28,2))</f>
        <v/>
      </c>
      <c r="L28" t="n">
        <v>84.58</v>
      </c>
    </row>
    <row r="29" ht="14.25" customHeight="1">
      <c r="A29" s="44" t="n">
        <v>46039</v>
      </c>
      <c r="B29" s="4" t="n">
        <v>700</v>
      </c>
      <c r="C29" s="5" t="inlineStr">
        <is>
          <t>Gierer, Gerald</t>
        </is>
      </c>
      <c r="D29" s="6" t="inlineStr">
        <is>
          <t>SP</t>
        </is>
      </c>
      <c r="E29" s="4" t="n">
        <v>50</v>
      </c>
      <c r="F29" s="4" t="n">
        <v>5</v>
      </c>
      <c r="G29" s="7">
        <f>IF($D29="","",IFERROR(INDEX(Settings!$B$2:$B$7,MATCH(TRIM(CLEAN($D29)),Settings!$A$2:$A$7,0)),""))</f>
        <v/>
      </c>
      <c r="H29" s="7">
        <f>IF(OR($E29="",$G29=""),"",$E29*$G29)</f>
        <v/>
      </c>
      <c r="I29" s="7">
        <f>IF($F29="","",$F29*Settings!$B$9)</f>
        <v/>
      </c>
      <c r="J29" s="7">
        <f>IF($D29="","",IFERROR(INDEX(Settings!$C$2:$C$7,MATCH(TRIM(CLEAN($D29)),Settings!$A$2:$A$7,0)),""))</f>
        <v/>
      </c>
      <c r="K29" s="7">
        <f>IF(OR($H29="",$I29="",$J29=""),"",ROUND(($H29+$I29)*$J29,2))</f>
        <v/>
      </c>
      <c r="L29" t="n">
        <v>87.81999999999999</v>
      </c>
    </row>
    <row r="30" ht="14.25" customHeight="1">
      <c r="A30" s="45" t="n">
        <v>46039</v>
      </c>
      <c r="B30" s="9" t="n">
        <v>700</v>
      </c>
      <c r="C30" s="5" t="inlineStr">
        <is>
          <t>Hanna, John</t>
        </is>
      </c>
      <c r="D30" s="6" t="inlineStr">
        <is>
          <t>SP</t>
        </is>
      </c>
      <c r="E30" s="4" t="n">
        <v>50</v>
      </c>
      <c r="F30" s="4" t="n">
        <v>4</v>
      </c>
      <c r="G30" s="10">
        <f>IF($D30="","",IFERROR(INDEX(Settings!$B$2:$B$7,MATCH(TRIM(CLEAN($D30)),Settings!$A$2:$A$7,0)),""))</f>
        <v/>
      </c>
      <c r="H30" s="10">
        <f>IF(OR($E30="",$G30=""),"",$E30*$G30)</f>
        <v/>
      </c>
      <c r="I30" s="10">
        <f>IF($F30="","",$F30*Settings!$B$9)</f>
        <v/>
      </c>
      <c r="J30" s="10">
        <f>IF($D30="","",IFERROR(INDEX(Settings!$C$2:$C$7,MATCH(TRIM(CLEAN($D30)),Settings!$A$2:$A$7,0)),""))</f>
        <v/>
      </c>
      <c r="K30" s="10">
        <f>IF(OR($H30="",$I30="",$J30=""),"",ROUND(($H30+$I30)*$J30,2))</f>
        <v/>
      </c>
      <c r="L30" t="n">
        <v>86.84999999999999</v>
      </c>
    </row>
    <row r="31" ht="14.25" customHeight="1">
      <c r="A31" s="44" t="n">
        <v>46039</v>
      </c>
      <c r="B31" s="4" t="n">
        <v>700</v>
      </c>
      <c r="C31" s="5" t="inlineStr">
        <is>
          <t>Staley, Eric</t>
        </is>
      </c>
      <c r="D31" s="6" t="inlineStr">
        <is>
          <t>SO</t>
        </is>
      </c>
      <c r="E31" s="4" t="n">
        <v>48</v>
      </c>
      <c r="F31" s="4" t="n">
        <v>4</v>
      </c>
      <c r="G31" s="7">
        <f>IF($D31="","",IFERROR(INDEX(Settings!$B$2:$B$7,MATCH(TRIM(CLEAN($D31)),Settings!$A$2:$A$7,0)),""))</f>
        <v/>
      </c>
      <c r="H31" s="7">
        <f>IF(OR($E31="",$G31=""),"",$E31*$G31)</f>
        <v/>
      </c>
      <c r="I31" s="7">
        <f>IF($F31="","",$F31*Settings!$B$9)</f>
        <v/>
      </c>
      <c r="J31" s="7">
        <f>IF($D31="","",IFERROR(INDEX(Settings!$C$2:$C$7,MATCH(TRIM(CLEAN($D31)),Settings!$A$2:$A$7,0)),""))</f>
        <v/>
      </c>
      <c r="K31" s="7">
        <f>IF(OR($H31="",$I31="",$J31=""),"",ROUND(($H31+$I31)*$J31,2))</f>
        <v/>
      </c>
      <c r="L31" t="n">
        <v>83.53</v>
      </c>
    </row>
    <row r="32" ht="14.25" customHeight="1">
      <c r="A32" s="45" t="n">
        <v>46039</v>
      </c>
      <c r="B32" s="9" t="n">
        <v>700</v>
      </c>
      <c r="C32" s="5" t="inlineStr">
        <is>
          <t>Beretta, Chris</t>
        </is>
      </c>
      <c r="D32" s="6" t="inlineStr">
        <is>
          <t>FO</t>
        </is>
      </c>
      <c r="E32" s="4" t="n">
        <v>56</v>
      </c>
      <c r="F32" s="4" t="n">
        <v>3</v>
      </c>
      <c r="G32" s="10">
        <f>IF($D32="","",IFERROR(INDEX(Settings!$B$2:$B$7,MATCH(TRIM(CLEAN($D32)),Settings!$A$2:$A$7,0)),""))</f>
        <v/>
      </c>
      <c r="H32" s="10">
        <f>IF(OR($E32="",$G32=""),"",$E32*$G32)</f>
        <v/>
      </c>
      <c r="I32" s="10">
        <f>IF($F32="","",$F32*Settings!$B$9)</f>
        <v/>
      </c>
      <c r="J32" s="10">
        <f>IF($D32="","",IFERROR(INDEX(Settings!$C$2:$C$7,MATCH(TRIM(CLEAN($D32)),Settings!$A$2:$A$7,0)),""))</f>
        <v/>
      </c>
      <c r="K32" s="10">
        <f>IF(OR($H32="",$I32="",$J32=""),"",ROUND(($H32+$I32)*$J32,2))</f>
        <v/>
      </c>
      <c r="L32" t="n">
        <v>81.69</v>
      </c>
    </row>
    <row r="33" ht="14.25" customHeight="1">
      <c r="A33" s="44" t="n">
        <v>46039</v>
      </c>
      <c r="B33" s="4" t="n">
        <v>700</v>
      </c>
      <c r="C33" s="5" t="inlineStr">
        <is>
          <t>Mann, Neil</t>
        </is>
      </c>
      <c r="D33" s="6" t="inlineStr">
        <is>
          <t>SP</t>
        </is>
      </c>
      <c r="E33" s="4" t="n">
        <v>46</v>
      </c>
      <c r="F33" s="4" t="n">
        <v>3</v>
      </c>
      <c r="G33" s="7">
        <f>IF($D33="","",IFERROR(INDEX(Settings!$B$2:$B$7,MATCH(TRIM(CLEAN($D33)),Settings!$A$2:$A$7,0)),""))</f>
        <v/>
      </c>
      <c r="H33" s="7">
        <f>IF(OR($E33="",$G33=""),"",$E33*$G33)</f>
        <v/>
      </c>
      <c r="I33" s="7">
        <f>IF($F33="","",$F33*Settings!$B$9)</f>
        <v/>
      </c>
      <c r="J33" s="7">
        <f>IF($D33="","",IFERROR(INDEX(Settings!$C$2:$C$7,MATCH(TRIM(CLEAN($D33)),Settings!$A$2:$A$7,0)),""))</f>
        <v/>
      </c>
      <c r="K33" s="7">
        <f>IF(OR($H33="",$I33="",$J33=""),"",ROUND(($H33+$I33)*$J33,2))</f>
        <v/>
      </c>
      <c r="L33" t="n">
        <v>79.25</v>
      </c>
    </row>
    <row r="34" ht="14.25" customHeight="1">
      <c r="A34" s="45" t="n">
        <v>46039</v>
      </c>
      <c r="B34" s="9" t="n">
        <v>700</v>
      </c>
      <c r="C34" s="5" t="inlineStr">
        <is>
          <t>Cubbidge, Helen</t>
        </is>
      </c>
      <c r="D34" s="6" t="inlineStr">
        <is>
          <t>SO</t>
        </is>
      </c>
      <c r="E34" s="4" t="n">
        <v>47</v>
      </c>
      <c r="F34" s="4" t="n">
        <v>3</v>
      </c>
      <c r="G34" s="10">
        <f>IF($D34="","",IFERROR(INDEX(Settings!$B$2:$B$7,MATCH(TRIM(CLEAN($D34)),Settings!$A$2:$A$7,0)),""))</f>
        <v/>
      </c>
      <c r="H34" s="10">
        <f>IF(OR($E34="",$G34=""),"",$E34*$G34)</f>
        <v/>
      </c>
      <c r="I34" s="10">
        <f>IF($F34="","",$F34*Settings!$B$9)</f>
        <v/>
      </c>
      <c r="J34" s="10">
        <f>IF($D34="","",IFERROR(INDEX(Settings!$C$2:$C$7,MATCH(TRIM(CLEAN($D34)),Settings!$A$2:$A$7,0)),""))</f>
        <v/>
      </c>
      <c r="K34" s="10">
        <f>IF(OR($H34="",$I34="",$J34=""),"",ROUND(($H34+$I34)*$J34,2))</f>
        <v/>
      </c>
      <c r="L34" t="n">
        <v>80.91</v>
      </c>
    </row>
    <row r="35" ht="14.25" customHeight="1">
      <c r="A35" s="44" t="n">
        <v>46039</v>
      </c>
      <c r="B35" s="4" t="n">
        <v>700</v>
      </c>
      <c r="C35" s="5" t="inlineStr">
        <is>
          <t>Green, Daniel</t>
        </is>
      </c>
      <c r="D35" s="6" t="inlineStr">
        <is>
          <t>SO</t>
        </is>
      </c>
      <c r="E35" s="4" t="n">
        <v>43</v>
      </c>
      <c r="F35" s="4" t="n">
        <v>3</v>
      </c>
      <c r="G35" s="7">
        <f>IF($D35="","",IFERROR(INDEX(Settings!$B$2:$B$7,MATCH(TRIM(CLEAN($D35)),Settings!$A$2:$A$7,0)),""))</f>
        <v/>
      </c>
      <c r="H35" s="7">
        <f>IF(OR($E35="",$G35=""),"",$E35*$G35)</f>
        <v/>
      </c>
      <c r="I35" s="7">
        <f>IF($F35="","",$F35*Settings!$B$9)</f>
        <v/>
      </c>
      <c r="J35" s="7">
        <f>IF($D35="","",IFERROR(INDEX(Settings!$C$2:$C$7,MATCH(TRIM(CLEAN($D35)),Settings!$A$2:$A$7,0)),""))</f>
        <v/>
      </c>
      <c r="K35" s="7">
        <f>IF(OR($H35="",$I35="",$J35=""),"",ROUND(($H35+$I35)*$J35,2))</f>
        <v/>
      </c>
      <c r="L35" t="n">
        <v>74.27</v>
      </c>
    </row>
    <row r="36" ht="14.25" customHeight="1">
      <c r="A36" s="45" t="n">
        <v>46039</v>
      </c>
      <c r="B36" s="9" t="n">
        <v>700</v>
      </c>
      <c r="C36" s="5" t="inlineStr">
        <is>
          <t>Heath, David</t>
        </is>
      </c>
      <c r="D36" s="6" t="inlineStr">
        <is>
          <t>TR</t>
        </is>
      </c>
      <c r="E36" s="4" t="n">
        <v>47</v>
      </c>
      <c r="F36" s="4" t="n">
        <v>3</v>
      </c>
      <c r="G36" s="10">
        <f>IF($D36="","",IFERROR(INDEX(Settings!$B$2:$B$7,MATCH(TRIM(CLEAN($D36)),Settings!$A$2:$A$7,0)),""))</f>
        <v/>
      </c>
      <c r="H36" s="10">
        <f>IF(OR($E36="",$G36=""),"",$E36*$G36)</f>
        <v/>
      </c>
      <c r="I36" s="10">
        <f>IF($F36="","",$F36*Settings!$B$9)</f>
        <v/>
      </c>
      <c r="J36" s="10">
        <f>IF($D36="","",IFERROR(INDEX(Settings!$C$2:$C$7,MATCH(TRIM(CLEAN($D36)),Settings!$A$2:$A$7,0)),""))</f>
        <v/>
      </c>
      <c r="K36" s="10">
        <f>IF(OR($H36="",$I36="",$J36=""),"",ROUND(($H36+$I36)*$J36,2))</f>
        <v/>
      </c>
      <c r="L36" t="n">
        <v>82.59999999999999</v>
      </c>
    </row>
    <row r="37" ht="14.25" customHeight="1">
      <c r="A37" s="45" t="n">
        <v>46039</v>
      </c>
      <c r="B37" s="9" t="n">
        <v>700</v>
      </c>
      <c r="C37" s="5" t="inlineStr">
        <is>
          <t>Patto, Nick</t>
        </is>
      </c>
      <c r="D37" s="6" t="inlineStr">
        <is>
          <t>FO</t>
        </is>
      </c>
      <c r="E37" s="4" t="n">
        <v>56</v>
      </c>
      <c r="F37" s="4" t="n">
        <v>2</v>
      </c>
      <c r="G37" s="10">
        <f>IF($D37="","",IFERROR(INDEX(Settings!$B$2:$B$7,MATCH(TRIM(CLEAN($D37)),Settings!$A$2:$A$7,0)),""))</f>
        <v/>
      </c>
      <c r="H37" s="10">
        <f>IF(OR($E37="",$G37=""),"",$E37*$G37)</f>
        <v/>
      </c>
      <c r="I37" s="10">
        <f>IF($F37="","",$F37*Settings!$B$9)</f>
        <v/>
      </c>
      <c r="J37" s="10">
        <f>IF($D37="","",IFERROR(INDEX(Settings!$C$2:$C$7,MATCH(TRIM(CLEAN($D37)),Settings!$A$2:$A$7,0)),""))</f>
        <v/>
      </c>
      <c r="K37" s="10">
        <f>IF(OR($H37="",$I37="",$J37=""),"",ROUND(($H37+$I37)*$J37,2))</f>
        <v/>
      </c>
      <c r="L37" t="n">
        <v>80.7</v>
      </c>
    </row>
    <row r="38" ht="14.25" customHeight="1">
      <c r="A38" s="45" t="n">
        <v>46039</v>
      </c>
      <c r="B38" s="9" t="n">
        <v>700</v>
      </c>
      <c r="C38" s="5" t="inlineStr">
        <is>
          <t>Hemkes, Rudy</t>
        </is>
      </c>
      <c r="D38" s="6" t="inlineStr">
        <is>
          <t>SO</t>
        </is>
      </c>
      <c r="E38" s="4" t="n">
        <v>48</v>
      </c>
      <c r="F38" s="4" t="n">
        <v>2</v>
      </c>
      <c r="G38" s="10">
        <f>IF($D38="","",IFERROR(INDEX(Settings!$B$2:$B$7,MATCH(TRIM(CLEAN($D38)),Settings!$A$2:$A$7,0)),""))</f>
        <v/>
      </c>
      <c r="H38" s="10">
        <f>IF(OR($E38="",$G38=""),"",$E38*$G38)</f>
        <v/>
      </c>
      <c r="I38" s="10">
        <f>IF($F38="","",$F38*Settings!$B$9)</f>
        <v/>
      </c>
      <c r="J38" s="10">
        <f>IF($D38="","",IFERROR(INDEX(Settings!$C$2:$C$7,MATCH(TRIM(CLEAN($D38)),Settings!$A$2:$A$7,0)),""))</f>
        <v/>
      </c>
      <c r="K38" s="10">
        <f>IF(OR($H38="",$I38="",$J38=""),"",ROUND(($H38+$I38)*$J38,2))</f>
        <v/>
      </c>
      <c r="L38" t="n">
        <v>81.59999999999999</v>
      </c>
    </row>
    <row r="39" ht="14.25" customHeight="1">
      <c r="A39" s="45" t="n">
        <v>46039</v>
      </c>
      <c r="B39" s="9" t="n">
        <v>700</v>
      </c>
      <c r="C39" s="5" t="inlineStr">
        <is>
          <t>Thomson, Peter</t>
        </is>
      </c>
      <c r="D39" s="6" t="inlineStr">
        <is>
          <t>SP</t>
        </is>
      </c>
      <c r="E39" s="4" t="n">
        <v>44</v>
      </c>
      <c r="F39" s="4" t="n">
        <v>2</v>
      </c>
      <c r="G39" s="10">
        <f>IF($D39="","",IFERROR(INDEX(Settings!$B$2:$B$7,MATCH(TRIM(CLEAN($D39)),Settings!$A$2:$A$7,0)),""))</f>
        <v/>
      </c>
      <c r="H39" s="10">
        <f>IF(OR($E39="",$G39=""),"",$E39*$G39)</f>
        <v/>
      </c>
      <c r="I39" s="10">
        <f>IF($F39="","",$F39*Settings!$B$9)</f>
        <v/>
      </c>
      <c r="J39" s="10">
        <f>IF($D39="","",IFERROR(INDEX(Settings!$C$2:$C$7,MATCH(TRIM(CLEAN($D39)),Settings!$A$2:$A$7,0)),""))</f>
        <v/>
      </c>
      <c r="K39" s="10">
        <f>IF(OR($H39="",$I39="",$J39=""),"",ROUND(($H39+$I39)*$J39,2))</f>
        <v/>
      </c>
      <c r="L39" t="n">
        <v>74.95999999999999</v>
      </c>
    </row>
    <row r="40" ht="14.25" customHeight="1">
      <c r="A40" s="44" t="n">
        <v>46039</v>
      </c>
      <c r="B40" s="4" t="n">
        <v>700</v>
      </c>
      <c r="C40" s="5" t="inlineStr">
        <is>
          <t>Poynton, Bill</t>
        </is>
      </c>
      <c r="D40" s="6" t="inlineStr">
        <is>
          <t>TR</t>
        </is>
      </c>
      <c r="E40" s="4" t="n">
        <v>45</v>
      </c>
      <c r="F40" s="4" t="n">
        <v>2</v>
      </c>
      <c r="G40" s="7">
        <f>IF($D40="","",IFERROR(INDEX(Settings!$B$2:$B$7,MATCH(TRIM(CLEAN($D40)),Settings!$A$2:$A$7,0)),""))</f>
        <v/>
      </c>
      <c r="H40" s="7">
        <f>IF(OR($E40="",$G40=""),"",$E40*$G40)</f>
        <v/>
      </c>
      <c r="I40" s="7">
        <f>IF($F40="","",$F40*Settings!$B$9)</f>
        <v/>
      </c>
      <c r="J40" s="7">
        <f>IF($D40="","",IFERROR(INDEX(Settings!$C$2:$C$7,MATCH(TRIM(CLEAN($D40)),Settings!$A$2:$A$7,0)),""))</f>
        <v/>
      </c>
      <c r="K40" s="7">
        <f>IF(OR($H40="",$I40="",$J40=""),"",ROUND(($H40+$I40)*$J40,2))</f>
        <v/>
      </c>
      <c r="L40" t="n">
        <v>78.22</v>
      </c>
    </row>
    <row r="41" ht="14.25" customHeight="1">
      <c r="A41" s="45" t="n">
        <v>46039</v>
      </c>
      <c r="B41" s="9" t="n">
        <v>700</v>
      </c>
      <c r="C41" s="5" t="inlineStr">
        <is>
          <t>Porter, Stephen</t>
        </is>
      </c>
      <c r="D41" s="6" t="inlineStr">
        <is>
          <t>FS</t>
        </is>
      </c>
      <c r="E41" s="4" t="n">
        <v>49</v>
      </c>
      <c r="F41" s="4" t="n">
        <v>1</v>
      </c>
      <c r="G41" s="10">
        <f>IF($D41="","",IFERROR(INDEX(Settings!$B$2:$B$7,MATCH(TRIM(CLEAN($D41)),Settings!$A$2:$A$7,0)),""))</f>
        <v/>
      </c>
      <c r="H41" s="10">
        <f>IF(OR($E41="",$G41=""),"",$E41*$G41)</f>
        <v/>
      </c>
      <c r="I41" s="10">
        <f>IF($F41="","",$F41*Settings!$B$9)</f>
        <v/>
      </c>
      <c r="J41" s="10">
        <f>IF($D41="","",IFERROR(INDEX(Settings!$C$2:$C$7,MATCH(TRIM(CLEAN($D41)),Settings!$A$2:$A$7,0)),""))</f>
        <v/>
      </c>
      <c r="K41" s="10">
        <f>IF(OR($H41="",$I41="",$J41=""),"",ROUND(($H41+$I41)*$J41,2))</f>
        <v/>
      </c>
      <c r="L41" t="n">
        <v>73.31</v>
      </c>
    </row>
    <row r="42" ht="14.25" customHeight="1">
      <c r="A42" s="44" t="n">
        <v>46039</v>
      </c>
      <c r="B42" s="4" t="n">
        <v>700</v>
      </c>
      <c r="C42" s="5" t="inlineStr">
        <is>
          <t>Kilpatrick, Brian</t>
        </is>
      </c>
      <c r="D42" s="6" t="inlineStr">
        <is>
          <t>SP</t>
        </is>
      </c>
      <c r="E42" s="4" t="n">
        <v>46</v>
      </c>
      <c r="F42" s="4" t="n">
        <v>1</v>
      </c>
      <c r="G42" s="7">
        <f>IF($D42="","",IFERROR(INDEX(Settings!$B$2:$B$7,MATCH(TRIM(CLEAN($D42)),Settings!$A$2:$A$7,0)),""))</f>
        <v/>
      </c>
      <c r="H42" s="7">
        <f>IF(OR($E42="",$G42=""),"",$E42*$G42)</f>
        <v/>
      </c>
      <c r="I42" s="7">
        <f>IF($F42="","",$F42*Settings!$B$9)</f>
        <v/>
      </c>
      <c r="J42" s="7">
        <f>IF($D42="","",IFERROR(INDEX(Settings!$C$2:$C$7,MATCH(TRIM(CLEAN($D42)),Settings!$A$2:$A$7,0)),""))</f>
        <v/>
      </c>
      <c r="K42" s="7">
        <f>IF(OR($H42="",$I42="",$J42=""),"",ROUND(($H42+$I42)*$J42,2))</f>
        <v/>
      </c>
      <c r="L42" t="n">
        <v>77.31</v>
      </c>
    </row>
    <row r="43" ht="14.25" customHeight="1">
      <c r="A43" s="45" t="n">
        <v>46039</v>
      </c>
      <c r="B43" s="9" t="n">
        <v>700</v>
      </c>
      <c r="C43" s="5" t="inlineStr">
        <is>
          <t>Chay, Tony</t>
        </is>
      </c>
      <c r="D43" s="6" t="inlineStr">
        <is>
          <t>SP</t>
        </is>
      </c>
      <c r="E43" s="4" t="n">
        <v>49</v>
      </c>
      <c r="F43" s="4" t="n">
        <v>1</v>
      </c>
      <c r="G43" s="10">
        <f>IF($D43="","",IFERROR(INDEX(Settings!$B$2:$B$7,MATCH(TRIM(CLEAN($D43)),Settings!$A$2:$A$7,0)),""))</f>
        <v/>
      </c>
      <c r="H43" s="10">
        <f>IF(OR($E43="",$G43=""),"",$E43*$G43)</f>
        <v/>
      </c>
      <c r="I43" s="10">
        <f>IF($F43="","",$F43*Settings!$B$9)</f>
        <v/>
      </c>
      <c r="J43" s="10">
        <f>IF($D43="","",IFERROR(INDEX(Settings!$C$2:$C$7,MATCH(TRIM(CLEAN($D43)),Settings!$A$2:$A$7,0)),""))</f>
        <v/>
      </c>
      <c r="K43" s="10">
        <f>IF(OR($H43="",$I43="",$J43=""),"",ROUND(($H43+$I43)*$J43,2))</f>
        <v/>
      </c>
      <c r="L43" t="n">
        <v>82.29000000000001</v>
      </c>
    </row>
    <row r="44" ht="14.25" customHeight="1">
      <c r="A44" s="44" t="n">
        <v>46039</v>
      </c>
      <c r="B44" s="4" t="n">
        <v>700</v>
      </c>
      <c r="C44" s="5" t="inlineStr">
        <is>
          <t>Hulett, Peter</t>
        </is>
      </c>
      <c r="D44" s="6" t="inlineStr">
        <is>
          <t>TR</t>
        </is>
      </c>
      <c r="E44" s="4" t="n">
        <v>43</v>
      </c>
      <c r="F44" s="4" t="n">
        <v>1</v>
      </c>
      <c r="G44" s="7">
        <f>IF($D44="","",IFERROR(INDEX(Settings!$B$2:$B$7,MATCH(TRIM(CLEAN($D44)),Settings!$A$2:$A$7,0)),""))</f>
        <v/>
      </c>
      <c r="H44" s="7">
        <f>IF(OR($E44="",$G44=""),"",$E44*$G44)</f>
        <v/>
      </c>
      <c r="I44" s="7">
        <f>IF($F44="","",$F44*Settings!$B$9)</f>
        <v/>
      </c>
      <c r="J44" s="7">
        <f>IF($D44="","",IFERROR(INDEX(Settings!$C$2:$C$7,MATCH(TRIM(CLEAN($D44)),Settings!$A$2:$A$7,0)),""))</f>
        <v/>
      </c>
      <c r="K44" s="7">
        <f>IF(OR($H44="",$I44="",$J44=""),"",ROUND(($H44+$I44)*$J44,2))</f>
        <v/>
      </c>
      <c r="L44" t="n">
        <v>73.84999999999999</v>
      </c>
    </row>
    <row r="45" ht="14.25" customHeight="1">
      <c r="A45" s="44" t="n">
        <v>46039</v>
      </c>
      <c r="B45" s="4" t="n">
        <v>700</v>
      </c>
      <c r="C45" s="5" t="inlineStr">
        <is>
          <t>Hulett, Carol</t>
        </is>
      </c>
      <c r="D45" s="6" t="inlineStr">
        <is>
          <t>FS</t>
        </is>
      </c>
      <c r="E45" s="4" t="n">
        <v>44</v>
      </c>
      <c r="F45" s="4" t="n">
        <v>0</v>
      </c>
      <c r="G45" s="7">
        <f>IF($D45="","",IFERROR(INDEX(Settings!$B$2:$B$7,MATCH(TRIM(CLEAN($D45)),Settings!$A$2:$A$7,0)),""))</f>
        <v/>
      </c>
      <c r="H45" s="7">
        <f>IF(OR($E45="",$G45=""),"",$E45*$G45)</f>
        <v/>
      </c>
      <c r="I45" s="7">
        <f>IF($F45="","",$F45*Settings!$B$9)</f>
        <v/>
      </c>
      <c r="J45" s="7">
        <f>IF($D45="","",IFERROR(INDEX(Settings!$C$2:$C$7,MATCH(TRIM(CLEAN($D45)),Settings!$A$2:$A$7,0)),""))</f>
        <v/>
      </c>
      <c r="K45" s="7">
        <f>IF(OR($H45="",$I45="",$J45=""),"",ROUND(($H45+$I45)*$J45,2))</f>
        <v/>
      </c>
      <c r="L45" t="n">
        <v>64.90000000000001</v>
      </c>
    </row>
    <row r="46" ht="14.25" customHeight="1">
      <c r="A46" s="45" t="n">
        <v>46039</v>
      </c>
      <c r="B46" s="9" t="n">
        <v>800</v>
      </c>
      <c r="C46" s="5" t="inlineStr">
        <is>
          <t>Comerford, Dan</t>
        </is>
      </c>
      <c r="D46" s="6" t="inlineStr">
        <is>
          <t>SO</t>
        </is>
      </c>
      <c r="E46" s="4" t="n">
        <v>50</v>
      </c>
      <c r="F46" s="4" t="n">
        <v>6</v>
      </c>
      <c r="G46" s="10">
        <f>IF($D46="","",IFERROR(INDEX(Settings!$B$2:$B$7,MATCH(TRIM(CLEAN($D46)),Settings!$A$2:$A$7,0)),""))</f>
        <v/>
      </c>
      <c r="H46" s="10">
        <f>IF(OR($E46="",$G46=""),"",$E46*$G46)</f>
        <v/>
      </c>
      <c r="I46" s="10">
        <f>IF($F46="","",$F46*Settings!$B$9)</f>
        <v/>
      </c>
      <c r="J46" s="10">
        <f>IF($D46="","",IFERROR(INDEX(Settings!$C$2:$C$7,MATCH(TRIM(CLEAN($D46)),Settings!$A$2:$A$7,0)),""))</f>
        <v/>
      </c>
      <c r="K46" s="10">
        <f>IF(OR($H46="",$I46="",$J46=""),"",ROUND(($H46+$I46)*$J46,2))</f>
        <v/>
      </c>
      <c r="L46" t="n">
        <v>88.79000000000001</v>
      </c>
    </row>
    <row r="47" ht="14.25" customHeight="1">
      <c r="A47" s="44" t="n">
        <v>46039</v>
      </c>
      <c r="B47" s="4" t="n">
        <v>800</v>
      </c>
      <c r="C47" s="5" t="inlineStr">
        <is>
          <t>Cubbidge, Helen</t>
        </is>
      </c>
      <c r="D47" s="6" t="inlineStr">
        <is>
          <t>SO</t>
        </is>
      </c>
      <c r="E47" s="4" t="n">
        <v>44</v>
      </c>
      <c r="F47" s="4" t="n">
        <v>5</v>
      </c>
      <c r="G47" s="7">
        <f>IF($D47="","",IFERROR(INDEX(Settings!$B$2:$B$7,MATCH(TRIM(CLEAN($D47)),Settings!$A$2:$A$7,0)),""))</f>
        <v/>
      </c>
      <c r="H47" s="7">
        <f>IF(OR($E47="",$G47=""),"",$E47*$G47)</f>
        <v/>
      </c>
      <c r="I47" s="7">
        <f>IF($F47="","",$F47*Settings!$B$9)</f>
        <v/>
      </c>
      <c r="J47" s="7">
        <f>IF($D47="","",IFERROR(INDEX(Settings!$C$2:$C$7,MATCH(TRIM(CLEAN($D47)),Settings!$A$2:$A$7,0)),""))</f>
        <v/>
      </c>
      <c r="K47" s="7">
        <f>IF(OR($H47="",$I47="",$J47=""),"",ROUND(($H47+$I47)*$J47,2))</f>
        <v/>
      </c>
      <c r="L47" t="n">
        <v>77.86</v>
      </c>
    </row>
    <row r="48" ht="14.25" customHeight="1">
      <c r="A48" s="45" t="n">
        <v>46039</v>
      </c>
      <c r="B48" s="9" t="n">
        <v>800</v>
      </c>
      <c r="C48" s="5" t="inlineStr">
        <is>
          <t>Chay, Tony</t>
        </is>
      </c>
      <c r="D48" s="6" t="inlineStr">
        <is>
          <t>SP</t>
        </is>
      </c>
      <c r="E48" s="4" t="n">
        <v>46</v>
      </c>
      <c r="F48" s="4" t="n">
        <v>4</v>
      </c>
      <c r="G48" s="10">
        <f>IF($D48="","",IFERROR(INDEX(Settings!$B$2:$B$7,MATCH(TRIM(CLEAN($D48)),Settings!$A$2:$A$7,0)),""))</f>
        <v/>
      </c>
      <c r="H48" s="10">
        <f>IF(OR($E48="",$G48=""),"",$E48*$G48)</f>
        <v/>
      </c>
      <c r="I48" s="10">
        <f>IF($F48="","",$F48*Settings!$B$9)</f>
        <v/>
      </c>
      <c r="J48" s="10">
        <f>IF($D48="","",IFERROR(INDEX(Settings!$C$2:$C$7,MATCH(TRIM(CLEAN($D48)),Settings!$A$2:$A$7,0)),""))</f>
        <v/>
      </c>
      <c r="K48" s="10">
        <f>IF(OR($H48="",$I48="",$J48=""),"",ROUND(($H48+$I48)*$J48,2))</f>
        <v/>
      </c>
      <c r="L48" t="n">
        <v>80.20999999999999</v>
      </c>
    </row>
    <row r="49" ht="14.25" customHeight="1">
      <c r="A49" s="44" t="n">
        <v>46039</v>
      </c>
      <c r="B49" s="4" t="n">
        <v>800</v>
      </c>
      <c r="C49" s="5" t="inlineStr">
        <is>
          <t>Greed, Adrian</t>
        </is>
      </c>
      <c r="D49" s="6" t="inlineStr">
        <is>
          <t>TR</t>
        </is>
      </c>
      <c r="E49" s="4" t="n">
        <v>49</v>
      </c>
      <c r="F49" s="4" t="n">
        <v>3</v>
      </c>
      <c r="G49" s="7">
        <f>IF($D49="","",IFERROR(INDEX(Settings!$B$2:$B$7,MATCH(TRIM(CLEAN($D49)),Settings!$A$2:$A$7,0)),""))</f>
        <v/>
      </c>
      <c r="H49" s="7">
        <f>IF(OR($E49="",$G49=""),"",$E49*$G49)</f>
        <v/>
      </c>
      <c r="I49" s="7">
        <f>IF($F49="","",$F49*Settings!$B$9)</f>
        <v/>
      </c>
      <c r="J49" s="7">
        <f>IF($D49="","",IFERROR(INDEX(Settings!$C$2:$C$7,MATCH(TRIM(CLEAN($D49)),Settings!$A$2:$A$7,0)),""))</f>
        <v/>
      </c>
      <c r="K49" s="7">
        <f>IF(OR($H49="",$I49="",$J49=""),"",ROUND(($H49+$I49)*$J49,2))</f>
        <v/>
      </c>
      <c r="L49" t="n">
        <v>85.98999999999999</v>
      </c>
    </row>
    <row r="50" ht="14.25" customHeight="1">
      <c r="A50" s="44" t="n">
        <v>46039</v>
      </c>
      <c r="B50" s="4" t="n">
        <v>800</v>
      </c>
      <c r="C50" s="5" t="inlineStr">
        <is>
          <t>Viccars, Adrian</t>
        </is>
      </c>
      <c r="D50" s="6" t="inlineStr">
        <is>
          <t>SP</t>
        </is>
      </c>
      <c r="E50" s="4" t="n">
        <v>46</v>
      </c>
      <c r="F50" s="4" t="n">
        <v>3</v>
      </c>
      <c r="G50" s="7">
        <f>IF($D50="","",IFERROR(INDEX(Settings!$B$2:$B$7,MATCH(TRIM(CLEAN($D50)),Settings!$A$2:$A$7,0)),""))</f>
        <v/>
      </c>
      <c r="H50" s="7">
        <f>IF(OR($E50="",$G50=""),"",$E50*$G50)</f>
        <v/>
      </c>
      <c r="I50" s="7">
        <f>IF($F50="","",$F50*Settings!$B$9)</f>
        <v/>
      </c>
      <c r="J50" s="7">
        <f>IF($D50="","",IFERROR(INDEX(Settings!$C$2:$C$7,MATCH(TRIM(CLEAN($D50)),Settings!$A$2:$A$7,0)),""))</f>
        <v/>
      </c>
      <c r="K50" s="7">
        <f>IF(OR($H50="",$I50="",$J50=""),"",ROUND(($H50+$I50)*$J50,2))</f>
        <v/>
      </c>
      <c r="L50" t="n">
        <v>79.25</v>
      </c>
    </row>
    <row r="51" ht="14.25" customHeight="1">
      <c r="A51" s="44" t="n">
        <v>46039</v>
      </c>
      <c r="B51" s="4" t="n">
        <v>800</v>
      </c>
      <c r="C51" s="5" t="inlineStr">
        <is>
          <t>Smaldino, Richard</t>
        </is>
      </c>
      <c r="D51" s="6" t="inlineStr">
        <is>
          <t>SP</t>
        </is>
      </c>
      <c r="E51" s="4" t="n">
        <v>46</v>
      </c>
      <c r="F51" s="4" t="n">
        <v>3</v>
      </c>
      <c r="G51" s="7">
        <f>IF($D51="","",IFERROR(INDEX(Settings!$B$2:$B$7,MATCH(TRIM(CLEAN($D51)),Settings!$A$2:$A$7,0)),""))</f>
        <v/>
      </c>
      <c r="H51" s="7">
        <f>IF(OR($E51="",$G51=""),"",$E51*$G51)</f>
        <v/>
      </c>
      <c r="I51" s="7">
        <f>IF($F51="","",$F51*Settings!$B$9)</f>
        <v/>
      </c>
      <c r="J51" s="7">
        <f>IF($D51="","",IFERROR(INDEX(Settings!$C$2:$C$7,MATCH(TRIM(CLEAN($D51)),Settings!$A$2:$A$7,0)),""))</f>
        <v/>
      </c>
      <c r="K51" s="7">
        <f>IF(OR($H51="",$I51="",$J51=""),"",ROUND(($H51+$I51)*$J51,2))</f>
        <v/>
      </c>
      <c r="L51" t="n">
        <v>79.25</v>
      </c>
    </row>
    <row r="52" ht="14.25" customHeight="1">
      <c r="A52" s="45" t="n">
        <v>46039</v>
      </c>
      <c r="B52" s="9" t="n">
        <v>800</v>
      </c>
      <c r="C52" s="5" t="inlineStr">
        <is>
          <t>Toh, Keith</t>
        </is>
      </c>
      <c r="D52" s="6" t="inlineStr">
        <is>
          <t>TR</t>
        </is>
      </c>
      <c r="E52" s="4" t="n">
        <v>42</v>
      </c>
      <c r="F52" s="4" t="n">
        <v>3</v>
      </c>
      <c r="G52" s="10">
        <f>IF($D52="","",IFERROR(INDEX(Settings!$B$2:$B$7,MATCH(TRIM(CLEAN($D52)),Settings!$A$2:$A$7,0)),""))</f>
        <v/>
      </c>
      <c r="H52" s="10">
        <f>IF(OR($E52="",$G52=""),"",$E52*$G52)</f>
        <v/>
      </c>
      <c r="I52" s="10">
        <f>IF($F52="","",$F52*Settings!$B$9)</f>
        <v/>
      </c>
      <c r="J52" s="10">
        <f>IF($D52="","",IFERROR(INDEX(Settings!$C$2:$C$7,MATCH(TRIM(CLEAN($D52)),Settings!$A$2:$A$7,0)),""))</f>
        <v/>
      </c>
      <c r="K52" s="10">
        <f>IF(OR($H52="",$I52="",$J52=""),"",ROUND(($H52+$I52)*$J52,2))</f>
        <v/>
      </c>
      <c r="L52" t="n">
        <v>74.13</v>
      </c>
    </row>
    <row r="53" ht="14.25" customHeight="1">
      <c r="A53" s="44" t="n">
        <v>46039</v>
      </c>
      <c r="B53" s="4" t="n">
        <v>800</v>
      </c>
      <c r="C53" s="5" t="inlineStr">
        <is>
          <t>Patto, Nick</t>
        </is>
      </c>
      <c r="D53" s="6" t="inlineStr">
        <is>
          <t>FO</t>
        </is>
      </c>
      <c r="E53" s="4" t="n">
        <v>53</v>
      </c>
      <c r="F53" s="4" t="n">
        <v>2</v>
      </c>
      <c r="G53" s="7">
        <f>IF($D53="","",IFERROR(INDEX(Settings!$B$2:$B$7,MATCH(TRIM(CLEAN($D53)),Settings!$A$2:$A$7,0)),""))</f>
        <v/>
      </c>
      <c r="H53" s="7">
        <f>IF(OR($E53="",$G53=""),"",$E53*$G53)</f>
        <v/>
      </c>
      <c r="I53" s="7">
        <f>IF($F53="","",$F53*Settings!$B$9)</f>
        <v/>
      </c>
      <c r="J53" s="7">
        <f>IF($D53="","",IFERROR(INDEX(Settings!$C$2:$C$7,MATCH(TRIM(CLEAN($D53)),Settings!$A$2:$A$7,0)),""))</f>
        <v/>
      </c>
      <c r="K53" s="7">
        <f>IF(OR($H53="",$I53="",$J53=""),"",ROUND(($H53+$I53)*$J53,2))</f>
        <v/>
      </c>
      <c r="L53" t="n">
        <v>76.48999999999999</v>
      </c>
    </row>
    <row r="54" ht="14.25" customHeight="1">
      <c r="A54" s="44" t="n">
        <v>46039</v>
      </c>
      <c r="B54" s="4" t="n">
        <v>800</v>
      </c>
      <c r="C54" s="5" t="inlineStr">
        <is>
          <t>Beretta, Chris</t>
        </is>
      </c>
      <c r="D54" s="6" t="inlineStr">
        <is>
          <t>FO</t>
        </is>
      </c>
      <c r="E54" s="4" t="n">
        <v>52</v>
      </c>
      <c r="F54" s="4" t="n">
        <v>2</v>
      </c>
      <c r="G54" s="7">
        <f>IF($D54="","",IFERROR(INDEX(Settings!$B$2:$B$7,MATCH(TRIM(CLEAN($D54)),Settings!$A$2:$A$7,0)),""))</f>
        <v/>
      </c>
      <c r="H54" s="7">
        <f>IF(OR($E54="",$G54=""),"",$E54*$G54)</f>
        <v/>
      </c>
      <c r="I54" s="7">
        <f>IF($F54="","",$F54*Settings!$B$9)</f>
        <v/>
      </c>
      <c r="J54" s="7">
        <f>IF($D54="","",IFERROR(INDEX(Settings!$C$2:$C$7,MATCH(TRIM(CLEAN($D54)),Settings!$A$2:$A$7,0)),""))</f>
        <v/>
      </c>
      <c r="K54" s="7">
        <f>IF(OR($H54="",$I54="",$J54=""),"",ROUND(($H54+$I54)*$J54,2))</f>
        <v/>
      </c>
      <c r="L54" t="n">
        <v>75.08</v>
      </c>
    </row>
    <row r="55" ht="14.25" customHeight="1">
      <c r="A55" s="44" t="n">
        <v>46039</v>
      </c>
      <c r="B55" s="4" t="n">
        <v>800</v>
      </c>
      <c r="C55" s="5" t="inlineStr">
        <is>
          <t>Kilpatrick, Brian</t>
        </is>
      </c>
      <c r="D55" s="6" t="inlineStr">
        <is>
          <t>SP</t>
        </is>
      </c>
      <c r="E55" s="4" t="n">
        <v>48</v>
      </c>
      <c r="F55" s="4" t="n">
        <v>2</v>
      </c>
      <c r="G55" s="7">
        <f>IF($D55="","",IFERROR(INDEX(Settings!$B$2:$B$7,MATCH(TRIM(CLEAN($D55)),Settings!$A$2:$A$7,0)),""))</f>
        <v/>
      </c>
      <c r="H55" s="7">
        <f>IF(OR($E55="",$G55=""),"",$E55*$G55)</f>
        <v/>
      </c>
      <c r="I55" s="7">
        <f>IF($F55="","",$F55*Settings!$B$9)</f>
        <v/>
      </c>
      <c r="J55" s="7">
        <f>IF($D55="","",IFERROR(INDEX(Settings!$C$2:$C$7,MATCH(TRIM(CLEAN($D55)),Settings!$A$2:$A$7,0)),""))</f>
        <v/>
      </c>
      <c r="K55" s="7">
        <f>IF(OR($H55="",$I55="",$J55=""),"",ROUND(($H55+$I55)*$J55,2))</f>
        <v/>
      </c>
      <c r="L55" t="n">
        <v>81.59999999999999</v>
      </c>
    </row>
    <row r="56" ht="14.25" customHeight="1">
      <c r="A56" s="44" t="n">
        <v>46039</v>
      </c>
      <c r="B56" s="4" t="n">
        <v>800</v>
      </c>
      <c r="C56" s="5" t="inlineStr">
        <is>
          <t>Hemkes, Rudy</t>
        </is>
      </c>
      <c r="D56" s="6" t="inlineStr">
        <is>
          <t>SO</t>
        </is>
      </c>
      <c r="E56" s="4" t="n">
        <v>46</v>
      </c>
      <c r="F56" s="4" t="n">
        <v>2</v>
      </c>
      <c r="G56" s="7">
        <f>IF($D56="","",IFERROR(INDEX(Settings!$B$2:$B$7,MATCH(TRIM(CLEAN($D56)),Settings!$A$2:$A$7,0)),""))</f>
        <v/>
      </c>
      <c r="H56" s="7">
        <f>IF(OR($E56="",$G56=""),"",$E56*$G56)</f>
        <v/>
      </c>
      <c r="I56" s="7">
        <f>IF($F56="","",$F56*Settings!$B$9)</f>
        <v/>
      </c>
      <c r="J56" s="7">
        <f>IF($D56="","",IFERROR(INDEX(Settings!$C$2:$C$7,MATCH(TRIM(CLEAN($D56)),Settings!$A$2:$A$7,0)),""))</f>
        <v/>
      </c>
      <c r="K56" s="7">
        <f>IF(OR($H56="",$I56="",$J56=""),"",ROUND(($H56+$I56)*$J56,2))</f>
        <v/>
      </c>
      <c r="L56" t="n">
        <v>78.28</v>
      </c>
    </row>
    <row r="57" ht="14.25" customHeight="1">
      <c r="A57" s="44" t="n">
        <v>46039</v>
      </c>
      <c r="B57" s="4" t="n">
        <v>800</v>
      </c>
      <c r="C57" s="5" t="inlineStr">
        <is>
          <t>Thomson, Peter</t>
        </is>
      </c>
      <c r="D57" s="6" t="inlineStr">
        <is>
          <t>SP</t>
        </is>
      </c>
      <c r="E57" s="4" t="n">
        <v>46</v>
      </c>
      <c r="F57" s="4" t="n">
        <v>2</v>
      </c>
      <c r="G57" s="7">
        <f>IF($D57="","",IFERROR(INDEX(Settings!$B$2:$B$7,MATCH(TRIM(CLEAN($D57)),Settings!$A$2:$A$7,0)),""))</f>
        <v/>
      </c>
      <c r="H57" s="7">
        <f>IF(OR($E57="",$G57=""),"",$E57*$G57)</f>
        <v/>
      </c>
      <c r="I57" s="7">
        <f>IF($F57="","",$F57*Settings!$B$9)</f>
        <v/>
      </c>
      <c r="J57" s="7">
        <f>IF($D57="","",IFERROR(INDEX(Settings!$C$2:$C$7,MATCH(TRIM(CLEAN($D57)),Settings!$A$2:$A$7,0)),""))</f>
        <v/>
      </c>
      <c r="K57" s="7">
        <f>IF(OR($H57="",$I57="",$J57=""),"",ROUND(($H57+$I57)*$J57,2))</f>
        <v/>
      </c>
      <c r="L57" t="n">
        <v>78.28</v>
      </c>
    </row>
    <row r="58" ht="14.25" customHeight="1">
      <c r="A58" s="44" t="n">
        <v>46039</v>
      </c>
      <c r="B58" s="4" t="n">
        <v>800</v>
      </c>
      <c r="C58" s="5" t="inlineStr">
        <is>
          <t>Green, Daniel</t>
        </is>
      </c>
      <c r="D58" s="6" t="inlineStr">
        <is>
          <t>SO</t>
        </is>
      </c>
      <c r="E58" s="4" t="n">
        <v>38</v>
      </c>
      <c r="F58" s="4" t="n">
        <v>2</v>
      </c>
      <c r="G58" s="7">
        <f>IF($D58="","",IFERROR(INDEX(Settings!$B$2:$B$7,MATCH(TRIM(CLEAN($D58)),Settings!$A$2:$A$7,0)),""))</f>
        <v/>
      </c>
      <c r="H58" s="7">
        <f>IF(OR($E58="",$G58=""),"",$E58*$G58)</f>
        <v/>
      </c>
      <c r="I58" s="7">
        <f>IF($F58="","",$F58*Settings!$B$9)</f>
        <v/>
      </c>
      <c r="J58" s="7">
        <f>IF($D58="","",IFERROR(INDEX(Settings!$C$2:$C$7,MATCH(TRIM(CLEAN($D58)),Settings!$A$2:$A$7,0)),""))</f>
        <v/>
      </c>
      <c r="K58" s="7">
        <f>IF(OR($H58="",$I58="",$J58=""),"",ROUND(($H58+$I58)*$J58,2))</f>
        <v/>
      </c>
      <c r="L58" t="n">
        <v>65</v>
      </c>
    </row>
    <row r="59" ht="14.25" customHeight="1">
      <c r="A59" s="44" t="n">
        <v>46039</v>
      </c>
      <c r="B59" s="4" t="n">
        <v>800</v>
      </c>
      <c r="C59" s="5" t="inlineStr">
        <is>
          <t>Porter, Stephen</t>
        </is>
      </c>
      <c r="D59" s="6" t="inlineStr">
        <is>
          <t>FS</t>
        </is>
      </c>
      <c r="E59" s="4" t="n">
        <v>44</v>
      </c>
      <c r="F59" s="4" t="n">
        <v>1</v>
      </c>
      <c r="G59" s="7">
        <f>IF($D59="","",IFERROR(INDEX(Settings!$B$2:$B$7,MATCH(TRIM(CLEAN($D59)),Settings!$A$2:$A$7,0)),""))</f>
        <v/>
      </c>
      <c r="H59" s="7">
        <f>IF(OR($E59="",$G59=""),"",$E59*$G59)</f>
        <v/>
      </c>
      <c r="I59" s="7">
        <f>IF($F59="","",$F59*Settings!$B$9)</f>
        <v/>
      </c>
      <c r="J59" s="7">
        <f>IF($D59="","",IFERROR(INDEX(Settings!$C$2:$C$7,MATCH(TRIM(CLEAN($D59)),Settings!$A$2:$A$7,0)),""))</f>
        <v/>
      </c>
      <c r="K59" s="7">
        <f>IF(OR($H59="",$I59="",$J59=""),"",ROUND(($H59+$I59)*$J59,2))</f>
        <v/>
      </c>
      <c r="L59" t="n">
        <v>65.93000000000001</v>
      </c>
    </row>
    <row r="60" ht="14.25" customHeight="1">
      <c r="A60" s="44" t="n">
        <v>46039</v>
      </c>
      <c r="B60" s="4" t="n">
        <v>800</v>
      </c>
      <c r="C60" s="5" t="inlineStr">
        <is>
          <t>Mann, Neil</t>
        </is>
      </c>
      <c r="D60" s="6" t="inlineStr">
        <is>
          <t>SP</t>
        </is>
      </c>
      <c r="E60" s="4" t="n">
        <v>48</v>
      </c>
      <c r="F60" s="4" t="n">
        <v>1</v>
      </c>
      <c r="G60" s="7">
        <f>IF($D60="","",IFERROR(INDEX(Settings!$B$2:$B$7,MATCH(TRIM(CLEAN($D60)),Settings!$A$2:$A$7,0)),""))</f>
        <v/>
      </c>
      <c r="H60" s="7">
        <f>IF(OR($E60="",$G60=""),"",$E60*$G60)</f>
        <v/>
      </c>
      <c r="I60" s="7">
        <f>IF($F60="","",$F60*Settings!$B$9)</f>
        <v/>
      </c>
      <c r="J60" s="7">
        <f>IF($D60="","",IFERROR(INDEX(Settings!$C$2:$C$7,MATCH(TRIM(CLEAN($D60)),Settings!$A$2:$A$7,0)),""))</f>
        <v/>
      </c>
      <c r="K60" s="7">
        <f>IF(OR($H60="",$I60="",$J60=""),"",ROUND(($H60+$I60)*$J60,2))</f>
        <v/>
      </c>
      <c r="L60" t="n">
        <v>80.63</v>
      </c>
    </row>
    <row r="61" ht="14.25" customHeight="1">
      <c r="A61" s="44" t="n">
        <v>46039</v>
      </c>
      <c r="B61" s="4" t="n">
        <v>800</v>
      </c>
      <c r="C61" s="5" t="inlineStr">
        <is>
          <t>Hanna, John</t>
        </is>
      </c>
      <c r="D61" s="6" t="inlineStr">
        <is>
          <t>SP</t>
        </is>
      </c>
      <c r="E61" s="4" t="n">
        <v>46</v>
      </c>
      <c r="F61" s="4" t="n">
        <v>1</v>
      </c>
      <c r="G61" s="7">
        <f>IF($D61="","",IFERROR(INDEX(Settings!$B$2:$B$7,MATCH(TRIM(CLEAN($D61)),Settings!$A$2:$A$7,0)),""))</f>
        <v/>
      </c>
      <c r="H61" s="7">
        <f>IF(OR($E61="",$G61=""),"",$E61*$G61)</f>
        <v/>
      </c>
      <c r="I61" s="7">
        <f>IF($F61="","",$F61*Settings!$B$9)</f>
        <v/>
      </c>
      <c r="J61" s="7">
        <f>IF($D61="","",IFERROR(INDEX(Settings!$C$2:$C$7,MATCH(TRIM(CLEAN($D61)),Settings!$A$2:$A$7,0)),""))</f>
        <v/>
      </c>
      <c r="K61" s="7">
        <f>IF(OR($H61="",$I61="",$J61=""),"",ROUND(($H61+$I61)*$J61,2))</f>
        <v/>
      </c>
      <c r="L61" t="n">
        <v>77.31</v>
      </c>
    </row>
    <row r="62" ht="14.25" customHeight="1">
      <c r="A62" s="44" t="n">
        <v>46039</v>
      </c>
      <c r="B62" s="4" t="n">
        <v>800</v>
      </c>
      <c r="C62" s="5" t="inlineStr">
        <is>
          <t>Staley, Eric</t>
        </is>
      </c>
      <c r="D62" s="6" t="inlineStr">
        <is>
          <t>SO</t>
        </is>
      </c>
      <c r="E62" s="4" t="n">
        <v>43</v>
      </c>
      <c r="F62" s="4" t="n">
        <v>1</v>
      </c>
      <c r="G62" s="7">
        <f>IF($D62="","",IFERROR(INDEX(Settings!$B$2:$B$7,MATCH(TRIM(CLEAN($D62)),Settings!$A$2:$A$7,0)),""))</f>
        <v/>
      </c>
      <c r="H62" s="7">
        <f>IF(OR($E62="",$G62=""),"",$E62*$G62)</f>
        <v/>
      </c>
      <c r="I62" s="7">
        <f>IF($F62="","",$F62*Settings!$B$9)</f>
        <v/>
      </c>
      <c r="J62" s="7">
        <f>IF($D62="","",IFERROR(INDEX(Settings!$C$2:$C$7,MATCH(TRIM(CLEAN($D62)),Settings!$A$2:$A$7,0)),""))</f>
        <v/>
      </c>
      <c r="K62" s="7">
        <f>IF(OR($H62="",$I62="",$J62=""),"",ROUND(($H62+$I62)*$J62,2))</f>
        <v/>
      </c>
      <c r="L62" t="n">
        <v>72.33</v>
      </c>
    </row>
    <row r="63" ht="14.25" customHeight="1">
      <c r="A63" s="44" t="n">
        <v>46039</v>
      </c>
      <c r="B63" s="4" t="n">
        <v>800</v>
      </c>
      <c r="C63" s="5" t="inlineStr">
        <is>
          <t>Hulett, Carol</t>
        </is>
      </c>
      <c r="D63" s="6" t="inlineStr">
        <is>
          <t>FS</t>
        </is>
      </c>
      <c r="E63" s="4" t="n">
        <v>44</v>
      </c>
      <c r="F63" s="4" t="n">
        <v>1</v>
      </c>
      <c r="G63" s="7">
        <f>IF($D63="","",IFERROR(INDEX(Settings!$B$2:$B$7,MATCH(TRIM(CLEAN($D63)),Settings!$A$2:$A$7,0)),""))</f>
        <v/>
      </c>
      <c r="H63" s="7">
        <f>IF(OR($E63="",$G63=""),"",$E63*$G63)</f>
        <v/>
      </c>
      <c r="I63" s="7">
        <f>IF($F63="","",$F63*Settings!$B$9)</f>
        <v/>
      </c>
      <c r="J63" s="7">
        <f>IF($D63="","",IFERROR(INDEX(Settings!$C$2:$C$7,MATCH(TRIM(CLEAN($D63)),Settings!$A$2:$A$7,0)),""))</f>
        <v/>
      </c>
      <c r="K63" s="7">
        <f>IF(OR($H63="",$I63="",$J63=""),"",ROUND(($H63+$I63)*$J63,2))</f>
        <v/>
      </c>
      <c r="L63" t="n">
        <v>65.93000000000001</v>
      </c>
    </row>
    <row r="64" ht="14.25" customHeight="1">
      <c r="A64" s="44" t="n">
        <v>46039</v>
      </c>
      <c r="B64" s="4" t="n">
        <v>800</v>
      </c>
      <c r="C64" s="5" t="inlineStr">
        <is>
          <t>Hulett, Peter</t>
        </is>
      </c>
      <c r="D64" s="6" t="inlineStr">
        <is>
          <t>TR</t>
        </is>
      </c>
      <c r="E64" s="4" t="n">
        <v>38</v>
      </c>
      <c r="F64" s="4" t="n">
        <v>1</v>
      </c>
      <c r="G64" s="7">
        <f>IF($D64="","",IFERROR(INDEX(Settings!$B$2:$B$7,MATCH(TRIM(CLEAN($D64)),Settings!$A$2:$A$7,0)),""))</f>
        <v/>
      </c>
      <c r="H64" s="7">
        <f>IF(OR($E64="",$G64=""),"",$E64*$G64)</f>
        <v/>
      </c>
      <c r="I64" s="7">
        <f>IF($F64="","",$F64*Settings!$B$9)</f>
        <v/>
      </c>
      <c r="J64" s="7">
        <f>IF($D64="","",IFERROR(INDEX(Settings!$C$2:$C$7,MATCH(TRIM(CLEAN($D64)),Settings!$A$2:$A$7,0)),""))</f>
        <v/>
      </c>
      <c r="K64" s="7">
        <f>IF(OR($H64="",$I64="",$J64=""),"",ROUND(($H64+$I64)*$J64,2))</f>
        <v/>
      </c>
      <c r="L64" t="n">
        <v>65.38</v>
      </c>
    </row>
    <row r="65" ht="14.25" customHeight="1">
      <c r="A65" s="45" t="n">
        <v>46039</v>
      </c>
      <c r="B65" s="9" t="n">
        <v>800</v>
      </c>
      <c r="C65" s="5" t="inlineStr">
        <is>
          <t>Poynton, Bill</t>
        </is>
      </c>
      <c r="D65" s="6" t="inlineStr">
        <is>
          <t>TR</t>
        </is>
      </c>
      <c r="E65" s="4" t="n">
        <v>34</v>
      </c>
      <c r="F65" s="4" t="n">
        <v>0</v>
      </c>
      <c r="G65" s="10">
        <f>IF($D65="","",IFERROR(INDEX(Settings!$B$2:$B$7,MATCH(TRIM(CLEAN($D65)),Settings!$A$2:$A$7,0)),""))</f>
        <v/>
      </c>
      <c r="H65" s="10">
        <f>IF(OR($E65="",$G65=""),"",$E65*$G65)</f>
        <v/>
      </c>
      <c r="I65" s="10">
        <f>IF($F65="","",$F65*Settings!$B$9)</f>
        <v/>
      </c>
      <c r="J65" s="10">
        <f>IF($D65="","",IFERROR(INDEX(Settings!$C$2:$C$7,MATCH(TRIM(CLEAN($D65)),Settings!$A$2:$A$7,0)),""))</f>
        <v/>
      </c>
      <c r="K65" s="10">
        <f>IF(OR($H65="",$I65="",$J65=""),"",ROUND(($H65+$I65)*$J65,2))</f>
        <v/>
      </c>
      <c r="L65" t="n">
        <v>57.61</v>
      </c>
    </row>
    <row r="66" ht="14.25" customHeight="1">
      <c r="A66" s="44" t="n">
        <v>46039</v>
      </c>
      <c r="B66" s="4" t="n">
        <v>800</v>
      </c>
      <c r="C66" s="5" t="inlineStr">
        <is>
          <t>Gierer, Gerald</t>
        </is>
      </c>
      <c r="D66" s="6" t="inlineStr">
        <is>
          <t>SP</t>
        </is>
      </c>
      <c r="E66" s="4" t="n">
        <v>0</v>
      </c>
      <c r="F66" s="4" t="n">
        <v>0</v>
      </c>
      <c r="G66" s="7">
        <f>IF($D66="","",IFERROR(INDEX(Settings!$B$2:$B$7,MATCH(TRIM(CLEAN($D66)),Settings!$A$2:$A$7,0)),""))</f>
        <v/>
      </c>
      <c r="H66" s="7">
        <f>IF(OR($E66="",$G66=""),"",$E66*$G66)</f>
        <v/>
      </c>
      <c r="I66" s="7">
        <f>IF($F66="","",$F66*Settings!$B$9)</f>
        <v/>
      </c>
      <c r="J66" s="7">
        <f>IF($D66="","",IFERROR(INDEX(Settings!$C$2:$C$7,MATCH(TRIM(CLEAN($D66)),Settings!$A$2:$A$7,0)),""))</f>
        <v/>
      </c>
      <c r="K66" s="7">
        <f>IF(OR($H66="",$I66="",$J66=""),"",ROUND(($H66+$I66)*$J66,2))</f>
        <v/>
      </c>
      <c r="L66" t="n">
        <v>0</v>
      </c>
    </row>
    <row r="67" ht="14.25" customHeight="1">
      <c r="A67" s="45" t="n">
        <v>46039</v>
      </c>
      <c r="B67" s="9" t="n">
        <v>800</v>
      </c>
      <c r="C67" s="5" t="inlineStr">
        <is>
          <t>Heath, David</t>
        </is>
      </c>
      <c r="D67" s="6" t="inlineStr">
        <is>
          <t>TR</t>
        </is>
      </c>
      <c r="E67" s="4" t="n">
        <v>0</v>
      </c>
      <c r="F67" s="4" t="n">
        <v>0</v>
      </c>
      <c r="G67" s="10">
        <f>IF($D67="","",IFERROR(INDEX(Settings!$B$2:$B$7,MATCH(TRIM(CLEAN($D67)),Settings!$A$2:$A$7,0)),""))</f>
        <v/>
      </c>
      <c r="H67" s="10">
        <f>IF(OR($E67="",$G67=""),"",$E67*$G67)</f>
        <v/>
      </c>
      <c r="I67" s="10">
        <f>IF($F67="","",$F67*Settings!$B$9)</f>
        <v/>
      </c>
      <c r="J67" s="10">
        <f>IF($D67="","",IFERROR(INDEX(Settings!$C$2:$C$7,MATCH(TRIM(CLEAN($D67)),Settings!$A$2:$A$7,0)),""))</f>
        <v/>
      </c>
      <c r="K67" s="10">
        <f>IF(OR($H67="",$I67="",$J67=""),"",ROUND(($H67+$I67)*$J67,2))</f>
        <v/>
      </c>
      <c r="L67" t="n">
        <v>0</v>
      </c>
    </row>
    <row r="68" ht="14.25" customHeight="1">
      <c r="A68" s="44" t="n">
        <v>46123</v>
      </c>
      <c r="B68" s="4" t="n">
        <v>500</v>
      </c>
      <c r="C68" s="5" t="inlineStr">
        <is>
          <t>Toh, Keith</t>
        </is>
      </c>
      <c r="D68" s="4" t="inlineStr">
        <is>
          <t>TR</t>
        </is>
      </c>
      <c r="E68" s="4" t="n">
        <v>50</v>
      </c>
      <c r="F68" s="4" t="n">
        <v>7</v>
      </c>
      <c r="G68" s="10">
        <f>IF($D68="","",IFERROR(INDEX(Settings!$B$2:$B$7,MATCH(TRIM(CLEAN($D68)),Settings!$A$2:$A$7,0)),""))</f>
        <v/>
      </c>
      <c r="H68" s="10">
        <f>IF(OR($E68="",$G68=""),"",$E68*$G68)</f>
        <v/>
      </c>
      <c r="I68" s="10">
        <f>IF($F68="","",$F68*Settings!$B$9)</f>
        <v/>
      </c>
      <c r="J68" s="10">
        <f>IF($D68="","",IFERROR(INDEX(Settings!$C$2:$C$7,MATCH(TRIM(CLEAN($D68)),Settings!$A$2:$A$7,0)),""))</f>
        <v/>
      </c>
      <c r="K68" s="10">
        <f>IF(OR($H68="",$I68="",$J68=""),"",ROUND(($H68+$I68)*$J68,2))</f>
        <v/>
      </c>
      <c r="L68" t="n">
        <v>91.64</v>
      </c>
    </row>
    <row r="69" ht="14.25" customHeight="1">
      <c r="A69" s="44" t="n">
        <v>46123</v>
      </c>
      <c r="B69" s="4" t="n">
        <v>500</v>
      </c>
      <c r="C69" s="5" t="inlineStr">
        <is>
          <t>Dare, Brodie</t>
        </is>
      </c>
      <c r="D69" s="4" t="inlineStr">
        <is>
          <t>SO</t>
        </is>
      </c>
      <c r="E69" s="4" t="n">
        <v>49</v>
      </c>
      <c r="F69" s="4" t="n">
        <v>6</v>
      </c>
      <c r="G69" s="10">
        <f>IF($D69="","",IFERROR(INDEX(Settings!$B$2:$B$7,MATCH(TRIM(CLEAN($D69)),Settings!$A$2:$A$7,0)),""))</f>
        <v/>
      </c>
      <c r="H69" s="10">
        <f>IF(OR($E69="",$G69=""),"",$E69*$G69)</f>
        <v/>
      </c>
      <c r="I69" s="10">
        <f>IF($F69="","",$F69*Settings!$B$9)</f>
        <v/>
      </c>
      <c r="J69" s="10">
        <f>IF($D69="","",IFERROR(INDEX(Settings!$C$2:$C$7,MATCH(TRIM(CLEAN($D69)),Settings!$A$2:$A$7,0)),""))</f>
        <v/>
      </c>
      <c r="K69" s="10">
        <f>IF(OR($H69="",$I69="",$J69=""),"",ROUND(($H69+$I69)*$J69,2))</f>
        <v/>
      </c>
      <c r="L69" t="n">
        <v>87.13</v>
      </c>
    </row>
    <row r="70" ht="14.25" customHeight="1">
      <c r="A70" s="44" t="n">
        <v>46123</v>
      </c>
      <c r="B70" s="4" t="n">
        <v>500</v>
      </c>
      <c r="C70" s="5" t="inlineStr">
        <is>
          <t>Smaldino, Richard</t>
        </is>
      </c>
      <c r="D70" s="4" t="inlineStr">
        <is>
          <t>SP</t>
        </is>
      </c>
      <c r="E70" s="4" t="n">
        <v>49</v>
      </c>
      <c r="F70" s="4" t="n">
        <v>6</v>
      </c>
      <c r="G70" s="10">
        <f>IF($D70="","",IFERROR(INDEX(Settings!$B$2:$B$7,MATCH(TRIM(CLEAN($D70)),Settings!$A$2:$A$7,0)),""))</f>
        <v/>
      </c>
      <c r="H70" s="10">
        <f>IF(OR($E70="",$G70=""),"",$E70*$G70)</f>
        <v/>
      </c>
      <c r="I70" s="10">
        <f>IF($F70="","",$F70*Settings!$B$9)</f>
        <v/>
      </c>
      <c r="J70" s="10">
        <f>IF($D70="","",IFERROR(INDEX(Settings!$C$2:$C$7,MATCH(TRIM(CLEAN($D70)),Settings!$A$2:$A$7,0)),""))</f>
        <v/>
      </c>
      <c r="K70" s="10">
        <f>IF(OR($H70="",$I70="",$J70=""),"",ROUND(($H70+$I70)*$J70,2))</f>
        <v/>
      </c>
      <c r="L70" t="n">
        <v>87.13</v>
      </c>
    </row>
    <row r="71" ht="14.25" customHeight="1">
      <c r="A71" s="44" t="n">
        <v>46123</v>
      </c>
      <c r="B71" s="4" t="n">
        <v>500</v>
      </c>
      <c r="C71" s="5" t="inlineStr">
        <is>
          <t>Bending, Anthony</t>
        </is>
      </c>
      <c r="D71" s="4" t="inlineStr">
        <is>
          <t>FO</t>
        </is>
      </c>
      <c r="E71" s="4" t="n">
        <v>58</v>
      </c>
      <c r="F71" s="4" t="n">
        <v>5</v>
      </c>
      <c r="G71" s="10">
        <f>IF($D71="","",IFERROR(INDEX(Settings!$B$2:$B$7,MATCH(TRIM(CLEAN($D71)),Settings!$A$2:$A$7,0)),""))</f>
        <v/>
      </c>
      <c r="H71" s="10">
        <f>IF(OR($E71="",$G71=""),"",$E71*$G71)</f>
        <v/>
      </c>
      <c r="I71" s="10">
        <f>IF($F71="","",$F71*Settings!$B$9)</f>
        <v/>
      </c>
      <c r="J71" s="10">
        <f>IF($D71="","",IFERROR(INDEX(Settings!$C$2:$C$7,MATCH(TRIM(CLEAN($D71)),Settings!$A$2:$A$7,0)),""))</f>
        <v/>
      </c>
      <c r="K71" s="10">
        <f>IF(OR($H71="",$I71="",$J71=""),"",ROUND(($H71+$I71)*$J71,2))</f>
        <v/>
      </c>
      <c r="L71" t="n">
        <v>86.47</v>
      </c>
    </row>
    <row r="72" ht="14.25" customHeight="1">
      <c r="A72" s="44" t="n">
        <v>46123</v>
      </c>
      <c r="B72" s="4" t="n">
        <v>500</v>
      </c>
      <c r="C72" s="5" t="inlineStr">
        <is>
          <t>Comerford, Dan</t>
        </is>
      </c>
      <c r="D72" s="4" t="inlineStr">
        <is>
          <t>SO</t>
        </is>
      </c>
      <c r="E72" s="4" t="n">
        <v>49</v>
      </c>
      <c r="F72" s="4" t="n">
        <v>5</v>
      </c>
      <c r="G72" s="10">
        <f>IF($D72="","",IFERROR(INDEX(Settings!$B$2:$B$7,MATCH(TRIM(CLEAN($D72)),Settings!$A$2:$A$7,0)),""))</f>
        <v/>
      </c>
      <c r="H72" s="10">
        <f>IF(OR($E72="",$G72=""),"",$E72*$G72)</f>
        <v/>
      </c>
      <c r="I72" s="10">
        <f>IF($F72="","",$F72*Settings!$B$9)</f>
        <v/>
      </c>
      <c r="J72" s="10">
        <f>IF($D72="","",IFERROR(INDEX(Settings!$C$2:$C$7,MATCH(TRIM(CLEAN($D72)),Settings!$A$2:$A$7,0)),""))</f>
        <v/>
      </c>
      <c r="K72" s="10">
        <f>IF(OR($H72="",$I72="",$J72=""),"",ROUND(($H72+$I72)*$J72,2))</f>
        <v/>
      </c>
      <c r="L72" t="n">
        <v>86.16</v>
      </c>
    </row>
    <row r="73" ht="14.25" customHeight="1">
      <c r="A73" s="44" t="n">
        <v>46123</v>
      </c>
      <c r="B73" s="4" t="n">
        <v>500</v>
      </c>
      <c r="C73" s="5" t="inlineStr">
        <is>
          <t>Hanna, John</t>
        </is>
      </c>
      <c r="D73" s="4" t="inlineStr">
        <is>
          <t>SP</t>
        </is>
      </c>
      <c r="E73" s="4" t="n">
        <v>50</v>
      </c>
      <c r="F73" s="4" t="n">
        <v>4</v>
      </c>
      <c r="G73" s="10">
        <f>IF($D73="","",IFERROR(INDEX(Settings!$B$2:$B$7,MATCH(TRIM(CLEAN($D73)),Settings!$A$2:$A$7,0)),""))</f>
        <v/>
      </c>
      <c r="H73" s="10">
        <f>IF(OR($E73="",$G73=""),"",$E73*$G73)</f>
        <v/>
      </c>
      <c r="I73" s="10">
        <f>IF($F73="","",$F73*Settings!$B$9)</f>
        <v/>
      </c>
      <c r="J73" s="10">
        <f>IF($D73="","",IFERROR(INDEX(Settings!$C$2:$C$7,MATCH(TRIM(CLEAN($D73)),Settings!$A$2:$A$7,0)),""))</f>
        <v/>
      </c>
      <c r="K73" s="10">
        <f>IF(OR($H73="",$I73="",$J73=""),"",ROUND(($H73+$I73)*$J73,2))</f>
        <v/>
      </c>
      <c r="L73" t="n">
        <v>86.84999999999999</v>
      </c>
    </row>
    <row r="74" ht="14.25" customHeight="1">
      <c r="A74" s="44" t="n">
        <v>46123</v>
      </c>
      <c r="B74" s="4" t="n">
        <v>500</v>
      </c>
      <c r="C74" s="5" t="inlineStr">
        <is>
          <t>Chappell, Daryl</t>
        </is>
      </c>
      <c r="D74" s="4" t="inlineStr">
        <is>
          <t>FO</t>
        </is>
      </c>
      <c r="E74" s="4" t="n">
        <v>56</v>
      </c>
      <c r="F74" s="4" t="n">
        <v>3</v>
      </c>
      <c r="G74" s="10">
        <f>IF($D74="","",IFERROR(INDEX(Settings!$B$2:$B$7,MATCH(TRIM(CLEAN($D74)),Settings!$A$2:$A$7,0)),""))</f>
        <v/>
      </c>
      <c r="H74" s="10">
        <f>IF(OR($E74="",$G74=""),"",$E74*$G74)</f>
        <v/>
      </c>
      <c r="I74" s="10">
        <f>IF($F74="","",$F74*Settings!$B$9)</f>
        <v/>
      </c>
      <c r="J74" s="10">
        <f>IF($D74="","",IFERROR(INDEX(Settings!$C$2:$C$7,MATCH(TRIM(CLEAN($D74)),Settings!$A$2:$A$7,0)),""))</f>
        <v/>
      </c>
      <c r="K74" s="10">
        <f>IF(OR($H74="",$I74="",$J74=""),"",ROUND(($H74+$I74)*$J74,2))</f>
        <v/>
      </c>
      <c r="L74" t="n">
        <v>81.69</v>
      </c>
    </row>
    <row r="75" ht="14.25" customHeight="1">
      <c r="A75" s="44" t="n">
        <v>46123</v>
      </c>
      <c r="B75" s="4" t="n">
        <v>500</v>
      </c>
      <c r="C75" s="5" t="inlineStr">
        <is>
          <t>Wilson, Brendan</t>
        </is>
      </c>
      <c r="D75" s="4" t="inlineStr">
        <is>
          <t>FS</t>
        </is>
      </c>
      <c r="E75" s="4" t="n">
        <v>54</v>
      </c>
      <c r="F75" s="4" t="n">
        <v>3</v>
      </c>
      <c r="G75" s="10">
        <f>IF($D75="","",IFERROR(INDEX(Settings!$B$2:$B$7,MATCH(TRIM(CLEAN($D75)),Settings!$A$2:$A$7,0)),""))</f>
        <v/>
      </c>
      <c r="H75" s="10">
        <f>IF(OR($E75="",$G75=""),"",$E75*$G75)</f>
        <v/>
      </c>
      <c r="I75" s="10">
        <f>IF($F75="","",$F75*Settings!$B$9)</f>
        <v/>
      </c>
      <c r="J75" s="10">
        <f>IF($D75="","",IFERROR(INDEX(Settings!$C$2:$C$7,MATCH(TRIM(CLEAN($D75)),Settings!$A$2:$A$7,0)),""))</f>
        <v/>
      </c>
      <c r="K75" s="10">
        <f>IF(OR($H75="",$I75="",$J75=""),"",ROUND(($H75+$I75)*$J75,2))</f>
        <v/>
      </c>
      <c r="L75" t="n">
        <v>82.75</v>
      </c>
    </row>
    <row r="76" ht="14.25" customHeight="1">
      <c r="A76" s="44" t="n">
        <v>46123</v>
      </c>
      <c r="B76" s="4" t="n">
        <v>500</v>
      </c>
      <c r="C76" s="5" t="inlineStr">
        <is>
          <t>Kilpatrick, Brian</t>
        </is>
      </c>
      <c r="D76" s="4" t="inlineStr">
        <is>
          <t>SP</t>
        </is>
      </c>
      <c r="E76" s="4" t="n">
        <v>45</v>
      </c>
      <c r="F76" s="4" t="n">
        <v>3</v>
      </c>
      <c r="G76" s="10">
        <f>IF($D76="","",IFERROR(INDEX(Settings!$B$2:$B$7,MATCH(TRIM(CLEAN($D76)),Settings!$A$2:$A$7,0)),""))</f>
        <v/>
      </c>
      <c r="H76" s="10">
        <f>IF(OR($E76="",$G76=""),"",$E76*$G76)</f>
        <v/>
      </c>
      <c r="I76" s="10">
        <f>IF($F76="","",$F76*Settings!$B$9)</f>
        <v/>
      </c>
      <c r="J76" s="10">
        <f>IF($D76="","",IFERROR(INDEX(Settings!$C$2:$C$7,MATCH(TRIM(CLEAN($D76)),Settings!$A$2:$A$7,0)),""))</f>
        <v/>
      </c>
      <c r="K76" s="10">
        <f>IF(OR($H76="",$I76="",$J76=""),"",ROUND(($H76+$I76)*$J76,2))</f>
        <v/>
      </c>
      <c r="L76" t="n">
        <v>77.59</v>
      </c>
    </row>
    <row r="77" ht="14.25" customHeight="1">
      <c r="A77" s="44" t="n">
        <v>46123</v>
      </c>
      <c r="B77" s="4" t="n">
        <v>500</v>
      </c>
      <c r="C77" s="5" t="inlineStr">
        <is>
          <t>Gwyn, Stephen</t>
        </is>
      </c>
      <c r="D77" s="4" t="inlineStr">
        <is>
          <t>TR</t>
        </is>
      </c>
      <c r="E77" s="4" t="n">
        <v>46</v>
      </c>
      <c r="F77" s="4" t="n">
        <v>3</v>
      </c>
      <c r="G77" s="10">
        <f>IF($D77="","",IFERROR(INDEX(Settings!$B$2:$B$7,MATCH(TRIM(CLEAN($D77)),Settings!$A$2:$A$7,0)),""))</f>
        <v/>
      </c>
      <c r="H77" s="10">
        <f>IF(OR($E77="",$G77=""),"",$E77*$G77)</f>
        <v/>
      </c>
      <c r="I77" s="10">
        <f>IF($F77="","",$F77*Settings!$B$9)</f>
        <v/>
      </c>
      <c r="J77" s="10">
        <f>IF($D77="","",IFERROR(INDEX(Settings!$C$2:$C$7,MATCH(TRIM(CLEAN($D77)),Settings!$A$2:$A$7,0)),""))</f>
        <v/>
      </c>
      <c r="K77" s="10">
        <f>IF(OR($H77="",$I77="",$J77=""),"",ROUND(($H77+$I77)*$J77,2))</f>
        <v/>
      </c>
      <c r="L77" t="n">
        <v>80.91</v>
      </c>
    </row>
    <row r="78" ht="14.25" customHeight="1">
      <c r="A78" s="44" t="n">
        <v>46123</v>
      </c>
      <c r="B78" s="4" t="n">
        <v>500</v>
      </c>
      <c r="C78" s="5" t="inlineStr">
        <is>
          <t>Heath, David</t>
        </is>
      </c>
      <c r="D78" s="4" t="inlineStr">
        <is>
          <t>TR</t>
        </is>
      </c>
      <c r="E78" s="4" t="n">
        <v>49</v>
      </c>
      <c r="F78" s="4" t="n">
        <v>3</v>
      </c>
      <c r="G78" s="10">
        <f>IF($D78="","",IFERROR(INDEX(Settings!$B$2:$B$7,MATCH(TRIM(CLEAN($D78)),Settings!$A$2:$A$7,0)),""))</f>
        <v/>
      </c>
      <c r="H78" s="10">
        <f>IF(OR($E78="",$G78=""),"",$E78*$G78)</f>
        <v/>
      </c>
      <c r="I78" s="10">
        <f>IF($F78="","",$F78*Settings!$B$9)</f>
        <v/>
      </c>
      <c r="J78" s="10">
        <f>IF($D78="","",IFERROR(INDEX(Settings!$C$2:$C$7,MATCH(TRIM(CLEAN($D78)),Settings!$A$2:$A$7,0)),""))</f>
        <v/>
      </c>
      <c r="K78" s="10">
        <f>IF(OR($H78="",$I78="",$J78=""),"",ROUND(($H78+$I78)*$J78,2))</f>
        <v/>
      </c>
      <c r="L78" t="n">
        <v>85.98999999999999</v>
      </c>
    </row>
    <row r="79" ht="14.25" customHeight="1">
      <c r="A79" s="44" t="n">
        <v>46123</v>
      </c>
      <c r="B79" s="4" t="n">
        <v>500</v>
      </c>
      <c r="C79" s="5" t="inlineStr">
        <is>
          <t>Chay, Tony</t>
        </is>
      </c>
      <c r="D79" s="4" t="inlineStr">
        <is>
          <t>SP</t>
        </is>
      </c>
      <c r="E79" s="4" t="n">
        <v>45</v>
      </c>
      <c r="F79" s="4" t="n">
        <v>3</v>
      </c>
      <c r="G79" s="10">
        <f>IF($D79="","",IFERROR(INDEX(Settings!$B$2:$B$7,MATCH(TRIM(CLEAN($D79)),Settings!$A$2:$A$7,0)),""))</f>
        <v/>
      </c>
      <c r="H79" s="10">
        <f>IF(OR($E79="",$G79=""),"",$E79*$G79)</f>
        <v/>
      </c>
      <c r="I79" s="10">
        <f>IF($F79="","",$F79*Settings!$B$9)</f>
        <v/>
      </c>
      <c r="J79" s="10">
        <f>IF($D79="","",IFERROR(INDEX(Settings!$C$2:$C$7,MATCH(TRIM(CLEAN($D79)),Settings!$A$2:$A$7,0)),""))</f>
        <v/>
      </c>
      <c r="K79" s="10">
        <f>IF(OR($H79="",$I79="",$J79=""),"",ROUND(($H79+$I79)*$J79,2))</f>
        <v/>
      </c>
      <c r="L79" t="n">
        <v>77.59</v>
      </c>
    </row>
    <row r="80" ht="14.25" customHeight="1">
      <c r="A80" s="44" t="n">
        <v>46123</v>
      </c>
      <c r="B80" s="4" t="n">
        <v>500</v>
      </c>
      <c r="C80" s="5" t="inlineStr">
        <is>
          <t>Beretta, Chris</t>
        </is>
      </c>
      <c r="D80" s="4" t="inlineStr">
        <is>
          <t>FO</t>
        </is>
      </c>
      <c r="E80" s="4" t="n">
        <v>57</v>
      </c>
      <c r="F80" s="4" t="n">
        <v>2</v>
      </c>
      <c r="G80" s="10">
        <f>IF($D80="","",IFERROR(INDEX(Settings!$B$2:$B$7,MATCH(TRIM(CLEAN($D80)),Settings!$A$2:$A$7,0)),""))</f>
        <v/>
      </c>
      <c r="H80" s="10">
        <f>IF(OR($E80="",$G80=""),"",$E80*$G80)</f>
        <v/>
      </c>
      <c r="I80" s="10">
        <f>IF($F80="","",$F80*Settings!$B$9)</f>
        <v/>
      </c>
      <c r="J80" s="10">
        <f>IF($D80="","",IFERROR(INDEX(Settings!$C$2:$C$7,MATCH(TRIM(CLEAN($D80)),Settings!$A$2:$A$7,0)),""))</f>
        <v/>
      </c>
      <c r="K80" s="10">
        <f>IF(OR($H80="",$I80="",$J80=""),"",ROUND(($H80+$I80)*$J80,2))</f>
        <v/>
      </c>
      <c r="L80" t="n">
        <v>82.11</v>
      </c>
    </row>
    <row r="81" ht="14.25" customHeight="1">
      <c r="A81" s="44" t="n">
        <v>46123</v>
      </c>
      <c r="B81" s="4" t="n">
        <v>500</v>
      </c>
      <c r="C81" s="5" t="inlineStr">
        <is>
          <t>Cook, Andrew</t>
        </is>
      </c>
      <c r="D81" s="4" t="inlineStr">
        <is>
          <t>FS</t>
        </is>
      </c>
      <c r="E81" s="4" t="n">
        <v>55</v>
      </c>
      <c r="F81" s="4" t="n">
        <v>2</v>
      </c>
      <c r="G81" s="10">
        <f>IF($D81="","",IFERROR(INDEX(Settings!$B$2:$B$7,MATCH(TRIM(CLEAN($D81)),Settings!$A$2:$A$7,0)),""))</f>
        <v/>
      </c>
      <c r="H81" s="10">
        <f>IF(OR($E81="",$G81=""),"",$E81*$G81)</f>
        <v/>
      </c>
      <c r="I81" s="10">
        <f>IF($F81="","",$F81*Settings!$B$9)</f>
        <v/>
      </c>
      <c r="J81" s="10">
        <f>IF($D81="","",IFERROR(INDEX(Settings!$C$2:$C$7,MATCH(TRIM(CLEAN($D81)),Settings!$A$2:$A$7,0)),""))</f>
        <v/>
      </c>
      <c r="K81" s="10">
        <f>IF(OR($H81="",$I81="",$J81=""),"",ROUND(($H81+$I81)*$J81,2))</f>
        <v/>
      </c>
      <c r="L81" t="n">
        <v>83.19</v>
      </c>
    </row>
    <row r="82" ht="14.25" customHeight="1">
      <c r="A82" s="44" t="n">
        <v>46123</v>
      </c>
      <c r="B82" s="4" t="n">
        <v>500</v>
      </c>
      <c r="C82" s="5" t="inlineStr">
        <is>
          <t>Parks, Ian</t>
        </is>
      </c>
      <c r="D82" s="4" t="inlineStr">
        <is>
          <t>FO</t>
        </is>
      </c>
      <c r="E82" s="4" t="n">
        <v>58</v>
      </c>
      <c r="F82" s="4" t="n">
        <v>2</v>
      </c>
      <c r="G82" s="10">
        <f>IF($D82="","",IFERROR(INDEX(Settings!$B$2:$B$7,MATCH(TRIM(CLEAN($D82)),Settings!$A$2:$A$7,0)),""))</f>
        <v/>
      </c>
      <c r="H82" s="10">
        <f>IF(OR($E82="",$G82=""),"",$E82*$G82)</f>
        <v/>
      </c>
      <c r="I82" s="10">
        <f>IF($F82="","",$F82*Settings!$B$9)</f>
        <v/>
      </c>
      <c r="J82" s="10">
        <f>IF($D82="","",IFERROR(INDEX(Settings!$C$2:$C$7,MATCH(TRIM(CLEAN($D82)),Settings!$A$2:$A$7,0)),""))</f>
        <v/>
      </c>
      <c r="K82" s="10">
        <f>IF(OR($H82="",$I82="",$J82=""),"",ROUND(($H82+$I82)*$J82,2))</f>
        <v/>
      </c>
      <c r="L82" t="n">
        <v>83.52</v>
      </c>
    </row>
    <row r="83" ht="14.25" customHeight="1">
      <c r="A83" s="44" t="n">
        <v>46123</v>
      </c>
      <c r="B83" s="4" t="n">
        <v>500</v>
      </c>
      <c r="C83" s="5" t="inlineStr">
        <is>
          <t>Shepherd, David</t>
        </is>
      </c>
      <c r="D83" s="4" t="inlineStr">
        <is>
          <t>FS</t>
        </is>
      </c>
      <c r="E83" s="4" t="n">
        <v>53</v>
      </c>
      <c r="F83" s="4" t="n">
        <v>2</v>
      </c>
      <c r="G83" s="10">
        <f>IF($D83="","",IFERROR(INDEX(Settings!$B$2:$B$7,MATCH(TRIM(CLEAN($D83)),Settings!$A$2:$A$7,0)),""))</f>
        <v/>
      </c>
      <c r="H83" s="10">
        <f>IF(OR($E83="",$G83=""),"",$E83*$G83)</f>
        <v/>
      </c>
      <c r="I83" s="10">
        <f>IF($F83="","",$F83*Settings!$B$9)</f>
        <v/>
      </c>
      <c r="J83" s="10">
        <f>IF($D83="","",IFERROR(INDEX(Settings!$C$2:$C$7,MATCH(TRIM(CLEAN($D83)),Settings!$A$2:$A$7,0)),""))</f>
        <v/>
      </c>
      <c r="K83" s="10">
        <f>IF(OR($H83="",$I83="",$J83=""),"",ROUND(($H83+$I83)*$J83,2))</f>
        <v/>
      </c>
      <c r="L83" t="n">
        <v>80.23999999999999</v>
      </c>
    </row>
    <row r="84" ht="14.25" customHeight="1">
      <c r="A84" s="44" t="n">
        <v>46123</v>
      </c>
      <c r="B84" s="4" t="n">
        <v>500</v>
      </c>
      <c r="C84" s="5" t="inlineStr">
        <is>
          <t>Staley, Eric</t>
        </is>
      </c>
      <c r="D84" s="4" t="inlineStr">
        <is>
          <t>SO</t>
        </is>
      </c>
      <c r="E84" s="4" t="n">
        <v>49</v>
      </c>
      <c r="F84" s="4" t="n">
        <v>2</v>
      </c>
      <c r="G84" s="10">
        <f>IF($D84="","",IFERROR(INDEX(Settings!$B$2:$B$7,MATCH(TRIM(CLEAN($D84)),Settings!$A$2:$A$7,0)),""))</f>
        <v/>
      </c>
      <c r="H84" s="10">
        <f>IF(OR($E84="",$G84=""),"",$E84*$G84)</f>
        <v/>
      </c>
      <c r="I84" s="10">
        <f>IF($F84="","",$F84*Settings!$B$9)</f>
        <v/>
      </c>
      <c r="J84" s="10">
        <f>IF($D84="","",IFERROR(INDEX(Settings!$C$2:$C$7,MATCH(TRIM(CLEAN($D84)),Settings!$A$2:$A$7,0)),""))</f>
        <v/>
      </c>
      <c r="K84" s="10">
        <f>IF(OR($H84="",$I84="",$J84=""),"",ROUND(($H84+$I84)*$J84,2))</f>
        <v/>
      </c>
      <c r="L84" t="n">
        <v>83.26000000000001</v>
      </c>
    </row>
    <row r="85" ht="14.25" customHeight="1">
      <c r="A85" s="44" t="n">
        <v>46123</v>
      </c>
      <c r="B85" s="4" t="n">
        <v>500</v>
      </c>
      <c r="C85" s="5" t="inlineStr">
        <is>
          <t>Mann, Neil</t>
        </is>
      </c>
      <c r="D85" s="4" t="inlineStr">
        <is>
          <t>SP</t>
        </is>
      </c>
      <c r="E85" s="4" t="n">
        <v>46</v>
      </c>
      <c r="F85" s="4" t="n">
        <v>2</v>
      </c>
      <c r="G85" s="10">
        <f>IF($D85="","",IFERROR(INDEX(Settings!$B$2:$B$7,MATCH(TRIM(CLEAN($D85)),Settings!$A$2:$A$7,0)),""))</f>
        <v/>
      </c>
      <c r="H85" s="10">
        <f>IF(OR($E85="",$G85=""),"",$E85*$G85)</f>
        <v/>
      </c>
      <c r="I85" s="10">
        <f>IF($F85="","",$F85*Settings!$B$9)</f>
        <v/>
      </c>
      <c r="J85" s="10">
        <f>IF($D85="","",IFERROR(INDEX(Settings!$C$2:$C$7,MATCH(TRIM(CLEAN($D85)),Settings!$A$2:$A$7,0)),""))</f>
        <v/>
      </c>
      <c r="K85" s="10">
        <f>IF(OR($H85="",$I85="",$J85=""),"",ROUND(($H85+$I85)*$J85,2))</f>
        <v/>
      </c>
      <c r="L85" t="n">
        <v>78.28</v>
      </c>
    </row>
    <row r="86" ht="14.25" customHeight="1">
      <c r="A86" s="44" t="n">
        <v>46123</v>
      </c>
      <c r="B86" s="4" t="n">
        <v>500</v>
      </c>
      <c r="C86" s="5" t="inlineStr">
        <is>
          <t>Hulett, Peter</t>
        </is>
      </c>
      <c r="D86" s="4" t="inlineStr">
        <is>
          <t>TR</t>
        </is>
      </c>
      <c r="E86" s="4" t="n">
        <v>44</v>
      </c>
      <c r="F86" s="4" t="n">
        <v>2</v>
      </c>
      <c r="G86" s="10">
        <f>IF($D86="","",IFERROR(INDEX(Settings!$B$2:$B$7,MATCH(TRIM(CLEAN($D86)),Settings!$A$2:$A$7,0)),""))</f>
        <v/>
      </c>
      <c r="H86" s="10">
        <f>IF(OR($E86="",$G86=""),"",$E86*$G86)</f>
        <v/>
      </c>
      <c r="I86" s="10">
        <f>IF($F86="","",$F86*Settings!$B$9)</f>
        <v/>
      </c>
      <c r="J86" s="10">
        <f>IF($D86="","",IFERROR(INDEX(Settings!$C$2:$C$7,MATCH(TRIM(CLEAN($D86)),Settings!$A$2:$A$7,0)),""))</f>
        <v/>
      </c>
      <c r="K86" s="10">
        <f>IF(OR($H86="",$I86="",$J86=""),"",ROUND(($H86+$I86)*$J86,2))</f>
        <v/>
      </c>
      <c r="L86" t="n">
        <v>76.53</v>
      </c>
    </row>
    <row r="87" ht="14.25" customHeight="1">
      <c r="A87" s="44" t="n">
        <v>46123</v>
      </c>
      <c r="B87" s="4" t="n">
        <v>500</v>
      </c>
      <c r="C87" s="5" t="inlineStr">
        <is>
          <t>Hulett, Carol</t>
        </is>
      </c>
      <c r="D87" s="4" t="inlineStr">
        <is>
          <t>FS</t>
        </is>
      </c>
      <c r="E87" s="4" t="n">
        <v>46</v>
      </c>
      <c r="F87" s="4" t="n">
        <v>1</v>
      </c>
      <c r="G87" s="10">
        <f>IF($D87="","",IFERROR(INDEX(Settings!$B$2:$B$7,MATCH(TRIM(CLEAN($D87)),Settings!$A$2:$A$7,0)),""))</f>
        <v/>
      </c>
      <c r="H87" s="10">
        <f>IF(OR($E87="",$G87=""),"",$E87*$G87)</f>
        <v/>
      </c>
      <c r="I87" s="10">
        <f>IF($F87="","",$F87*Settings!$B$9)</f>
        <v/>
      </c>
      <c r="J87" s="10">
        <f>IF($D87="","",IFERROR(INDEX(Settings!$C$2:$C$7,MATCH(TRIM(CLEAN($D87)),Settings!$A$2:$A$7,0)),""))</f>
        <v/>
      </c>
      <c r="K87" s="10">
        <f>IF(OR($H87="",$I87="",$J87=""),"",ROUND(($H87+$I87)*$J87,2))</f>
        <v/>
      </c>
      <c r="L87" t="n">
        <v>68.88</v>
      </c>
    </row>
    <row r="88" ht="14.25" customHeight="1">
      <c r="A88" s="44" t="n">
        <v>46123</v>
      </c>
      <c r="B88" s="4" t="n">
        <v>500</v>
      </c>
      <c r="C88" s="5" t="inlineStr">
        <is>
          <t>Heath, Warwick</t>
        </is>
      </c>
      <c r="D88" s="4" t="inlineStr">
        <is>
          <t>FTR</t>
        </is>
      </c>
      <c r="E88" s="4" t="n">
        <v>53</v>
      </c>
      <c r="F88" s="4" t="n">
        <v>1</v>
      </c>
      <c r="G88" s="10">
        <f>IF($D88="","",IFERROR(INDEX(Settings!$B$2:$B$7,MATCH(TRIM(CLEAN($D88)),Settings!$A$2:$A$7,0)),""))</f>
        <v/>
      </c>
      <c r="H88" s="10">
        <f>IF(OR($E88="",$G88=""),"",$E88*$G88)</f>
        <v/>
      </c>
      <c r="I88" s="10">
        <f>IF($F88="","",$F88*Settings!$B$9)</f>
        <v/>
      </c>
      <c r="J88" s="10">
        <f>IF($D88="","",IFERROR(INDEX(Settings!$C$2:$C$7,MATCH(TRIM(CLEAN($D88)),Settings!$A$2:$A$7,0)),""))</f>
        <v/>
      </c>
      <c r="K88" s="10">
        <f>IF(OR($H88="",$I88="",$J88=""),"",ROUND(($H88+$I88)*$J88,2))</f>
        <v/>
      </c>
      <c r="L88" t="n">
        <v>77.86</v>
      </c>
    </row>
    <row r="89" ht="14.25" customHeight="1">
      <c r="A89" s="44" t="n">
        <v>46123</v>
      </c>
      <c r="B89" s="4" t="n">
        <v>500</v>
      </c>
      <c r="C89" s="5" t="inlineStr">
        <is>
          <t>Greed, Adrian</t>
        </is>
      </c>
      <c r="D89" s="4" t="inlineStr">
        <is>
          <t>TR</t>
        </is>
      </c>
      <c r="E89" s="4" t="n">
        <v>47</v>
      </c>
      <c r="F89" s="4" t="n">
        <v>1</v>
      </c>
      <c r="G89" s="10">
        <f>IF($D89="","",IFERROR(INDEX(Settings!$B$2:$B$7,MATCH(TRIM(CLEAN($D89)),Settings!$A$2:$A$7,0)),""))</f>
        <v/>
      </c>
      <c r="H89" s="10">
        <f>IF(OR($E89="",$G89=""),"",$E89*$G89)</f>
        <v/>
      </c>
      <c r="I89" s="10">
        <f>IF($F89="","",$F89*Settings!$B$9)</f>
        <v/>
      </c>
      <c r="J89" s="10">
        <f>IF($D89="","",IFERROR(INDEX(Settings!$C$2:$C$7,MATCH(TRIM(CLEAN($D89)),Settings!$A$2:$A$7,0)),""))</f>
        <v/>
      </c>
      <c r="K89" s="10">
        <f>IF(OR($H89="",$I89="",$J89=""),"",ROUND(($H89+$I89)*$J89,2))</f>
        <v/>
      </c>
      <c r="L89" t="n">
        <v>80.63</v>
      </c>
    </row>
    <row r="90" ht="14.25" customHeight="1">
      <c r="A90" s="44" t="n">
        <v>46123</v>
      </c>
      <c r="B90" s="4" t="n">
        <v>500</v>
      </c>
      <c r="C90" s="5" t="inlineStr">
        <is>
          <t>Donnelly, Lisa</t>
        </is>
      </c>
      <c r="D90" s="4" t="inlineStr">
        <is>
          <t>FS</t>
        </is>
      </c>
      <c r="E90" s="4" t="n">
        <v>49</v>
      </c>
      <c r="F90" s="4" t="n">
        <v>0</v>
      </c>
      <c r="G90" s="10">
        <f>IF($D90="","",IFERROR(INDEX(Settings!$B$2:$B$7,MATCH(TRIM(CLEAN($D90)),Settings!$A$2:$A$7,0)),""))</f>
        <v/>
      </c>
      <c r="H90" s="10">
        <f>IF(OR($E90="",$G90=""),"",$E90*$G90)</f>
        <v/>
      </c>
      <c r="I90" s="10">
        <f>IF($F90="","",$F90*Settings!$B$9)</f>
        <v/>
      </c>
      <c r="J90" s="10">
        <f>IF($D90="","",IFERROR(INDEX(Settings!$C$2:$C$7,MATCH(TRIM(CLEAN($D90)),Settings!$A$2:$A$7,0)),""))</f>
        <v/>
      </c>
      <c r="K90" s="10">
        <f>IF(OR($H90="",$I90="",$J90=""),"",ROUND(($H90+$I90)*$J90,2))</f>
        <v/>
      </c>
      <c r="L90" t="n">
        <v>72.28</v>
      </c>
    </row>
    <row r="91" ht="14.25" customHeight="1">
      <c r="A91" s="44" t="n">
        <v>46123</v>
      </c>
      <c r="B91" s="4" t="n">
        <v>500</v>
      </c>
      <c r="C91" s="5" t="inlineStr">
        <is>
          <t>Patto, Nick</t>
        </is>
      </c>
      <c r="D91" s="4" t="inlineStr">
        <is>
          <t>FO</t>
        </is>
      </c>
      <c r="E91" s="4" t="n">
        <v>0</v>
      </c>
      <c r="F91" s="4" t="n">
        <v>0</v>
      </c>
      <c r="G91" s="10">
        <f>IF($D91="","",IFERROR(INDEX(Settings!$B$2:$B$7,MATCH(TRIM(CLEAN($D91)),Settings!$A$2:$A$7,0)),""))</f>
        <v/>
      </c>
      <c r="H91" s="10">
        <f>IF(OR($E91="",$G91=""),"",$E91*$G91)</f>
        <v/>
      </c>
      <c r="I91" s="10">
        <f>IF($F91="","",$F91*Settings!$B$9)</f>
        <v/>
      </c>
      <c r="J91" s="10">
        <f>IF($D91="","",IFERROR(INDEX(Settings!$C$2:$C$7,MATCH(TRIM(CLEAN($D91)),Settings!$A$2:$A$7,0)),""))</f>
        <v/>
      </c>
      <c r="K91" s="10">
        <f>IF(OR($H91="",$I91="",$J91=""),"",ROUND(($H91+$I91)*$J91,2))</f>
        <v/>
      </c>
      <c r="L91" t="n">
        <v>0</v>
      </c>
    </row>
    <row r="92" ht="14.25" customHeight="1">
      <c r="A92" s="44" t="n">
        <v>46123</v>
      </c>
      <c r="B92" s="4" t="n">
        <v>500</v>
      </c>
      <c r="C92" s="5" t="inlineStr">
        <is>
          <t>Porter, Stephen</t>
        </is>
      </c>
      <c r="D92" s="4" t="inlineStr">
        <is>
          <t>FS</t>
        </is>
      </c>
      <c r="E92" s="4" t="n">
        <v>51</v>
      </c>
      <c r="F92" s="4" t="n">
        <v>0</v>
      </c>
      <c r="G92" s="10">
        <f>IF($D92="","",IFERROR(INDEX(Settings!$B$2:$B$7,MATCH(TRIM(CLEAN($D92)),Settings!$A$2:$A$7,0)),""))</f>
        <v/>
      </c>
      <c r="H92" s="10">
        <f>IF(OR($E92="",$G92=""),"",$E92*$G92)</f>
        <v/>
      </c>
      <c r="I92" s="10">
        <f>IF($F92="","",$F92*Settings!$B$9)</f>
        <v/>
      </c>
      <c r="J92" s="10">
        <f>IF($D92="","",IFERROR(INDEX(Settings!$C$2:$C$7,MATCH(TRIM(CLEAN($D92)),Settings!$A$2:$A$7,0)),""))</f>
        <v/>
      </c>
      <c r="K92" s="10">
        <f>IF(OR($H92="",$I92="",$J92=""),"",ROUND(($H92+$I92)*$J92,2))</f>
        <v/>
      </c>
      <c r="L92" t="n">
        <v>75.23</v>
      </c>
    </row>
    <row r="93" ht="14.25" customHeight="1">
      <c r="A93" s="44" t="n">
        <v>46123</v>
      </c>
      <c r="B93" s="4" t="n">
        <v>600</v>
      </c>
      <c r="C93" s="5" t="inlineStr">
        <is>
          <t>Bending, Anthony</t>
        </is>
      </c>
      <c r="D93" s="4" t="inlineStr">
        <is>
          <t>FO</t>
        </is>
      </c>
      <c r="E93" s="4" t="n">
        <v>58</v>
      </c>
      <c r="F93" s="4" t="n">
        <v>4</v>
      </c>
      <c r="G93" s="10">
        <f>IF($D93="","",IFERROR(INDEX(Settings!$B$2:$B$7,MATCH(TRIM(CLEAN($D93)),Settings!$A$2:$A$7,0)),""))</f>
        <v/>
      </c>
      <c r="H93" s="10">
        <f>IF(OR($E93="",$G93=""),"",$E93*$G93)</f>
        <v/>
      </c>
      <c r="I93" s="10">
        <f>IF($F93="","",$F93*Settings!$B$9)</f>
        <v/>
      </c>
      <c r="J93" s="10">
        <f>IF($D93="","",IFERROR(INDEX(Settings!$C$2:$C$7,MATCH(TRIM(CLEAN($D93)),Settings!$A$2:$A$7,0)),""))</f>
        <v/>
      </c>
      <c r="K93" s="10">
        <f>IF(OR($H93="",$I93="",$J93=""),"",ROUND(($H93+$I93)*$J93,2))</f>
        <v/>
      </c>
      <c r="L93" t="n">
        <v>85.48</v>
      </c>
    </row>
    <row r="94" ht="14.25" customHeight="1">
      <c r="A94" s="44" t="n">
        <v>46123</v>
      </c>
      <c r="B94" s="4" t="n">
        <v>600</v>
      </c>
      <c r="C94" s="5" t="inlineStr">
        <is>
          <t>Comerford, Dan</t>
        </is>
      </c>
      <c r="D94" s="4" t="inlineStr">
        <is>
          <t>SO</t>
        </is>
      </c>
      <c r="E94" s="4" t="n">
        <v>49</v>
      </c>
      <c r="F94" s="4" t="n">
        <v>4</v>
      </c>
      <c r="G94" s="10">
        <f>IF($D94="","",IFERROR(INDEX(Settings!$B$2:$B$7,MATCH(TRIM(CLEAN($D94)),Settings!$A$2:$A$7,0)),""))</f>
        <v/>
      </c>
      <c r="H94" s="10">
        <f>IF(OR($E94="",$G94=""),"",$E94*$G94)</f>
        <v/>
      </c>
      <c r="I94" s="10">
        <f>IF($F94="","",$F94*Settings!$B$9)</f>
        <v/>
      </c>
      <c r="J94" s="10">
        <f>IF($D94="","",IFERROR(INDEX(Settings!$C$2:$C$7,MATCH(TRIM(CLEAN($D94)),Settings!$A$2:$A$7,0)),""))</f>
        <v/>
      </c>
      <c r="K94" s="10">
        <f>IF(OR($H94="",$I94="",$J94=""),"",ROUND(($H94+$I94)*$J94,2))</f>
        <v/>
      </c>
      <c r="L94" t="n">
        <v>85.19</v>
      </c>
    </row>
    <row r="95" ht="14.25" customHeight="1">
      <c r="A95" s="44" t="n">
        <v>46123</v>
      </c>
      <c r="B95" s="4" t="n">
        <v>600</v>
      </c>
      <c r="C95" s="5" t="inlineStr">
        <is>
          <t>Toh, Keith</t>
        </is>
      </c>
      <c r="D95" s="4" t="inlineStr">
        <is>
          <t>TR</t>
        </is>
      </c>
      <c r="E95" s="4" t="n">
        <v>50</v>
      </c>
      <c r="F95" s="4" t="n">
        <v>4</v>
      </c>
      <c r="G95" s="10">
        <f>IF($D95="","",IFERROR(INDEX(Settings!$B$2:$B$7,MATCH(TRIM(CLEAN($D95)),Settings!$A$2:$A$7,0)),""))</f>
        <v/>
      </c>
      <c r="H95" s="10">
        <f>IF(OR($E95="",$G95=""),"",$E95*$G95)</f>
        <v/>
      </c>
      <c r="I95" s="10">
        <f>IF($F95="","",$F95*Settings!$B$9)</f>
        <v/>
      </c>
      <c r="J95" s="10">
        <f>IF($D95="","",IFERROR(INDEX(Settings!$C$2:$C$7,MATCH(TRIM(CLEAN($D95)),Settings!$A$2:$A$7,0)),""))</f>
        <v/>
      </c>
      <c r="K95" s="10">
        <f>IF(OR($H95="",$I95="",$J95=""),"",ROUND(($H95+$I95)*$J95,2))</f>
        <v/>
      </c>
      <c r="L95" t="n">
        <v>88.67</v>
      </c>
    </row>
    <row r="96" ht="14.25" customHeight="1">
      <c r="A96" s="44" t="n">
        <v>46123</v>
      </c>
      <c r="B96" s="4" t="n">
        <v>600</v>
      </c>
      <c r="C96" s="5" t="inlineStr">
        <is>
          <t>Dare, Brodie</t>
        </is>
      </c>
      <c r="D96" s="4" t="inlineStr">
        <is>
          <t>SO</t>
        </is>
      </c>
      <c r="E96" s="4" t="n">
        <v>48</v>
      </c>
      <c r="F96" s="4" t="n">
        <v>4</v>
      </c>
      <c r="G96" s="10">
        <f>IF($D96="","",IFERROR(INDEX(Settings!$B$2:$B$7,MATCH(TRIM(CLEAN($D96)),Settings!$A$2:$A$7,0)),""))</f>
        <v/>
      </c>
      <c r="H96" s="10">
        <f>IF(OR($E96="",$G96=""),"",$E96*$G96)</f>
        <v/>
      </c>
      <c r="I96" s="10">
        <f>IF($F96="","",$F96*Settings!$B$9)</f>
        <v/>
      </c>
      <c r="J96" s="10">
        <f>IF($D96="","",IFERROR(INDEX(Settings!$C$2:$C$7,MATCH(TRIM(CLEAN($D96)),Settings!$A$2:$A$7,0)),""))</f>
        <v/>
      </c>
      <c r="K96" s="10">
        <f>IF(OR($H96="",$I96="",$J96=""),"",ROUND(($H96+$I96)*$J96,2))</f>
        <v/>
      </c>
      <c r="L96" t="n">
        <v>83.53</v>
      </c>
    </row>
    <row r="97" ht="14.25" customHeight="1">
      <c r="A97" s="44" t="n">
        <v>46123</v>
      </c>
      <c r="B97" s="4" t="n">
        <v>600</v>
      </c>
      <c r="C97" s="5" t="inlineStr">
        <is>
          <t>Gwyn, Stephen</t>
        </is>
      </c>
      <c r="D97" s="4" t="inlineStr">
        <is>
          <t>TR</t>
        </is>
      </c>
      <c r="E97" s="4" t="n">
        <v>46</v>
      </c>
      <c r="F97" s="4" t="n">
        <v>4</v>
      </c>
      <c r="G97" s="10">
        <f>IF($D97="","",IFERROR(INDEX(Settings!$B$2:$B$7,MATCH(TRIM(CLEAN($D97)),Settings!$A$2:$A$7,0)),""))</f>
        <v/>
      </c>
      <c r="H97" s="10">
        <f>IF(OR($E97="",$G97=""),"",$E97*$G97)</f>
        <v/>
      </c>
      <c r="I97" s="10">
        <f>IF($F97="","",$F97*Settings!$B$9)</f>
        <v/>
      </c>
      <c r="J97" s="10">
        <f>IF($D97="","",IFERROR(INDEX(Settings!$C$2:$C$7,MATCH(TRIM(CLEAN($D97)),Settings!$A$2:$A$7,0)),""))</f>
        <v/>
      </c>
      <c r="K97" s="10">
        <f>IF(OR($H97="",$I97="",$J97=""),"",ROUND(($H97+$I97)*$J97,2))</f>
        <v/>
      </c>
      <c r="L97" t="n">
        <v>81.90000000000001</v>
      </c>
    </row>
    <row r="98" ht="14.25" customHeight="1">
      <c r="A98" s="44" t="n">
        <v>46123</v>
      </c>
      <c r="B98" s="4" t="n">
        <v>600</v>
      </c>
      <c r="C98" s="5" t="inlineStr">
        <is>
          <t>Patto, Nick</t>
        </is>
      </c>
      <c r="D98" s="4" t="inlineStr">
        <is>
          <t>FO</t>
        </is>
      </c>
      <c r="E98" s="4" t="n">
        <v>54</v>
      </c>
      <c r="F98" s="4" t="n">
        <v>4</v>
      </c>
      <c r="G98" s="10">
        <f>IF($D98="","",IFERROR(INDEX(Settings!$B$2:$B$7,MATCH(TRIM(CLEAN($D98)),Settings!$A$2:$A$7,0)),""))</f>
        <v/>
      </c>
      <c r="H98" s="10">
        <f>IF(OR($E98="",$G98=""),"",$E98*$G98)</f>
        <v/>
      </c>
      <c r="I98" s="10">
        <f>IF($F98="","",$F98*Settings!$B$9)</f>
        <v/>
      </c>
      <c r="J98" s="10">
        <f>IF($D98="","",IFERROR(INDEX(Settings!$C$2:$C$7,MATCH(TRIM(CLEAN($D98)),Settings!$A$2:$A$7,0)),""))</f>
        <v/>
      </c>
      <c r="K98" s="10">
        <f>IF(OR($H98="",$I98="",$J98=""),"",ROUND(($H98+$I98)*$J98,2))</f>
        <v/>
      </c>
      <c r="L98" t="n">
        <v>79.86</v>
      </c>
    </row>
    <row r="99" ht="14.25" customHeight="1">
      <c r="A99" s="44" t="n">
        <v>46123</v>
      </c>
      <c r="B99" s="4" t="n">
        <v>600</v>
      </c>
      <c r="C99" s="5" t="inlineStr">
        <is>
          <t>Chappell, Daryl</t>
        </is>
      </c>
      <c r="D99" s="4" t="inlineStr">
        <is>
          <t>FO</t>
        </is>
      </c>
      <c r="E99" s="4" t="n">
        <v>55</v>
      </c>
      <c r="F99" s="4" t="n">
        <v>3</v>
      </c>
      <c r="G99" s="10">
        <f>IF($D99="","",IFERROR(INDEX(Settings!$B$2:$B$7,MATCH(TRIM(CLEAN($D99)),Settings!$A$2:$A$7,0)),""))</f>
        <v/>
      </c>
      <c r="H99" s="10">
        <f>IF(OR($E99="",$G99=""),"",$E99*$G99)</f>
        <v/>
      </c>
      <c r="I99" s="10">
        <f>IF($F99="","",$F99*Settings!$B$9)</f>
        <v/>
      </c>
      <c r="J99" s="10">
        <f>IF($D99="","",IFERROR(INDEX(Settings!$C$2:$C$7,MATCH(TRIM(CLEAN($D99)),Settings!$A$2:$A$7,0)),""))</f>
        <v/>
      </c>
      <c r="K99" s="10">
        <f>IF(OR($H99="",$I99="",$J99=""),"",ROUND(($H99+$I99)*$J99,2))</f>
        <v/>
      </c>
      <c r="L99" t="n">
        <v>80.28</v>
      </c>
    </row>
    <row r="100" ht="14.25" customHeight="1">
      <c r="A100" s="44" t="n">
        <v>46123</v>
      </c>
      <c r="B100" s="4" t="n">
        <v>600</v>
      </c>
      <c r="C100" s="5" t="inlineStr">
        <is>
          <t>Beretta, Chris</t>
        </is>
      </c>
      <c r="D100" s="4" t="inlineStr">
        <is>
          <t>FO</t>
        </is>
      </c>
      <c r="E100" s="4" t="n">
        <v>53</v>
      </c>
      <c r="F100" s="4" t="n">
        <v>2</v>
      </c>
      <c r="G100" s="10">
        <f>IF($D100="","",IFERROR(INDEX(Settings!$B$2:$B$7,MATCH(TRIM(CLEAN($D100)),Settings!$A$2:$A$7,0)),""))</f>
        <v/>
      </c>
      <c r="H100" s="10">
        <f>IF(OR($E100="",$G100=""),"",$E100*$G100)</f>
        <v/>
      </c>
      <c r="I100" s="10">
        <f>IF($F100="","",$F100*Settings!$B$9)</f>
        <v/>
      </c>
      <c r="J100" s="10">
        <f>IF($D100="","",IFERROR(INDEX(Settings!$C$2:$C$7,MATCH(TRIM(CLEAN($D100)),Settings!$A$2:$A$7,0)),""))</f>
        <v/>
      </c>
      <c r="K100" s="10">
        <f>IF(OR($H100="",$I100="",$J100=""),"",ROUND(($H100+$I100)*$J100,2))</f>
        <v/>
      </c>
      <c r="L100" t="n">
        <v>76.48999999999999</v>
      </c>
    </row>
    <row r="101" ht="14.25" customHeight="1">
      <c r="A101" s="44" t="n">
        <v>46123</v>
      </c>
      <c r="B101" s="4" t="n">
        <v>600</v>
      </c>
      <c r="C101" s="5" t="inlineStr">
        <is>
          <t>Cook, Andrew</t>
        </is>
      </c>
      <c r="D101" s="4" t="inlineStr">
        <is>
          <t>FS</t>
        </is>
      </c>
      <c r="E101" s="4" t="n">
        <v>52</v>
      </c>
      <c r="F101" s="4" t="n">
        <v>2</v>
      </c>
      <c r="G101" s="10">
        <f>IF($D101="","",IFERROR(INDEX(Settings!$B$2:$B$7,MATCH(TRIM(CLEAN($D101)),Settings!$A$2:$A$7,0)),""))</f>
        <v/>
      </c>
      <c r="H101" s="10">
        <f>IF(OR($E101="",$G101=""),"",$E101*$G101)</f>
        <v/>
      </c>
      <c r="I101" s="10">
        <f>IF($F101="","",$F101*Settings!$B$9)</f>
        <v/>
      </c>
      <c r="J101" s="10">
        <f>IF($D101="","",IFERROR(INDEX(Settings!$C$2:$C$7,MATCH(TRIM(CLEAN($D101)),Settings!$A$2:$A$7,0)),""))</f>
        <v/>
      </c>
      <c r="K101" s="10">
        <f>IF(OR($H101="",$I101="",$J101=""),"",ROUND(($H101+$I101)*$J101,2))</f>
        <v/>
      </c>
      <c r="L101" t="n">
        <v>78.77</v>
      </c>
    </row>
    <row r="102" ht="14.25" customHeight="1">
      <c r="A102" s="44" t="n">
        <v>46123</v>
      </c>
      <c r="B102" s="4" t="n">
        <v>600</v>
      </c>
      <c r="C102" s="5" t="inlineStr">
        <is>
          <t>Wilson, Brendan</t>
        </is>
      </c>
      <c r="D102" s="4" t="inlineStr">
        <is>
          <t>FS</t>
        </is>
      </c>
      <c r="E102" s="4" t="n">
        <v>50</v>
      </c>
      <c r="F102" s="4" t="n">
        <v>2</v>
      </c>
      <c r="G102" s="10">
        <f>IF($D102="","",IFERROR(INDEX(Settings!$B$2:$B$7,MATCH(TRIM(CLEAN($D102)),Settings!$A$2:$A$7,0)),""))</f>
        <v/>
      </c>
      <c r="H102" s="10">
        <f>IF(OR($E102="",$G102=""),"",$E102*$G102)</f>
        <v/>
      </c>
      <c r="I102" s="10">
        <f>IF($F102="","",$F102*Settings!$B$9)</f>
        <v/>
      </c>
      <c r="J102" s="10">
        <f>IF($D102="","",IFERROR(INDEX(Settings!$C$2:$C$7,MATCH(TRIM(CLEAN($D102)),Settings!$A$2:$A$7,0)),""))</f>
        <v/>
      </c>
      <c r="K102" s="10">
        <f>IF(OR($H102="",$I102="",$J102=""),"",ROUND(($H102+$I102)*$J102,2))</f>
        <v/>
      </c>
      <c r="L102" t="n">
        <v>75.81</v>
      </c>
    </row>
    <row r="103" ht="14.25" customHeight="1">
      <c r="A103" s="44" t="n">
        <v>46123</v>
      </c>
      <c r="B103" s="4" t="n">
        <v>600</v>
      </c>
      <c r="C103" s="5" t="inlineStr">
        <is>
          <t>Parks, Ian</t>
        </is>
      </c>
      <c r="D103" s="4" t="inlineStr">
        <is>
          <t>FO</t>
        </is>
      </c>
      <c r="E103" s="4" t="n">
        <v>51</v>
      </c>
      <c r="F103" s="4" t="n">
        <v>2</v>
      </c>
      <c r="G103" s="10">
        <f>IF($D103="","",IFERROR(INDEX(Settings!$B$2:$B$7,MATCH(TRIM(CLEAN($D103)),Settings!$A$2:$A$7,0)),""))</f>
        <v/>
      </c>
      <c r="H103" s="10">
        <f>IF(OR($E103="",$G103=""),"",$E103*$G103)</f>
        <v/>
      </c>
      <c r="I103" s="10">
        <f>IF($F103="","",$F103*Settings!$B$9)</f>
        <v/>
      </c>
      <c r="J103" s="10">
        <f>IF($D103="","",IFERROR(INDEX(Settings!$C$2:$C$7,MATCH(TRIM(CLEAN($D103)),Settings!$A$2:$A$7,0)),""))</f>
        <v/>
      </c>
      <c r="K103" s="10">
        <f>IF(OR($H103="",$I103="",$J103=""),"",ROUND(($H103+$I103)*$J103,2))</f>
        <v/>
      </c>
      <c r="L103" t="n">
        <v>73.67</v>
      </c>
    </row>
    <row r="104" ht="14.25" customHeight="1">
      <c r="A104" s="44" t="n">
        <v>46123</v>
      </c>
      <c r="B104" s="4" t="n">
        <v>600</v>
      </c>
      <c r="C104" s="5" t="inlineStr">
        <is>
          <t>Hanna, John</t>
        </is>
      </c>
      <c r="D104" s="4" t="inlineStr">
        <is>
          <t>SP</t>
        </is>
      </c>
      <c r="E104" s="4" t="n">
        <v>40</v>
      </c>
      <c r="F104" s="4" t="n">
        <v>2</v>
      </c>
      <c r="G104" s="10">
        <f>IF($D104="","",IFERROR(INDEX(Settings!$B$2:$B$7,MATCH(TRIM(CLEAN($D104)),Settings!$A$2:$A$7,0)),""))</f>
        <v/>
      </c>
      <c r="H104" s="10">
        <f>IF(OR($E104="",$G104=""),"",$E104*$G104)</f>
        <v/>
      </c>
      <c r="I104" s="10">
        <f>IF($F104="","",$F104*Settings!$B$9)</f>
        <v/>
      </c>
      <c r="J104" s="10">
        <f>IF($D104="","",IFERROR(INDEX(Settings!$C$2:$C$7,MATCH(TRIM(CLEAN($D104)),Settings!$A$2:$A$7,0)),""))</f>
        <v/>
      </c>
      <c r="K104" s="10">
        <f>IF(OR($H104="",$I104="",$J104=""),"",ROUND(($H104+$I104)*$J104,2))</f>
        <v/>
      </c>
      <c r="L104" t="n">
        <v>68.31999999999999</v>
      </c>
    </row>
    <row r="105" ht="14.25" customHeight="1">
      <c r="A105" s="44" t="n">
        <v>46123</v>
      </c>
      <c r="B105" s="4" t="n">
        <v>600</v>
      </c>
      <c r="C105" s="5" t="inlineStr">
        <is>
          <t>Heath, David</t>
        </is>
      </c>
      <c r="D105" s="4" t="inlineStr">
        <is>
          <t>TR</t>
        </is>
      </c>
      <c r="E105" s="4" t="n">
        <v>46</v>
      </c>
      <c r="F105" s="4" t="n">
        <v>2</v>
      </c>
      <c r="G105" s="10">
        <f>IF($D105="","",IFERROR(INDEX(Settings!$B$2:$B$7,MATCH(TRIM(CLEAN($D105)),Settings!$A$2:$A$7,0)),""))</f>
        <v/>
      </c>
      <c r="H105" s="10">
        <f>IF(OR($E105="",$G105=""),"",$E105*$G105)</f>
        <v/>
      </c>
      <c r="I105" s="10">
        <f>IF($F105="","",$F105*Settings!$B$9)</f>
        <v/>
      </c>
      <c r="J105" s="10">
        <f>IF($D105="","",IFERROR(INDEX(Settings!$C$2:$C$7,MATCH(TRIM(CLEAN($D105)),Settings!$A$2:$A$7,0)),""))</f>
        <v/>
      </c>
      <c r="K105" s="10">
        <f>IF(OR($H105="",$I105="",$J105=""),"",ROUND(($H105+$I105)*$J105,2))</f>
        <v/>
      </c>
      <c r="L105" t="n">
        <v>79.92</v>
      </c>
    </row>
    <row r="106" ht="14.25" customHeight="1">
      <c r="A106" s="44" t="n">
        <v>46123</v>
      </c>
      <c r="B106" s="4" t="n">
        <v>600</v>
      </c>
      <c r="C106" s="5" t="inlineStr">
        <is>
          <t>Mann, Neil</t>
        </is>
      </c>
      <c r="D106" s="4" t="inlineStr">
        <is>
          <t>SP</t>
        </is>
      </c>
      <c r="E106" s="4" t="n">
        <v>39</v>
      </c>
      <c r="F106" s="4" t="n">
        <v>2</v>
      </c>
      <c r="G106" s="10">
        <f>IF($D106="","",IFERROR(INDEX(Settings!$B$2:$B$7,MATCH(TRIM(CLEAN($D106)),Settings!$A$2:$A$7,0)),""))</f>
        <v/>
      </c>
      <c r="H106" s="10">
        <f>IF(OR($E106="",$G106=""),"",$E106*$G106)</f>
        <v/>
      </c>
      <c r="I106" s="10">
        <f>IF($F106="","",$F106*Settings!$B$9)</f>
        <v/>
      </c>
      <c r="J106" s="10">
        <f>IF($D106="","",IFERROR(INDEX(Settings!$C$2:$C$7,MATCH(TRIM(CLEAN($D106)),Settings!$A$2:$A$7,0)),""))</f>
        <v/>
      </c>
      <c r="K106" s="10">
        <f>IF(OR($H106="",$I106="",$J106=""),"",ROUND(($H106+$I106)*$J106,2))</f>
        <v/>
      </c>
      <c r="L106" t="n">
        <v>66.66</v>
      </c>
    </row>
    <row r="107" ht="14.25" customHeight="1">
      <c r="A107" s="44" t="n">
        <v>46123</v>
      </c>
      <c r="B107" s="4" t="n">
        <v>600</v>
      </c>
      <c r="C107" s="5" t="inlineStr">
        <is>
          <t>Hulett, Carol</t>
        </is>
      </c>
      <c r="D107" s="4" t="inlineStr">
        <is>
          <t>FS</t>
        </is>
      </c>
      <c r="E107" s="4" t="n">
        <v>49</v>
      </c>
      <c r="F107" s="4" t="n">
        <v>1</v>
      </c>
      <c r="G107" s="10">
        <f>IF($D107="","",IFERROR(INDEX(Settings!$B$2:$B$7,MATCH(TRIM(CLEAN($D107)),Settings!$A$2:$A$7,0)),""))</f>
        <v/>
      </c>
      <c r="H107" s="10">
        <f>IF(OR($E107="",$G107=""),"",$E107*$G107)</f>
        <v/>
      </c>
      <c r="I107" s="10">
        <f>IF($F107="","",$F107*Settings!$B$9)</f>
        <v/>
      </c>
      <c r="J107" s="10">
        <f>IF($D107="","",IFERROR(INDEX(Settings!$C$2:$C$7,MATCH(TRIM(CLEAN($D107)),Settings!$A$2:$A$7,0)),""))</f>
        <v/>
      </c>
      <c r="K107" s="10">
        <f>IF(OR($H107="",$I107="",$J107=""),"",ROUND(($H107+$I107)*$J107,2))</f>
        <v/>
      </c>
      <c r="L107" t="n">
        <v>73.31</v>
      </c>
    </row>
    <row r="108" ht="14.25" customHeight="1">
      <c r="A108" s="44" t="n">
        <v>46123</v>
      </c>
      <c r="B108" s="4" t="n">
        <v>600</v>
      </c>
      <c r="C108" s="5" t="inlineStr">
        <is>
          <t>Shepherd, David</t>
        </is>
      </c>
      <c r="D108" s="4" t="inlineStr">
        <is>
          <t>FS</t>
        </is>
      </c>
      <c r="E108" s="4" t="n">
        <v>48</v>
      </c>
      <c r="F108" s="4" t="n">
        <v>1</v>
      </c>
      <c r="G108" s="10">
        <f>IF($D108="","",IFERROR(INDEX(Settings!$B$2:$B$7,MATCH(TRIM(CLEAN($D108)),Settings!$A$2:$A$7,0)),""))</f>
        <v/>
      </c>
      <c r="H108" s="10">
        <f>IF(OR($E108="",$G108=""),"",$E108*$G108)</f>
        <v/>
      </c>
      <c r="I108" s="10">
        <f>IF($F108="","",$F108*Settings!$B$9)</f>
        <v/>
      </c>
      <c r="J108" s="10">
        <f>IF($D108="","",IFERROR(INDEX(Settings!$C$2:$C$7,MATCH(TRIM(CLEAN($D108)),Settings!$A$2:$A$7,0)),""))</f>
        <v/>
      </c>
      <c r="K108" s="10">
        <f>IF(OR($H108="",$I108="",$J108=""),"",ROUND(($H108+$I108)*$J108,2))</f>
        <v/>
      </c>
      <c r="L108" t="n">
        <v>71.83</v>
      </c>
    </row>
    <row r="109" ht="14.25" customHeight="1">
      <c r="A109" s="44" t="n">
        <v>46123</v>
      </c>
      <c r="B109" s="4" t="n">
        <v>600</v>
      </c>
      <c r="C109" s="5" t="inlineStr">
        <is>
          <t>Staley, Eric</t>
        </is>
      </c>
      <c r="D109" s="4" t="inlineStr">
        <is>
          <t>SO</t>
        </is>
      </c>
      <c r="E109" s="4" t="n">
        <v>47</v>
      </c>
      <c r="F109" s="4" t="n">
        <v>1</v>
      </c>
      <c r="G109" s="10">
        <f>IF($D109="","",IFERROR(INDEX(Settings!$B$2:$B$7,MATCH(TRIM(CLEAN($D109)),Settings!$A$2:$A$7,0)),""))</f>
        <v/>
      </c>
      <c r="H109" s="10">
        <f>IF(OR($E109="",$G109=""),"",$E109*$G109)</f>
        <v/>
      </c>
      <c r="I109" s="10">
        <f>IF($F109="","",$F109*Settings!$B$9)</f>
        <v/>
      </c>
      <c r="J109" s="10">
        <f>IF($D109="","",IFERROR(INDEX(Settings!$C$2:$C$7,MATCH(TRIM(CLEAN($D109)),Settings!$A$2:$A$7,0)),""))</f>
        <v/>
      </c>
      <c r="K109" s="10">
        <f>IF(OR($H109="",$I109="",$J109=""),"",ROUND(($H109+$I109)*$J109,2))</f>
        <v/>
      </c>
      <c r="L109" t="n">
        <v>78.97</v>
      </c>
    </row>
    <row r="110" ht="14.25" customHeight="1">
      <c r="A110" s="44" t="n">
        <v>46123</v>
      </c>
      <c r="B110" s="4" t="n">
        <v>600</v>
      </c>
      <c r="C110" s="5" t="inlineStr">
        <is>
          <t>Smaldino, Richard</t>
        </is>
      </c>
      <c r="D110" s="4" t="inlineStr">
        <is>
          <t>SP</t>
        </is>
      </c>
      <c r="E110" s="4" t="n">
        <v>50</v>
      </c>
      <c r="F110" s="4" t="n">
        <v>1</v>
      </c>
      <c r="G110" s="10">
        <f>IF($D110="","",IFERROR(INDEX(Settings!$B$2:$B$7,MATCH(TRIM(CLEAN($D110)),Settings!$A$2:$A$7,0)),""))</f>
        <v/>
      </c>
      <c r="H110" s="10">
        <f>IF(OR($E110="",$G110=""),"",$E110*$G110)</f>
        <v/>
      </c>
      <c r="I110" s="10">
        <f>IF($F110="","",$F110*Settings!$B$9)</f>
        <v/>
      </c>
      <c r="J110" s="10">
        <f>IF($D110="","",IFERROR(INDEX(Settings!$C$2:$C$7,MATCH(TRIM(CLEAN($D110)),Settings!$A$2:$A$7,0)),""))</f>
        <v/>
      </c>
      <c r="K110" s="10">
        <f>IF(OR($H110="",$I110="",$J110=""),"",ROUND(($H110+$I110)*$J110,2))</f>
        <v/>
      </c>
      <c r="L110" t="n">
        <v>83.95</v>
      </c>
    </row>
    <row r="111" ht="14.25" customHeight="1">
      <c r="A111" s="44" t="n">
        <v>46123</v>
      </c>
      <c r="B111" s="4" t="n">
        <v>600</v>
      </c>
      <c r="C111" s="5" t="inlineStr">
        <is>
          <t>Donnelly, Lisa</t>
        </is>
      </c>
      <c r="D111" s="4" t="inlineStr">
        <is>
          <t>FS</t>
        </is>
      </c>
      <c r="E111" s="4" t="n">
        <v>45</v>
      </c>
      <c r="F111" s="4" t="n">
        <v>1</v>
      </c>
      <c r="G111" s="10">
        <f>IF($D111="","",IFERROR(INDEX(Settings!$B$2:$B$7,MATCH(TRIM(CLEAN($D111)),Settings!$A$2:$A$7,0)),""))</f>
        <v/>
      </c>
      <c r="H111" s="10">
        <f>IF(OR($E111="",$G111=""),"",$E111*$G111)</f>
        <v/>
      </c>
      <c r="I111" s="10">
        <f>IF($F111="","",$F111*Settings!$B$9)</f>
        <v/>
      </c>
      <c r="J111" s="10">
        <f>IF($D111="","",IFERROR(INDEX(Settings!$C$2:$C$7,MATCH(TRIM(CLEAN($D111)),Settings!$A$2:$A$7,0)),""))</f>
        <v/>
      </c>
      <c r="K111" s="10">
        <f>IF(OR($H111="",$I111="",$J111=""),"",ROUND(($H111+$I111)*$J111,2))</f>
        <v/>
      </c>
      <c r="L111" t="n">
        <v>67.41</v>
      </c>
    </row>
    <row r="112" ht="14.25" customHeight="1">
      <c r="A112" s="44" t="n">
        <v>46123</v>
      </c>
      <c r="B112" s="4" t="n">
        <v>600</v>
      </c>
      <c r="C112" s="5" t="inlineStr">
        <is>
          <t>Hulett, Peter</t>
        </is>
      </c>
      <c r="D112" s="4" t="inlineStr">
        <is>
          <t>TR</t>
        </is>
      </c>
      <c r="E112" s="4" t="n">
        <v>42</v>
      </c>
      <c r="F112" s="4" t="n">
        <v>1</v>
      </c>
      <c r="G112" s="10">
        <f>IF($D112="","",IFERROR(INDEX(Settings!$B$2:$B$7,MATCH(TRIM(CLEAN($D112)),Settings!$A$2:$A$7,0)),""))</f>
        <v/>
      </c>
      <c r="H112" s="10">
        <f>IF(OR($E112="",$G112=""),"",$E112*$G112)</f>
        <v/>
      </c>
      <c r="I112" s="10">
        <f>IF($F112="","",$F112*Settings!$B$9)</f>
        <v/>
      </c>
      <c r="J112" s="10">
        <f>IF($D112="","",IFERROR(INDEX(Settings!$C$2:$C$7,MATCH(TRIM(CLEAN($D112)),Settings!$A$2:$A$7,0)),""))</f>
        <v/>
      </c>
      <c r="K112" s="10">
        <f>IF(OR($H112="",$I112="",$J112=""),"",ROUND(($H112+$I112)*$J112,2))</f>
        <v/>
      </c>
      <c r="L112" t="n">
        <v>72.15000000000001</v>
      </c>
    </row>
    <row r="113" ht="14.25" customHeight="1">
      <c r="A113" s="44" t="n">
        <v>46123</v>
      </c>
      <c r="B113" s="4" t="n">
        <v>600</v>
      </c>
      <c r="C113" s="5" t="inlineStr">
        <is>
          <t>Heath, Warwick</t>
        </is>
      </c>
      <c r="D113" s="4" t="inlineStr">
        <is>
          <t>FTR</t>
        </is>
      </c>
      <c r="E113" s="4" t="n">
        <v>43</v>
      </c>
      <c r="F113" s="4" t="n">
        <v>0</v>
      </c>
      <c r="G113" s="10">
        <f>IF($D113="","",IFERROR(INDEX(Settings!$B$2:$B$7,MATCH(TRIM(CLEAN($D113)),Settings!$A$2:$A$7,0)),""))</f>
        <v/>
      </c>
      <c r="H113" s="10">
        <f>IF(OR($E113="",$G113=""),"",$E113*$G113)</f>
        <v/>
      </c>
      <c r="I113" s="10">
        <f>IF($F113="","",$F113*Settings!$B$9)</f>
        <v/>
      </c>
      <c r="J113" s="10">
        <f>IF($D113="","",IFERROR(INDEX(Settings!$C$2:$C$7,MATCH(TRIM(CLEAN($D113)),Settings!$A$2:$A$7,0)),""))</f>
        <v/>
      </c>
      <c r="K113" s="10">
        <f>IF(OR($H113="",$I113="",$J113=""),"",ROUND(($H113+$I113)*$J113,2))</f>
        <v/>
      </c>
      <c r="L113" t="n">
        <v>62.35</v>
      </c>
    </row>
    <row r="114" ht="14.25" customHeight="1">
      <c r="A114" s="44" t="n">
        <v>46123</v>
      </c>
      <c r="B114" s="4" t="n">
        <v>600</v>
      </c>
      <c r="C114" s="5" t="inlineStr">
        <is>
          <t>Kilpatrick, Brian</t>
        </is>
      </c>
      <c r="D114" s="4" t="inlineStr">
        <is>
          <t>SP</t>
        </is>
      </c>
      <c r="E114" s="4" t="n">
        <v>47</v>
      </c>
      <c r="F114" s="4" t="n">
        <v>0</v>
      </c>
      <c r="G114" s="10">
        <f>IF($D114="","",IFERROR(INDEX(Settings!$B$2:$B$7,MATCH(TRIM(CLEAN($D114)),Settings!$A$2:$A$7,0)),""))</f>
        <v/>
      </c>
      <c r="H114" s="10">
        <f>IF(OR($E114="",$G114=""),"",$E114*$G114)</f>
        <v/>
      </c>
      <c r="I114" s="10">
        <f>IF($F114="","",$F114*Settings!$B$9)</f>
        <v/>
      </c>
      <c r="J114" s="10">
        <f>IF($D114="","",IFERROR(INDEX(Settings!$C$2:$C$7,MATCH(TRIM(CLEAN($D114)),Settings!$A$2:$A$7,0)),""))</f>
        <v/>
      </c>
      <c r="K114" s="10">
        <f>IF(OR($H114="",$I114="",$J114=""),"",ROUND(($H114+$I114)*$J114,2))</f>
        <v/>
      </c>
      <c r="L114" t="n">
        <v>78</v>
      </c>
    </row>
    <row r="115" ht="14.25" customHeight="1">
      <c r="A115" s="44" t="n">
        <v>46123</v>
      </c>
      <c r="B115" s="4" t="n">
        <v>600</v>
      </c>
      <c r="C115" s="5" t="inlineStr">
        <is>
          <t>Greed, Adrian</t>
        </is>
      </c>
      <c r="D115" s="4" t="inlineStr">
        <is>
          <t>TR</t>
        </is>
      </c>
      <c r="E115" s="4" t="n">
        <v>44</v>
      </c>
      <c r="F115" s="4" t="n">
        <v>0</v>
      </c>
      <c r="G115" s="10">
        <f>IF($D115="","",IFERROR(INDEX(Settings!$B$2:$B$7,MATCH(TRIM(CLEAN($D115)),Settings!$A$2:$A$7,0)),""))</f>
        <v/>
      </c>
      <c r="H115" s="10">
        <f>IF(OR($E115="",$G115=""),"",$E115*$G115)</f>
        <v/>
      </c>
      <c r="I115" s="10">
        <f>IF($F115="","",$F115*Settings!$B$9)</f>
        <v/>
      </c>
      <c r="J115" s="10">
        <f>IF($D115="","",IFERROR(INDEX(Settings!$C$2:$C$7,MATCH(TRIM(CLEAN($D115)),Settings!$A$2:$A$7,0)),""))</f>
        <v/>
      </c>
      <c r="K115" s="10">
        <f>IF(OR($H115="",$I115="",$J115=""),"",ROUND(($H115+$I115)*$J115,2))</f>
        <v/>
      </c>
      <c r="L115" t="n">
        <v>74.55</v>
      </c>
    </row>
    <row r="116" ht="14.25" customHeight="1">
      <c r="A116" s="44" t="n">
        <v>46123</v>
      </c>
      <c r="B116" s="4" t="n">
        <v>600</v>
      </c>
      <c r="C116" s="5" t="inlineStr">
        <is>
          <t>Chay, Tony</t>
        </is>
      </c>
      <c r="D116" s="4" t="inlineStr">
        <is>
          <t>SP</t>
        </is>
      </c>
      <c r="E116" s="4" t="n">
        <v>37</v>
      </c>
      <c r="F116" s="4" t="n">
        <v>0</v>
      </c>
      <c r="G116" s="10">
        <f>IF($D116="","",IFERROR(INDEX(Settings!$B$2:$B$7,MATCH(TRIM(CLEAN($D116)),Settings!$A$2:$A$7,0)),""))</f>
        <v/>
      </c>
      <c r="H116" s="10">
        <f>IF(OR($E116="",$G116=""),"",$E116*$G116)</f>
        <v/>
      </c>
      <c r="I116" s="10">
        <f>IF($F116="","",$F116*Settings!$B$9)</f>
        <v/>
      </c>
      <c r="J116" s="10">
        <f>IF($D116="","",IFERROR(INDEX(Settings!$C$2:$C$7,MATCH(TRIM(CLEAN($D116)),Settings!$A$2:$A$7,0)),""))</f>
        <v/>
      </c>
      <c r="K116" s="10">
        <f>IF(OR($H116="",$I116="",$J116=""),"",ROUND(($H116+$I116)*$J116,2))</f>
        <v/>
      </c>
      <c r="L116" t="n">
        <v>61.41</v>
      </c>
    </row>
    <row r="117" ht="14.25" customHeight="1">
      <c r="A117" s="44" t="n">
        <v>46123</v>
      </c>
      <c r="B117" s="4" t="n">
        <v>600</v>
      </c>
      <c r="C117" s="5" t="inlineStr">
        <is>
          <t>Porter, Stephen</t>
        </is>
      </c>
      <c r="D117" s="4" t="inlineStr">
        <is>
          <t>FS</t>
        </is>
      </c>
      <c r="E117" s="4" t="n">
        <v>50</v>
      </c>
      <c r="F117" s="4" t="n">
        <v>0</v>
      </c>
      <c r="G117" s="10">
        <f>IF($D117="","",IFERROR(INDEX(Settings!$B$2:$B$7,MATCH(TRIM(CLEAN($D117)),Settings!$A$2:$A$7,0)),""))</f>
        <v/>
      </c>
      <c r="H117" s="10">
        <f>IF(OR($E117="",$G117=""),"",$E117*$G117)</f>
        <v/>
      </c>
      <c r="I117" s="10">
        <f>IF($F117="","",$F117*Settings!$B$9)</f>
        <v/>
      </c>
      <c r="J117" s="10">
        <f>IF($D117="","",IFERROR(INDEX(Settings!$C$2:$C$7,MATCH(TRIM(CLEAN($D117)),Settings!$A$2:$A$7,0)),""))</f>
        <v/>
      </c>
      <c r="K117" s="10">
        <f>IF(OR($H117="",$I117="",$J117=""),"",ROUND(($H117+$I117)*$J117,2))</f>
        <v/>
      </c>
      <c r="L117" t="n">
        <v>73.75</v>
      </c>
    </row>
    <row r="118" ht="14.25" customHeight="1">
      <c r="A118" s="44" t="n">
        <v>46123</v>
      </c>
      <c r="B118" s="4" t="n">
        <v>700</v>
      </c>
      <c r="C118" s="5" t="inlineStr">
        <is>
          <t>Kilpatrick, Brian</t>
        </is>
      </c>
      <c r="D118" s="4" t="inlineStr">
        <is>
          <t>SP</t>
        </is>
      </c>
      <c r="E118" s="4" t="n">
        <v>50</v>
      </c>
      <c r="F118" s="4" t="n">
        <v>7</v>
      </c>
      <c r="G118" s="10">
        <f>IF($D118="","",IFERROR(INDEX(Settings!$B$2:$B$7,MATCH(TRIM(CLEAN($D118)),Settings!$A$2:$A$7,0)),""))</f>
        <v/>
      </c>
      <c r="H118" s="10">
        <f>IF(OR($E118="",$G118=""),"",$E118*$G118)</f>
        <v/>
      </c>
      <c r="I118" s="10">
        <f>IF($F118="","",$F118*Settings!$B$9)</f>
        <v/>
      </c>
      <c r="J118" s="10">
        <f>IF($D118="","",IFERROR(INDEX(Settings!$C$2:$C$7,MATCH(TRIM(CLEAN($D118)),Settings!$A$2:$A$7,0)),""))</f>
        <v/>
      </c>
      <c r="K118" s="10">
        <f>IF(OR($H118="",$I118="",$J118=""),"",ROUND(($H118+$I118)*$J118,2))</f>
        <v/>
      </c>
      <c r="L118" t="n">
        <v>89.76000000000001</v>
      </c>
    </row>
    <row r="119" ht="14.25" customHeight="1">
      <c r="A119" s="44" t="n">
        <v>46123</v>
      </c>
      <c r="B119" s="4" t="n">
        <v>700</v>
      </c>
      <c r="C119" s="5" t="inlineStr">
        <is>
          <t>Comerford, Dan</t>
        </is>
      </c>
      <c r="D119" s="4" t="inlineStr">
        <is>
          <t>SO</t>
        </is>
      </c>
      <c r="E119" s="4" t="n">
        <v>49</v>
      </c>
      <c r="F119" s="4" t="n">
        <v>6</v>
      </c>
      <c r="G119" s="10">
        <f>IF($D119="","",IFERROR(INDEX(Settings!$B$2:$B$7,MATCH(TRIM(CLEAN($D119)),Settings!$A$2:$A$7,0)),""))</f>
        <v/>
      </c>
      <c r="H119" s="10">
        <f>IF(OR($E119="",$G119=""),"",$E119*$G119)</f>
        <v/>
      </c>
      <c r="I119" s="10">
        <f>IF($F119="","",$F119*Settings!$B$9)</f>
        <v/>
      </c>
      <c r="J119" s="10">
        <f>IF($D119="","",IFERROR(INDEX(Settings!$C$2:$C$7,MATCH(TRIM(CLEAN($D119)),Settings!$A$2:$A$7,0)),""))</f>
        <v/>
      </c>
      <c r="K119" s="10">
        <f>IF(OR($H119="",$I119="",$J119=""),"",ROUND(($H119+$I119)*$J119,2))</f>
        <v/>
      </c>
      <c r="L119" t="n">
        <v>87.13</v>
      </c>
    </row>
    <row r="120" ht="14.25" customHeight="1">
      <c r="A120" s="44" t="n">
        <v>46123</v>
      </c>
      <c r="B120" s="4" t="n">
        <v>700</v>
      </c>
      <c r="C120" s="5" t="inlineStr">
        <is>
          <t>Bending, Anthony</t>
        </is>
      </c>
      <c r="D120" s="4" t="inlineStr">
        <is>
          <t>FO</t>
        </is>
      </c>
      <c r="E120" s="4" t="n">
        <v>58</v>
      </c>
      <c r="F120" s="4" t="n">
        <v>5</v>
      </c>
      <c r="G120" s="10">
        <f>IF($D120="","",IFERROR(INDEX(Settings!$B$2:$B$7,MATCH(TRIM(CLEAN($D120)),Settings!$A$2:$A$7,0)),""))</f>
        <v/>
      </c>
      <c r="H120" s="10">
        <f>IF(OR($E120="",$G120=""),"",$E120*$G120)</f>
        <v/>
      </c>
      <c r="I120" s="10">
        <f>IF($F120="","",$F120*Settings!$B$9)</f>
        <v/>
      </c>
      <c r="J120" s="10">
        <f>IF($D120="","",IFERROR(INDEX(Settings!$C$2:$C$7,MATCH(TRIM(CLEAN($D120)),Settings!$A$2:$A$7,0)),""))</f>
        <v/>
      </c>
      <c r="K120" s="10">
        <f>IF(OR($H120="",$I120="",$J120=""),"",ROUND(($H120+$I120)*$J120,2))</f>
        <v/>
      </c>
      <c r="L120" t="n">
        <v>86.47</v>
      </c>
    </row>
    <row r="121" ht="14.25" customHeight="1">
      <c r="A121" s="44" t="n">
        <v>46123</v>
      </c>
      <c r="B121" s="4" t="n">
        <v>700</v>
      </c>
      <c r="C121" s="5" t="inlineStr">
        <is>
          <t>Patto, Nick</t>
        </is>
      </c>
      <c r="D121" s="4" t="inlineStr">
        <is>
          <t>FO</t>
        </is>
      </c>
      <c r="E121" s="4" t="n">
        <v>59</v>
      </c>
      <c r="F121" s="4" t="n">
        <v>5</v>
      </c>
      <c r="G121" s="10">
        <f>IF($D121="","",IFERROR(INDEX(Settings!$B$2:$B$7,MATCH(TRIM(CLEAN($D121)),Settings!$A$2:$A$7,0)),""))</f>
        <v/>
      </c>
      <c r="H121" s="10">
        <f>IF(OR($E121="",$G121=""),"",$E121*$G121)</f>
        <v/>
      </c>
      <c r="I121" s="10">
        <f>IF($F121="","",$F121*Settings!$B$9)</f>
        <v/>
      </c>
      <c r="J121" s="10">
        <f>IF($D121="","",IFERROR(INDEX(Settings!$C$2:$C$7,MATCH(TRIM(CLEAN($D121)),Settings!$A$2:$A$7,0)),""))</f>
        <v/>
      </c>
      <c r="K121" s="10">
        <f>IF(OR($H121="",$I121="",$J121=""),"",ROUND(($H121+$I121)*$J121,2))</f>
        <v/>
      </c>
      <c r="L121" t="n">
        <v>87.88</v>
      </c>
    </row>
    <row r="122" ht="14.25" customHeight="1">
      <c r="A122" s="44" t="n">
        <v>46123</v>
      </c>
      <c r="B122" s="4" t="n">
        <v>700</v>
      </c>
      <c r="C122" s="5" t="inlineStr">
        <is>
          <t>Gwyn, Stephen</t>
        </is>
      </c>
      <c r="D122" s="4" t="inlineStr">
        <is>
          <t>TR</t>
        </is>
      </c>
      <c r="E122" s="4" t="n">
        <v>48</v>
      </c>
      <c r="F122" s="4" t="n">
        <v>4</v>
      </c>
      <c r="G122" s="10">
        <f>IF($D122="","",IFERROR(INDEX(Settings!$B$2:$B$7,MATCH(TRIM(CLEAN($D122)),Settings!$A$2:$A$7,0)),""))</f>
        <v/>
      </c>
      <c r="H122" s="10">
        <f>IF(OR($E122="",$G122=""),"",$E122*$G122)</f>
        <v/>
      </c>
      <c r="I122" s="10">
        <f>IF($F122="","",$F122*Settings!$B$9)</f>
        <v/>
      </c>
      <c r="J122" s="10">
        <f>IF($D122="","",IFERROR(INDEX(Settings!$C$2:$C$7,MATCH(TRIM(CLEAN($D122)),Settings!$A$2:$A$7,0)),""))</f>
        <v/>
      </c>
      <c r="K122" s="10">
        <f>IF(OR($H122="",$I122="",$J122=""),"",ROUND(($H122+$I122)*$J122,2))</f>
        <v/>
      </c>
      <c r="L122" t="n">
        <v>85.28</v>
      </c>
    </row>
    <row r="123" ht="14.25" customHeight="1">
      <c r="A123" s="44" t="n">
        <v>46123</v>
      </c>
      <c r="B123" s="4" t="n">
        <v>700</v>
      </c>
      <c r="C123" s="5" t="inlineStr">
        <is>
          <t>Greed, Adrian</t>
        </is>
      </c>
      <c r="D123" s="4" t="inlineStr">
        <is>
          <t>TR</t>
        </is>
      </c>
      <c r="E123" s="4" t="n">
        <v>47</v>
      </c>
      <c r="F123" s="4" t="n">
        <v>4</v>
      </c>
      <c r="G123" s="10">
        <f>IF($D123="","",IFERROR(INDEX(Settings!$B$2:$B$7,MATCH(TRIM(CLEAN($D123)),Settings!$A$2:$A$7,0)),""))</f>
        <v/>
      </c>
      <c r="H123" s="10">
        <f>IF(OR($E123="",$G123=""),"",$E123*$G123)</f>
        <v/>
      </c>
      <c r="I123" s="10">
        <f>IF($F123="","",$F123*Settings!$B$9)</f>
        <v/>
      </c>
      <c r="J123" s="10">
        <f>IF($D123="","",IFERROR(INDEX(Settings!$C$2:$C$7,MATCH(TRIM(CLEAN($D123)),Settings!$A$2:$A$7,0)),""))</f>
        <v/>
      </c>
      <c r="K123" s="10">
        <f>IF(OR($H123="",$I123="",$J123=""),"",ROUND(($H123+$I123)*$J123,2))</f>
        <v/>
      </c>
      <c r="L123" t="n">
        <v>83.59</v>
      </c>
    </row>
    <row r="124" ht="14.25" customHeight="1">
      <c r="A124" s="44" t="n">
        <v>46123</v>
      </c>
      <c r="B124" s="4" t="n">
        <v>700</v>
      </c>
      <c r="C124" s="5" t="inlineStr">
        <is>
          <t>Hanna, John</t>
        </is>
      </c>
      <c r="D124" s="4" t="inlineStr">
        <is>
          <t>SP</t>
        </is>
      </c>
      <c r="E124" s="4" t="n">
        <v>44</v>
      </c>
      <c r="F124" s="4" t="n">
        <v>4</v>
      </c>
      <c r="G124" s="10">
        <f>IF($D124="","",IFERROR(INDEX(Settings!$B$2:$B$7,MATCH(TRIM(CLEAN($D124)),Settings!$A$2:$A$7,0)),""))</f>
        <v/>
      </c>
      <c r="H124" s="10">
        <f>IF(OR($E124="",$G124=""),"",$E124*$G124)</f>
        <v/>
      </c>
      <c r="I124" s="10">
        <f>IF($F124="","",$F124*Settings!$B$9)</f>
        <v/>
      </c>
      <c r="J124" s="10">
        <f>IF($D124="","",IFERROR(INDEX(Settings!$C$2:$C$7,MATCH(TRIM(CLEAN($D124)),Settings!$A$2:$A$7,0)),""))</f>
        <v/>
      </c>
      <c r="K124" s="10">
        <f>IF(OR($H124="",$I124="",$J124=""),"",ROUND(($H124+$I124)*$J124,2))</f>
        <v/>
      </c>
      <c r="L124" t="n">
        <v>76.89</v>
      </c>
    </row>
    <row r="125" ht="14.25" customHeight="1">
      <c r="A125" s="44" t="n">
        <v>46123</v>
      </c>
      <c r="B125" s="4" t="n">
        <v>700</v>
      </c>
      <c r="C125" s="5" t="inlineStr">
        <is>
          <t>Chappell, Daryl</t>
        </is>
      </c>
      <c r="D125" s="4" t="inlineStr">
        <is>
          <t>FO</t>
        </is>
      </c>
      <c r="E125" s="4" t="n">
        <v>60</v>
      </c>
      <c r="F125" s="4" t="n">
        <v>3</v>
      </c>
      <c r="G125" s="10">
        <f>IF($D125="","",IFERROR(INDEX(Settings!$B$2:$B$7,MATCH(TRIM(CLEAN($D125)),Settings!$A$2:$A$7,0)),""))</f>
        <v/>
      </c>
      <c r="H125" s="10">
        <f>IF(OR($E125="",$G125=""),"",$E125*$G125)</f>
        <v/>
      </c>
      <c r="I125" s="10">
        <f>IF($F125="","",$F125*Settings!$B$9)</f>
        <v/>
      </c>
      <c r="J125" s="10">
        <f>IF($D125="","",IFERROR(INDEX(Settings!$C$2:$C$7,MATCH(TRIM(CLEAN($D125)),Settings!$A$2:$A$7,0)),""))</f>
        <v/>
      </c>
      <c r="K125" s="10">
        <f>IF(OR($H125="",$I125="",$J125=""),"",ROUND(($H125+$I125)*$J125,2))</f>
        <v/>
      </c>
      <c r="L125" t="n">
        <v>87.31</v>
      </c>
    </row>
    <row r="126" ht="14.25" customHeight="1">
      <c r="A126" s="44" t="n">
        <v>46123</v>
      </c>
      <c r="B126" s="4" t="n">
        <v>700</v>
      </c>
      <c r="C126" s="5" t="inlineStr">
        <is>
          <t>Cook, Andrew</t>
        </is>
      </c>
      <c r="D126" s="4" t="inlineStr">
        <is>
          <t>FS</t>
        </is>
      </c>
      <c r="E126" s="4" t="n">
        <v>54</v>
      </c>
      <c r="F126" s="4" t="n">
        <v>3</v>
      </c>
      <c r="G126" s="10">
        <f>IF($D126="","",IFERROR(INDEX(Settings!$B$2:$B$7,MATCH(TRIM(CLEAN($D126)),Settings!$A$2:$A$7,0)),""))</f>
        <v/>
      </c>
      <c r="H126" s="10">
        <f>IF(OR($E126="",$G126=""),"",$E126*$G126)</f>
        <v/>
      </c>
      <c r="I126" s="10">
        <f>IF($F126="","",$F126*Settings!$B$9)</f>
        <v/>
      </c>
      <c r="J126" s="10">
        <f>IF($D126="","",IFERROR(INDEX(Settings!$C$2:$C$7,MATCH(TRIM(CLEAN($D126)),Settings!$A$2:$A$7,0)),""))</f>
        <v/>
      </c>
      <c r="K126" s="10">
        <f>IF(OR($H126="",$I126="",$J126=""),"",ROUND(($H126+$I126)*$J126,2))</f>
        <v/>
      </c>
      <c r="L126" t="n">
        <v>82.75</v>
      </c>
    </row>
    <row r="127" ht="14.25" customHeight="1">
      <c r="A127" s="44" t="n">
        <v>46123</v>
      </c>
      <c r="B127" s="4" t="n">
        <v>700</v>
      </c>
      <c r="C127" s="5" t="inlineStr">
        <is>
          <t>Wilson, Brendan</t>
        </is>
      </c>
      <c r="D127" s="4" t="inlineStr">
        <is>
          <t>FS</t>
        </is>
      </c>
      <c r="E127" s="4" t="n">
        <v>53</v>
      </c>
      <c r="F127" s="4" t="n">
        <v>3</v>
      </c>
      <c r="G127" s="10">
        <f>IF($D127="","",IFERROR(INDEX(Settings!$B$2:$B$7,MATCH(TRIM(CLEAN($D127)),Settings!$A$2:$A$7,0)),""))</f>
        <v/>
      </c>
      <c r="H127" s="10">
        <f>IF(OR($E127="",$G127=""),"",$E127*$G127)</f>
        <v/>
      </c>
      <c r="I127" s="10">
        <f>IF($F127="","",$F127*Settings!$B$9)</f>
        <v/>
      </c>
      <c r="J127" s="10">
        <f>IF($D127="","",IFERROR(INDEX(Settings!$C$2:$C$7,MATCH(TRIM(CLEAN($D127)),Settings!$A$2:$A$7,0)),""))</f>
        <v/>
      </c>
      <c r="K127" s="10">
        <f>IF(OR($H127="",$I127="",$J127=""),"",ROUND(($H127+$I127)*$J127,2))</f>
        <v/>
      </c>
      <c r="L127" t="n">
        <v>81.27</v>
      </c>
    </row>
    <row r="128" ht="14.25" customHeight="1">
      <c r="A128" s="44" t="n">
        <v>46123</v>
      </c>
      <c r="B128" s="4" t="n">
        <v>700</v>
      </c>
      <c r="C128" s="5" t="inlineStr">
        <is>
          <t>Toh, Keith</t>
        </is>
      </c>
      <c r="D128" s="4" t="inlineStr">
        <is>
          <t>TR</t>
        </is>
      </c>
      <c r="E128" s="4" t="n">
        <v>47</v>
      </c>
      <c r="F128" s="4" t="n">
        <v>3</v>
      </c>
      <c r="G128" s="10">
        <f>IF($D128="","",IFERROR(INDEX(Settings!$B$2:$B$7,MATCH(TRIM(CLEAN($D128)),Settings!$A$2:$A$7,0)),""))</f>
        <v/>
      </c>
      <c r="H128" s="10">
        <f>IF(OR($E128="",$G128=""),"",$E128*$G128)</f>
        <v/>
      </c>
      <c r="I128" s="10">
        <f>IF($F128="","",$F128*Settings!$B$9)</f>
        <v/>
      </c>
      <c r="J128" s="10">
        <f>IF($D128="","",IFERROR(INDEX(Settings!$C$2:$C$7,MATCH(TRIM(CLEAN($D128)),Settings!$A$2:$A$7,0)),""))</f>
        <v/>
      </c>
      <c r="K128" s="10">
        <f>IF(OR($H128="",$I128="",$J128=""),"",ROUND(($H128+$I128)*$J128,2))</f>
        <v/>
      </c>
      <c r="L128" t="n">
        <v>82.59999999999999</v>
      </c>
    </row>
    <row r="129" ht="14.25" customHeight="1">
      <c r="A129" s="44" t="n">
        <v>46123</v>
      </c>
      <c r="B129" s="4" t="n">
        <v>700</v>
      </c>
      <c r="C129" s="5" t="inlineStr">
        <is>
          <t>Staley, Eric</t>
        </is>
      </c>
      <c r="D129" s="4" t="inlineStr">
        <is>
          <t>SO</t>
        </is>
      </c>
      <c r="E129" s="4" t="n">
        <v>48</v>
      </c>
      <c r="F129" s="4" t="n">
        <v>3</v>
      </c>
      <c r="G129" s="10">
        <f>IF($D129="","",IFERROR(INDEX(Settings!$B$2:$B$7,MATCH(TRIM(CLEAN($D129)),Settings!$A$2:$A$7,0)),""))</f>
        <v/>
      </c>
      <c r="H129" s="10">
        <f>IF(OR($E129="",$G129=""),"",$E129*$G129)</f>
        <v/>
      </c>
      <c r="I129" s="10">
        <f>IF($F129="","",$F129*Settings!$B$9)</f>
        <v/>
      </c>
      <c r="J129" s="10">
        <f>IF($D129="","",IFERROR(INDEX(Settings!$C$2:$C$7,MATCH(TRIM(CLEAN($D129)),Settings!$A$2:$A$7,0)),""))</f>
        <v/>
      </c>
      <c r="K129" s="10">
        <f>IF(OR($H129="",$I129="",$J129=""),"",ROUND(($H129+$I129)*$J129,2))</f>
        <v/>
      </c>
      <c r="L129" t="n">
        <v>82.56999999999999</v>
      </c>
    </row>
    <row r="130" ht="14.25" customHeight="1">
      <c r="A130" s="44" t="n">
        <v>46123</v>
      </c>
      <c r="B130" s="4" t="n">
        <v>700</v>
      </c>
      <c r="C130" s="5" t="inlineStr">
        <is>
          <t>Dare, Brodie</t>
        </is>
      </c>
      <c r="D130" s="4" t="inlineStr">
        <is>
          <t>SO</t>
        </is>
      </c>
      <c r="E130" s="4" t="n">
        <v>46</v>
      </c>
      <c r="F130" s="4" t="n">
        <v>3</v>
      </c>
      <c r="G130" s="10">
        <f>IF($D130="","",IFERROR(INDEX(Settings!$B$2:$B$7,MATCH(TRIM(CLEAN($D130)),Settings!$A$2:$A$7,0)),""))</f>
        <v/>
      </c>
      <c r="H130" s="10">
        <f>IF(OR($E130="",$G130=""),"",$E130*$G130)</f>
        <v/>
      </c>
      <c r="I130" s="10">
        <f>IF($F130="","",$F130*Settings!$B$9)</f>
        <v/>
      </c>
      <c r="J130" s="10">
        <f>IF($D130="","",IFERROR(INDEX(Settings!$C$2:$C$7,MATCH(TRIM(CLEAN($D130)),Settings!$A$2:$A$7,0)),""))</f>
        <v/>
      </c>
      <c r="K130" s="10">
        <f>IF(OR($H130="",$I130="",$J130=""),"",ROUND(($H130+$I130)*$J130,2))</f>
        <v/>
      </c>
      <c r="L130" t="n">
        <v>79.25</v>
      </c>
    </row>
    <row r="131" ht="14.25" customHeight="1">
      <c r="A131" s="44" t="n">
        <v>46123</v>
      </c>
      <c r="B131" s="4" t="n">
        <v>700</v>
      </c>
      <c r="C131" s="5" t="inlineStr">
        <is>
          <t>Mann, Neil</t>
        </is>
      </c>
      <c r="D131" s="4" t="inlineStr">
        <is>
          <t>SP</t>
        </is>
      </c>
      <c r="E131" s="4" t="n">
        <v>47</v>
      </c>
      <c r="F131" s="4" t="n">
        <v>3</v>
      </c>
      <c r="G131" s="10">
        <f>IF($D131="","",IFERROR(INDEX(Settings!$B$2:$B$7,MATCH(TRIM(CLEAN($D131)),Settings!$A$2:$A$7,0)),""))</f>
        <v/>
      </c>
      <c r="H131" s="10">
        <f>IF(OR($E131="",$G131=""),"",$E131*$G131)</f>
        <v/>
      </c>
      <c r="I131" s="10">
        <f>IF($F131="","",$F131*Settings!$B$9)</f>
        <v/>
      </c>
      <c r="J131" s="10">
        <f>IF($D131="","",IFERROR(INDEX(Settings!$C$2:$C$7,MATCH(TRIM(CLEAN($D131)),Settings!$A$2:$A$7,0)),""))</f>
        <v/>
      </c>
      <c r="K131" s="10">
        <f>IF(OR($H131="",$I131="",$J131=""),"",ROUND(($H131+$I131)*$J131,2))</f>
        <v/>
      </c>
      <c r="L131" t="n">
        <v>80.91</v>
      </c>
    </row>
    <row r="132" ht="14.25" customHeight="1">
      <c r="A132" s="44" t="n">
        <v>46123</v>
      </c>
      <c r="B132" s="4" t="n">
        <v>700</v>
      </c>
      <c r="C132" s="5" t="inlineStr">
        <is>
          <t>Hulett, Carol</t>
        </is>
      </c>
      <c r="D132" s="4" t="inlineStr">
        <is>
          <t>FS</t>
        </is>
      </c>
      <c r="E132" s="4" t="n">
        <v>50</v>
      </c>
      <c r="F132" s="4" t="n">
        <v>2</v>
      </c>
      <c r="G132" s="10">
        <f>IF($D132="","",IFERROR(INDEX(Settings!$B$2:$B$7,MATCH(TRIM(CLEAN($D132)),Settings!$A$2:$A$7,0)),""))</f>
        <v/>
      </c>
      <c r="H132" s="10">
        <f>IF(OR($E132="",$G132=""),"",$E132*$G132)</f>
        <v/>
      </c>
      <c r="I132" s="10">
        <f>IF($F132="","",$F132*Settings!$B$9)</f>
        <v/>
      </c>
      <c r="J132" s="10">
        <f>IF($D132="","",IFERROR(INDEX(Settings!$C$2:$C$7,MATCH(TRIM(CLEAN($D132)),Settings!$A$2:$A$7,0)),""))</f>
        <v/>
      </c>
      <c r="K132" s="10">
        <f>IF(OR($H132="",$I132="",$J132=""),"",ROUND(($H132+$I132)*$J132,2))</f>
        <v/>
      </c>
      <c r="L132" t="n">
        <v>75.81</v>
      </c>
    </row>
    <row r="133" ht="14.25" customHeight="1">
      <c r="A133" s="44" t="n">
        <v>46123</v>
      </c>
      <c r="B133" s="4" t="n">
        <v>700</v>
      </c>
      <c r="C133" s="5" t="inlineStr">
        <is>
          <t>Hulett, Peter</t>
        </is>
      </c>
      <c r="D133" s="4" t="inlineStr">
        <is>
          <t>TR</t>
        </is>
      </c>
      <c r="E133" s="4" t="n">
        <v>41</v>
      </c>
      <c r="F133" s="4" t="n">
        <v>2</v>
      </c>
      <c r="G133" s="10">
        <f>IF($D133="","",IFERROR(INDEX(Settings!$B$2:$B$7,MATCH(TRIM(CLEAN($D133)),Settings!$A$2:$A$7,0)),""))</f>
        <v/>
      </c>
      <c r="H133" s="10">
        <f>IF(OR($E133="",$G133=""),"",$E133*$G133)</f>
        <v/>
      </c>
      <c r="I133" s="10">
        <f>IF($F133="","",$F133*Settings!$B$9)</f>
        <v/>
      </c>
      <c r="J133" s="10">
        <f>IF($D133="","",IFERROR(INDEX(Settings!$C$2:$C$7,MATCH(TRIM(CLEAN($D133)),Settings!$A$2:$A$7,0)),""))</f>
        <v/>
      </c>
      <c r="K133" s="10">
        <f>IF(OR($H133="",$I133="",$J133=""),"",ROUND(($H133+$I133)*$J133,2))</f>
        <v/>
      </c>
      <c r="L133" t="n">
        <v>71.45</v>
      </c>
    </row>
    <row r="134" ht="14.25" customHeight="1">
      <c r="A134" s="44" t="n">
        <v>46123</v>
      </c>
      <c r="B134" s="4" t="n">
        <v>700</v>
      </c>
      <c r="C134" s="5" t="inlineStr">
        <is>
          <t>Beretta, Chris</t>
        </is>
      </c>
      <c r="D134" s="4" t="inlineStr">
        <is>
          <t>FO</t>
        </is>
      </c>
      <c r="E134" s="4" t="n">
        <v>54</v>
      </c>
      <c r="F134" s="4" t="n">
        <v>1</v>
      </c>
      <c r="G134" s="10">
        <f>IF($D134="","",IFERROR(INDEX(Settings!$B$2:$B$7,MATCH(TRIM(CLEAN($D134)),Settings!$A$2:$A$7,0)),""))</f>
        <v/>
      </c>
      <c r="H134" s="10">
        <f>IF(OR($E134="",$G134=""),"",$E134*$G134)</f>
        <v/>
      </c>
      <c r="I134" s="10">
        <f>IF($F134="","",$F134*Settings!$B$9)</f>
        <v/>
      </c>
      <c r="J134" s="10">
        <f>IF($D134="","",IFERROR(INDEX(Settings!$C$2:$C$7,MATCH(TRIM(CLEAN($D134)),Settings!$A$2:$A$7,0)),""))</f>
        <v/>
      </c>
      <c r="K134" s="10">
        <f>IF(OR($H134="",$I134="",$J134=""),"",ROUND(($H134+$I134)*$J134,2))</f>
        <v/>
      </c>
      <c r="L134" t="n">
        <v>76.91</v>
      </c>
    </row>
    <row r="135" ht="14.25" customHeight="1">
      <c r="A135" s="44" t="n">
        <v>46123</v>
      </c>
      <c r="B135" s="4" t="n">
        <v>700</v>
      </c>
      <c r="C135" s="5" t="inlineStr">
        <is>
          <t>Heath, Warwick</t>
        </is>
      </c>
      <c r="D135" s="4" t="inlineStr">
        <is>
          <t>FTR</t>
        </is>
      </c>
      <c r="E135" s="4" t="n">
        <v>48</v>
      </c>
      <c r="F135" s="4" t="n">
        <v>1</v>
      </c>
      <c r="G135" s="10">
        <f>IF($D135="","",IFERROR(INDEX(Settings!$B$2:$B$7,MATCH(TRIM(CLEAN($D135)),Settings!$A$2:$A$7,0)),""))</f>
        <v/>
      </c>
      <c r="H135" s="10">
        <f>IF(OR($E135="",$G135=""),"",$E135*$G135)</f>
        <v/>
      </c>
      <c r="I135" s="10">
        <f>IF($F135="","",$F135*Settings!$B$9)</f>
        <v/>
      </c>
      <c r="J135" s="10">
        <f>IF($D135="","",IFERROR(INDEX(Settings!$C$2:$C$7,MATCH(TRIM(CLEAN($D135)),Settings!$A$2:$A$7,0)),""))</f>
        <v/>
      </c>
      <c r="K135" s="10">
        <f>IF(OR($H135="",$I135="",$J135=""),"",ROUND(($H135+$I135)*$J135,2))</f>
        <v/>
      </c>
      <c r="L135" t="n">
        <v>70.61</v>
      </c>
    </row>
    <row r="136" ht="14.25" customHeight="1">
      <c r="A136" s="44" t="n">
        <v>46123</v>
      </c>
      <c r="B136" s="4" t="n">
        <v>700</v>
      </c>
      <c r="C136" s="5" t="inlineStr">
        <is>
          <t>Donnelly, Lisa</t>
        </is>
      </c>
      <c r="D136" s="4" t="inlineStr">
        <is>
          <t>FS</t>
        </is>
      </c>
      <c r="E136" s="4" t="n">
        <v>47</v>
      </c>
      <c r="F136" s="4" t="n">
        <v>1</v>
      </c>
      <c r="G136" s="10">
        <f>IF($D136="","",IFERROR(INDEX(Settings!$B$2:$B$7,MATCH(TRIM(CLEAN($D136)),Settings!$A$2:$A$7,0)),""))</f>
        <v/>
      </c>
      <c r="H136" s="10">
        <f>IF(OR($E136="",$G136=""),"",$E136*$G136)</f>
        <v/>
      </c>
      <c r="I136" s="10">
        <f>IF($F136="","",$F136*Settings!$B$9)</f>
        <v/>
      </c>
      <c r="J136" s="10">
        <f>IF($D136="","",IFERROR(INDEX(Settings!$C$2:$C$7,MATCH(TRIM(CLEAN($D136)),Settings!$A$2:$A$7,0)),""))</f>
        <v/>
      </c>
      <c r="K136" s="10">
        <f>IF(OR($H136="",$I136="",$J136=""),"",ROUND(($H136+$I136)*$J136,2))</f>
        <v/>
      </c>
      <c r="L136" t="n">
        <v>70.36</v>
      </c>
    </row>
    <row r="137" ht="14.25" customHeight="1">
      <c r="A137" s="44" t="n">
        <v>46123</v>
      </c>
      <c r="B137" s="4" t="n">
        <v>700</v>
      </c>
      <c r="C137" s="5" t="inlineStr">
        <is>
          <t>Heath, David</t>
        </is>
      </c>
      <c r="D137" s="4" t="inlineStr">
        <is>
          <t>TR</t>
        </is>
      </c>
      <c r="E137" s="4" t="n">
        <v>38</v>
      </c>
      <c r="F137" s="4" t="n">
        <v>1</v>
      </c>
      <c r="G137" s="10">
        <f>IF($D137="","",IFERROR(INDEX(Settings!$B$2:$B$7,MATCH(TRIM(CLEAN($D137)),Settings!$A$2:$A$7,0)),""))</f>
        <v/>
      </c>
      <c r="H137" s="10">
        <f>IF(OR($E137="",$G137=""),"",$E137*$G137)</f>
        <v/>
      </c>
      <c r="I137" s="10">
        <f>IF($F137="","",$F137*Settings!$B$9)</f>
        <v/>
      </c>
      <c r="J137" s="10">
        <f>IF($D137="","",IFERROR(INDEX(Settings!$C$2:$C$7,MATCH(TRIM(CLEAN($D137)),Settings!$A$2:$A$7,0)),""))</f>
        <v/>
      </c>
      <c r="K137" s="10">
        <f>IF(OR($H137="",$I137="",$J137=""),"",ROUND(($H137+$I137)*$J137,2))</f>
        <v/>
      </c>
      <c r="L137" t="n">
        <v>65.38</v>
      </c>
    </row>
    <row r="138" ht="14.25" customHeight="1">
      <c r="A138" s="44" t="n">
        <v>46123</v>
      </c>
      <c r="B138" s="4" t="n">
        <v>700</v>
      </c>
      <c r="C138" s="5" t="inlineStr">
        <is>
          <t>Chay, Tony</t>
        </is>
      </c>
      <c r="D138" s="4" t="inlineStr">
        <is>
          <t>SP</t>
        </is>
      </c>
      <c r="E138" s="4" t="n">
        <v>45</v>
      </c>
      <c r="F138" s="4" t="n">
        <v>1</v>
      </c>
      <c r="G138" s="10">
        <f>IF($D138="","",IFERROR(INDEX(Settings!$B$2:$B$7,MATCH(TRIM(CLEAN($D138)),Settings!$A$2:$A$7,0)),""))</f>
        <v/>
      </c>
      <c r="H138" s="10">
        <f>IF(OR($E138="",$G138=""),"",$E138*$G138)</f>
        <v/>
      </c>
      <c r="I138" s="10">
        <f>IF($F138="","",$F138*Settings!$B$9)</f>
        <v/>
      </c>
      <c r="J138" s="10">
        <f>IF($D138="","",IFERROR(INDEX(Settings!$C$2:$C$7,MATCH(TRIM(CLEAN($D138)),Settings!$A$2:$A$7,0)),""))</f>
        <v/>
      </c>
      <c r="K138" s="10">
        <f>IF(OR($H138="",$I138="",$J138=""),"",ROUND(($H138+$I138)*$J138,2))</f>
        <v/>
      </c>
      <c r="L138" t="n">
        <v>75.65000000000001</v>
      </c>
    </row>
    <row r="139" ht="14.25" customHeight="1">
      <c r="A139" s="44" t="n">
        <v>46123</v>
      </c>
      <c r="B139" s="4" t="n">
        <v>700</v>
      </c>
      <c r="C139" s="5" t="inlineStr">
        <is>
          <t>Parks, Ian</t>
        </is>
      </c>
      <c r="D139" s="4" t="inlineStr">
        <is>
          <t>FO</t>
        </is>
      </c>
      <c r="E139" s="4" t="n">
        <v>48</v>
      </c>
      <c r="F139" s="4" t="n">
        <v>0</v>
      </c>
      <c r="G139" s="10">
        <f>IF($D139="","",IFERROR(INDEX(Settings!$B$2:$B$7,MATCH(TRIM(CLEAN($D139)),Settings!$A$2:$A$7,0)),""))</f>
        <v/>
      </c>
      <c r="H139" s="10">
        <f>IF(OR($E139="",$G139=""),"",$E139*$G139)</f>
        <v/>
      </c>
      <c r="I139" s="10">
        <f>IF($F139="","",$F139*Settings!$B$9)</f>
        <v/>
      </c>
      <c r="J139" s="10">
        <f>IF($D139="","",IFERROR(INDEX(Settings!$C$2:$C$7,MATCH(TRIM(CLEAN($D139)),Settings!$A$2:$A$7,0)),""))</f>
        <v/>
      </c>
      <c r="K139" s="10">
        <f>IF(OR($H139="",$I139="",$J139=""),"",ROUND(($H139+$I139)*$J139,2))</f>
        <v/>
      </c>
      <c r="L139" t="n">
        <v>67.48999999999999</v>
      </c>
    </row>
    <row r="140" ht="14.25" customHeight="1">
      <c r="A140" s="44" t="n">
        <v>46123</v>
      </c>
      <c r="B140" s="4" t="n">
        <v>700</v>
      </c>
      <c r="C140" s="5" t="inlineStr">
        <is>
          <t>Shepherd, David</t>
        </is>
      </c>
      <c r="D140" s="4" t="inlineStr">
        <is>
          <t>FS</t>
        </is>
      </c>
      <c r="E140" s="4" t="n">
        <v>44</v>
      </c>
      <c r="F140" s="4" t="n">
        <v>0</v>
      </c>
      <c r="G140" s="10">
        <f>IF($D140="","",IFERROR(INDEX(Settings!$B$2:$B$7,MATCH(TRIM(CLEAN($D140)),Settings!$A$2:$A$7,0)),""))</f>
        <v/>
      </c>
      <c r="H140" s="10">
        <f>IF(OR($E140="",$G140=""),"",$E140*$G140)</f>
        <v/>
      </c>
      <c r="I140" s="10">
        <f>IF($F140="","",$F140*Settings!$B$9)</f>
        <v/>
      </c>
      <c r="J140" s="10">
        <f>IF($D140="","",IFERROR(INDEX(Settings!$C$2:$C$7,MATCH(TRIM(CLEAN($D140)),Settings!$A$2:$A$7,0)),""))</f>
        <v/>
      </c>
      <c r="K140" s="10">
        <f>IF(OR($H140="",$I140="",$J140=""),"",ROUND(($H140+$I140)*$J140,2))</f>
        <v/>
      </c>
      <c r="L140" t="n">
        <v>64.90000000000001</v>
      </c>
    </row>
    <row r="141" ht="14.25" customHeight="1">
      <c r="A141" s="44" t="n">
        <v>46123</v>
      </c>
      <c r="B141" s="4" t="n">
        <v>700</v>
      </c>
      <c r="C141" s="5" t="inlineStr">
        <is>
          <t>Smaldino, Richard</t>
        </is>
      </c>
      <c r="D141" s="4" t="inlineStr">
        <is>
          <t>SP</t>
        </is>
      </c>
      <c r="E141" s="4" t="n">
        <v>44</v>
      </c>
      <c r="F141" s="4" t="n">
        <v>0</v>
      </c>
      <c r="G141" s="10">
        <f>IF($D141="","",IFERROR(INDEX(Settings!$B$2:$B$7,MATCH(TRIM(CLEAN($D141)),Settings!$A$2:$A$7,0)),""))</f>
        <v/>
      </c>
      <c r="H141" s="10">
        <f>IF(OR($E141="",$G141=""),"",$E141*$G141)</f>
        <v/>
      </c>
      <c r="I141" s="10">
        <f>IF($F141="","",$F141*Settings!$B$9)</f>
        <v/>
      </c>
      <c r="J141" s="10">
        <f>IF($D141="","",IFERROR(INDEX(Settings!$C$2:$C$7,MATCH(TRIM(CLEAN($D141)),Settings!$A$2:$A$7,0)),""))</f>
        <v/>
      </c>
      <c r="K141" s="10">
        <f>IF(OR($H141="",$I141="",$J141=""),"",ROUND(($H141+$I141)*$J141,2))</f>
        <v/>
      </c>
      <c r="L141" t="n">
        <v>73.02</v>
      </c>
    </row>
    <row r="142" ht="14.25" customHeight="1">
      <c r="A142" s="44" t="n">
        <v>46123</v>
      </c>
      <c r="B142" s="4" t="n">
        <v>700</v>
      </c>
      <c r="C142" s="5" t="inlineStr">
        <is>
          <t>Porter, Stephen</t>
        </is>
      </c>
      <c r="D142" s="4" t="inlineStr">
        <is>
          <t>FS</t>
        </is>
      </c>
      <c r="E142" s="4" t="n">
        <v>0</v>
      </c>
      <c r="F142" s="4" t="n">
        <v>0</v>
      </c>
      <c r="G142" s="10">
        <f>IF($D142="","",IFERROR(INDEX(Settings!$B$2:$B$7,MATCH(TRIM(CLEAN($D142)),Settings!$A$2:$A$7,0)),""))</f>
        <v/>
      </c>
      <c r="H142" s="10">
        <f>IF(OR($E142="",$G142=""),"",$E142*$G142)</f>
        <v/>
      </c>
      <c r="I142" s="10">
        <f>IF($F142="","",$F142*Settings!$B$9)</f>
        <v/>
      </c>
      <c r="J142" s="10">
        <f>IF($D142="","",IFERROR(INDEX(Settings!$C$2:$C$7,MATCH(TRIM(CLEAN($D142)),Settings!$A$2:$A$7,0)),""))</f>
        <v/>
      </c>
      <c r="K142" s="10">
        <f>IF(OR($H142="",$I142="",$J142=""),"",ROUND(($H142+$I142)*$J142,2))</f>
        <v/>
      </c>
      <c r="L142" t="n">
        <v>0</v>
      </c>
    </row>
    <row r="143" ht="14.25" customHeight="1">
      <c r="A143" s="44" t="n">
        <v>46144</v>
      </c>
      <c r="B143" s="4" t="n">
        <v>500</v>
      </c>
      <c r="C143" s="11" t="inlineStr">
        <is>
          <t>Smolderen, Peter</t>
        </is>
      </c>
      <c r="D143" s="4" t="inlineStr">
        <is>
          <t>SO</t>
        </is>
      </c>
      <c r="E143" s="4" t="n">
        <v>50</v>
      </c>
      <c r="F143" s="4" t="n">
        <v>7</v>
      </c>
      <c r="G143" s="7">
        <f>IF($D143="","",IFERROR(INDEX(Settings!$B$2:$B$7,MATCH(TRIM(CLEAN($D143)),Settings!$A$2:$A$7,0)),""))</f>
        <v/>
      </c>
      <c r="H143" s="7">
        <f>IF(OR($E143="",$G143=""),"",$E143*$G143)</f>
        <v/>
      </c>
      <c r="I143" s="7">
        <f>IF($F143="","",$F143*Settings!$B$9)</f>
        <v/>
      </c>
      <c r="J143" s="7">
        <f>IF($D143="","",IFERROR(INDEX(Settings!$C$2:$C$7,MATCH(TRIM(CLEAN($D143)),Settings!$A$2:$A$7,0)),""))</f>
        <v/>
      </c>
      <c r="K143" s="7">
        <f>IF(OR($H143="",$I143="",$J143=""),"",ROUND(($H143+$I143)*$J143,2))</f>
        <v/>
      </c>
      <c r="L143" t="n">
        <v>89.76000000000001</v>
      </c>
    </row>
    <row r="144" ht="14.25" customHeight="1">
      <c r="A144" s="44" t="n">
        <v>46144</v>
      </c>
      <c r="B144" s="4" t="n">
        <v>500</v>
      </c>
      <c r="C144" s="11" t="inlineStr">
        <is>
          <t>Kilpatrick, Brian</t>
        </is>
      </c>
      <c r="D144" s="4" t="inlineStr">
        <is>
          <t>SP</t>
        </is>
      </c>
      <c r="E144" s="4" t="n">
        <v>49</v>
      </c>
      <c r="F144" s="4" t="n">
        <v>7</v>
      </c>
      <c r="G144" s="7">
        <f>IF($D144="","",IFERROR(INDEX(Settings!$B$2:$B$7,MATCH(TRIM(CLEAN($D144)),Settings!$A$2:$A$7,0)),""))</f>
        <v/>
      </c>
      <c r="H144" s="7">
        <f>IF(OR($E144="",$G144=""),"",$E144*$G144)</f>
        <v/>
      </c>
      <c r="I144" s="7">
        <f>IF($F144="","",$F144*Settings!$B$9)</f>
        <v/>
      </c>
      <c r="J144" s="7">
        <f>IF($D144="","",IFERROR(INDEX(Settings!$C$2:$C$7,MATCH(TRIM(CLEAN($D144)),Settings!$A$2:$A$7,0)),""))</f>
        <v/>
      </c>
      <c r="K144" s="7">
        <f>IF(OR($H144="",$I144="",$J144=""),"",ROUND(($H144+$I144)*$J144,2))</f>
        <v/>
      </c>
      <c r="L144" t="n">
        <v>88.09999999999999</v>
      </c>
    </row>
    <row r="145" ht="14.25" customHeight="1">
      <c r="A145" s="44" t="n">
        <v>46144</v>
      </c>
      <c r="B145" s="4" t="n">
        <v>500</v>
      </c>
      <c r="C145" s="11" t="inlineStr">
        <is>
          <t>Hanna, John</t>
        </is>
      </c>
      <c r="D145" s="4" t="inlineStr">
        <is>
          <t>SP</t>
        </is>
      </c>
      <c r="E145" s="4" t="n">
        <v>49</v>
      </c>
      <c r="F145" s="4" t="n">
        <v>7</v>
      </c>
      <c r="G145" s="7">
        <f>IF($D145="","",IFERROR(INDEX(Settings!$B$2:$B$7,MATCH(TRIM(CLEAN($D145)),Settings!$A$2:$A$7,0)),""))</f>
        <v/>
      </c>
      <c r="H145" s="7">
        <f>IF(OR($E145="",$G145=""),"",$E145*$G145)</f>
        <v/>
      </c>
      <c r="I145" s="7">
        <f>IF($F145="","",$F145*Settings!$B$9)</f>
        <v/>
      </c>
      <c r="J145" s="7">
        <f>IF($D145="","",IFERROR(INDEX(Settings!$C$2:$C$7,MATCH(TRIM(CLEAN($D145)),Settings!$A$2:$A$7,0)),""))</f>
        <v/>
      </c>
      <c r="K145" s="7">
        <f>IF(OR($H145="",$I145="",$J145=""),"",ROUND(($H145+$I145)*$J145,2))</f>
        <v/>
      </c>
      <c r="L145" t="n">
        <v>88.09999999999999</v>
      </c>
    </row>
    <row r="146" ht="14.25" customHeight="1">
      <c r="A146" s="44" t="n">
        <v>46144</v>
      </c>
      <c r="B146" s="4" t="n">
        <v>500</v>
      </c>
      <c r="C146" s="11" t="inlineStr">
        <is>
          <t>Patto, Nick</t>
        </is>
      </c>
      <c r="D146" s="4" t="inlineStr">
        <is>
          <t>FO</t>
        </is>
      </c>
      <c r="E146" s="4" t="n">
        <v>59</v>
      </c>
      <c r="F146" s="4" t="n">
        <v>6</v>
      </c>
      <c r="G146" s="7">
        <f>IF($D146="","",IFERROR(INDEX(Settings!$B$2:$B$7,MATCH(TRIM(CLEAN($D146)),Settings!$A$2:$A$7,0)),""))</f>
        <v/>
      </c>
      <c r="H146" s="7">
        <f>IF(OR($E146="",$G146=""),"",$E146*$G146)</f>
        <v/>
      </c>
      <c r="I146" s="7">
        <f>IF($F146="","",$F146*Settings!$B$9)</f>
        <v/>
      </c>
      <c r="J146" s="7">
        <f>IF($D146="","",IFERROR(INDEX(Settings!$C$2:$C$7,MATCH(TRIM(CLEAN($D146)),Settings!$A$2:$A$7,0)),""))</f>
        <v/>
      </c>
      <c r="K146" s="7">
        <f>IF(OR($H146="",$I146="",$J146=""),"",ROUND(($H146+$I146)*$J146,2))</f>
        <v/>
      </c>
      <c r="L146" t="n">
        <v>88.86</v>
      </c>
    </row>
    <row r="147" ht="14.25" customHeight="1">
      <c r="A147" s="44" t="n">
        <v>46144</v>
      </c>
      <c r="B147" s="4" t="n">
        <v>500</v>
      </c>
      <c r="C147" s="11" t="inlineStr">
        <is>
          <t>Comerford, Dan</t>
        </is>
      </c>
      <c r="D147" s="4" t="inlineStr">
        <is>
          <t>SO</t>
        </is>
      </c>
      <c r="E147" s="4" t="n">
        <v>50</v>
      </c>
      <c r="F147" s="4" t="n">
        <v>6</v>
      </c>
      <c r="G147" s="7">
        <f>IF($D147="","",IFERROR(INDEX(Settings!$B$2:$B$7,MATCH(TRIM(CLEAN($D147)),Settings!$A$2:$A$7,0)),""))</f>
        <v/>
      </c>
      <c r="H147" s="7">
        <f>IF(OR($E147="",$G147=""),"",$E147*$G147)</f>
        <v/>
      </c>
      <c r="I147" s="7">
        <f>IF($F147="","",$F147*Settings!$B$9)</f>
        <v/>
      </c>
      <c r="J147" s="7">
        <f>IF($D147="","",IFERROR(INDEX(Settings!$C$2:$C$7,MATCH(TRIM(CLEAN($D147)),Settings!$A$2:$A$7,0)),""))</f>
        <v/>
      </c>
      <c r="K147" s="7">
        <f>IF(OR($H147="",$I147="",$J147=""),"",ROUND(($H147+$I147)*$J147,2))</f>
        <v/>
      </c>
      <c r="L147" t="n">
        <v>88.79000000000001</v>
      </c>
    </row>
    <row r="148" ht="14.25" customHeight="1">
      <c r="A148" s="44" t="n">
        <v>46144</v>
      </c>
      <c r="B148" s="4" t="n">
        <v>500</v>
      </c>
      <c r="C148" s="11" t="inlineStr">
        <is>
          <t>Cook, Andrew</t>
        </is>
      </c>
      <c r="D148" s="4" t="inlineStr">
        <is>
          <t>FS</t>
        </is>
      </c>
      <c r="E148" s="4" t="n">
        <v>57</v>
      </c>
      <c r="F148" s="4" t="n">
        <v>5</v>
      </c>
      <c r="G148" s="7">
        <f>IF($D148="","",IFERROR(INDEX(Settings!$B$2:$B$7,MATCH(TRIM(CLEAN($D148)),Settings!$A$2:$A$7,0)),""))</f>
        <v/>
      </c>
      <c r="H148" s="7">
        <f>IF(OR($E148="",$G148=""),"",$E148*$G148)</f>
        <v/>
      </c>
      <c r="I148" s="7">
        <f>IF($F148="","",$F148*Settings!$B$9)</f>
        <v/>
      </c>
      <c r="J148" s="7">
        <f>IF($D148="","",IFERROR(INDEX(Settings!$C$2:$C$7,MATCH(TRIM(CLEAN($D148)),Settings!$A$2:$A$7,0)),""))</f>
        <v/>
      </c>
      <c r="K148" s="7">
        <f>IF(OR($H148="",$I148="",$J148=""),"",ROUND(($H148+$I148)*$J148,2))</f>
        <v/>
      </c>
      <c r="L148" t="n">
        <v>89.23999999999999</v>
      </c>
    </row>
    <row r="149" ht="14.25" customHeight="1">
      <c r="A149" s="44" t="n">
        <v>46144</v>
      </c>
      <c r="B149" s="4" t="n">
        <v>500</v>
      </c>
      <c r="C149" s="11" t="inlineStr">
        <is>
          <t>Staley, Eric</t>
        </is>
      </c>
      <c r="D149" s="4" t="inlineStr">
        <is>
          <t>SO</t>
        </is>
      </c>
      <c r="E149" s="4" t="n">
        <v>45</v>
      </c>
      <c r="F149" s="4" t="n">
        <v>5</v>
      </c>
      <c r="G149" s="7">
        <f>IF($D149="","",IFERROR(INDEX(Settings!$B$2:$B$7,MATCH(TRIM(CLEAN($D149)),Settings!$A$2:$A$7,0)),""))</f>
        <v/>
      </c>
      <c r="H149" s="7">
        <f>IF(OR($E149="",$G149=""),"",$E149*$G149)</f>
        <v/>
      </c>
      <c r="I149" s="7">
        <f>IF($F149="","",$F149*Settings!$B$9)</f>
        <v/>
      </c>
      <c r="J149" s="7">
        <f>IF($D149="","",IFERROR(INDEX(Settings!$C$2:$C$7,MATCH(TRIM(CLEAN($D149)),Settings!$A$2:$A$7,0)),""))</f>
        <v/>
      </c>
      <c r="K149" s="7">
        <f>IF(OR($H149="",$I149="",$J149=""),"",ROUND(($H149+$I149)*$J149,2))</f>
        <v/>
      </c>
      <c r="L149" t="n">
        <v>79.52</v>
      </c>
    </row>
    <row r="150" ht="14.25" customHeight="1">
      <c r="A150" s="44" t="n">
        <v>46144</v>
      </c>
      <c r="B150" s="4" t="n">
        <v>500</v>
      </c>
      <c r="C150" s="11" t="inlineStr">
        <is>
          <t>Toh, Keith</t>
        </is>
      </c>
      <c r="D150" s="4" t="inlineStr">
        <is>
          <t>TR</t>
        </is>
      </c>
      <c r="E150" s="4" t="n">
        <v>50</v>
      </c>
      <c r="F150" s="4" t="n">
        <v>4</v>
      </c>
      <c r="G150" s="7">
        <f>IF($D150="","",IFERROR(INDEX(Settings!$B$2:$B$7,MATCH(TRIM(CLEAN($D150)),Settings!$A$2:$A$7,0)),""))</f>
        <v/>
      </c>
      <c r="H150" s="7">
        <f>IF(OR($E150="",$G150=""),"",$E150*$G150)</f>
        <v/>
      </c>
      <c r="I150" s="7">
        <f>IF($F150="","",$F150*Settings!$B$9)</f>
        <v/>
      </c>
      <c r="J150" s="7">
        <f>IF($D150="","",IFERROR(INDEX(Settings!$C$2:$C$7,MATCH(TRIM(CLEAN($D150)),Settings!$A$2:$A$7,0)),""))</f>
        <v/>
      </c>
      <c r="K150" s="7">
        <f>IF(OR($H150="",$I150="",$J150=""),"",ROUND(($H150+$I150)*$J150,2))</f>
        <v/>
      </c>
      <c r="L150" t="n">
        <v>88.67</v>
      </c>
    </row>
    <row r="151" ht="14.25" customHeight="1">
      <c r="A151" s="44" t="n">
        <v>46144</v>
      </c>
      <c r="B151" s="4" t="n">
        <v>500</v>
      </c>
      <c r="C151" s="11" t="inlineStr">
        <is>
          <t>Hemkes, Rudy</t>
        </is>
      </c>
      <c r="D151" s="4" t="inlineStr">
        <is>
          <t>SO</t>
        </is>
      </c>
      <c r="E151" s="4" t="n">
        <v>49</v>
      </c>
      <c r="F151" s="4" t="n">
        <v>4</v>
      </c>
      <c r="G151" s="7">
        <f>IF($D151="","",IFERROR(INDEX(Settings!$B$2:$B$7,MATCH(TRIM(CLEAN($D151)),Settings!$A$2:$A$7,0)),""))</f>
        <v/>
      </c>
      <c r="H151" s="7">
        <f>IF(OR($E151="",$G151=""),"",$E151*$G151)</f>
        <v/>
      </c>
      <c r="I151" s="7">
        <f>IF($F151="","",$F151*Settings!$B$9)</f>
        <v/>
      </c>
      <c r="J151" s="7">
        <f>IF($D151="","",IFERROR(INDEX(Settings!$C$2:$C$7,MATCH(TRIM(CLEAN($D151)),Settings!$A$2:$A$7,0)),""))</f>
        <v/>
      </c>
      <c r="K151" s="7">
        <f>IF(OR($H151="",$I151="",$J151=""),"",ROUND(($H151+$I151)*$J151,2))</f>
        <v/>
      </c>
      <c r="L151" t="n">
        <v>85.19</v>
      </c>
    </row>
    <row r="152" ht="14.25" customHeight="1">
      <c r="A152" s="44" t="n">
        <v>46144</v>
      </c>
      <c r="B152" s="4" t="n">
        <v>500</v>
      </c>
      <c r="C152" s="11" t="inlineStr">
        <is>
          <t>Chay, Tony</t>
        </is>
      </c>
      <c r="D152" s="4" t="inlineStr">
        <is>
          <t>SP</t>
        </is>
      </c>
      <c r="E152" s="4" t="n">
        <v>49</v>
      </c>
      <c r="F152" s="4" t="n">
        <v>4</v>
      </c>
      <c r="G152" s="7">
        <f>IF($D152="","",IFERROR(INDEX(Settings!$B$2:$B$7,MATCH(TRIM(CLEAN($D152)),Settings!$A$2:$A$7,0)),""))</f>
        <v/>
      </c>
      <c r="H152" s="7">
        <f>IF(OR($E152="",$G152=""),"",$E152*$G152)</f>
        <v/>
      </c>
      <c r="I152" s="7">
        <f>IF($F152="","",$F152*Settings!$B$9)</f>
        <v/>
      </c>
      <c r="J152" s="7">
        <f>IF($D152="","",IFERROR(INDEX(Settings!$C$2:$C$7,MATCH(TRIM(CLEAN($D152)),Settings!$A$2:$A$7,0)),""))</f>
        <v/>
      </c>
      <c r="K152" s="7">
        <f>IF(OR($H152="",$I152="",$J152=""),"",ROUND(($H152+$I152)*$J152,2))</f>
        <v/>
      </c>
      <c r="L152" t="n">
        <v>85.19</v>
      </c>
    </row>
    <row r="153" ht="14.25" customHeight="1">
      <c r="A153" s="44" t="n">
        <v>46144</v>
      </c>
      <c r="B153" s="4" t="n">
        <v>500</v>
      </c>
      <c r="C153" s="11" t="inlineStr">
        <is>
          <t>Heath, David</t>
        </is>
      </c>
      <c r="D153" s="4" t="inlineStr">
        <is>
          <t>TR</t>
        </is>
      </c>
      <c r="E153" s="4" t="n">
        <v>49</v>
      </c>
      <c r="F153" s="4" t="n">
        <v>4</v>
      </c>
      <c r="G153" s="7">
        <f>IF($D153="","",IFERROR(INDEX(Settings!$B$2:$B$7,MATCH(TRIM(CLEAN($D153)),Settings!$A$2:$A$7,0)),""))</f>
        <v/>
      </c>
      <c r="H153" s="7">
        <f>IF(OR($E153="",$G153=""),"",$E153*$G153)</f>
        <v/>
      </c>
      <c r="I153" s="7">
        <f>IF($F153="","",$F153*Settings!$B$9)</f>
        <v/>
      </c>
      <c r="J153" s="7">
        <f>IF($D153="","",IFERROR(INDEX(Settings!$C$2:$C$7,MATCH(TRIM(CLEAN($D153)),Settings!$A$2:$A$7,0)),""))</f>
        <v/>
      </c>
      <c r="K153" s="7">
        <f>IF(OR($H153="",$I153="",$J153=""),"",ROUND(($H153+$I153)*$J153,2))</f>
        <v/>
      </c>
      <c r="L153" t="n">
        <v>86.98</v>
      </c>
    </row>
    <row r="154" ht="14.25" customHeight="1">
      <c r="A154" s="44" t="n">
        <v>46144</v>
      </c>
      <c r="B154" s="4" t="n">
        <v>500</v>
      </c>
      <c r="C154" s="11" t="inlineStr">
        <is>
          <t>Lake, Mitch</t>
        </is>
      </c>
      <c r="D154" s="4" t="inlineStr">
        <is>
          <t>SP</t>
        </is>
      </c>
      <c r="E154" s="4" t="n">
        <v>47</v>
      </c>
      <c r="F154" s="4" t="n">
        <v>4</v>
      </c>
      <c r="G154" s="7">
        <f>IF($D154="","",IFERROR(INDEX(Settings!$B$2:$B$7,MATCH(TRIM(CLEAN($D154)),Settings!$A$2:$A$7,0)),""))</f>
        <v/>
      </c>
      <c r="H154" s="7">
        <f>IF(OR($E154="",$G154=""),"",$E154*$G154)</f>
        <v/>
      </c>
      <c r="I154" s="7">
        <f>IF($F154="","",$F154*Settings!$B$9)</f>
        <v/>
      </c>
      <c r="J154" s="7">
        <f>IF($D154="","",IFERROR(INDEX(Settings!$C$2:$C$7,MATCH(TRIM(CLEAN($D154)),Settings!$A$2:$A$7,0)),""))</f>
        <v/>
      </c>
      <c r="K154" s="7">
        <f>IF(OR($H154="",$I154="",$J154=""),"",ROUND(($H154+$I154)*$J154,2))</f>
        <v/>
      </c>
      <c r="L154" t="n">
        <v>81.87</v>
      </c>
    </row>
    <row r="155" ht="14.25" customHeight="1">
      <c r="A155" s="44" t="n">
        <v>46144</v>
      </c>
      <c r="B155" s="4" t="n">
        <v>500</v>
      </c>
      <c r="C155" s="11" t="inlineStr">
        <is>
          <t>Porter, Stephen</t>
        </is>
      </c>
      <c r="D155" s="4" t="inlineStr">
        <is>
          <t>FTR</t>
        </is>
      </c>
      <c r="E155" s="4" t="n">
        <v>54</v>
      </c>
      <c r="F155" s="4" t="n">
        <v>3</v>
      </c>
      <c r="G155" s="7">
        <f>IF($D155="","",IFERROR(INDEX(Settings!$B$2:$B$7,MATCH(TRIM(CLEAN($D155)),Settings!$A$2:$A$7,0)),""))</f>
        <v/>
      </c>
      <c r="H155" s="7">
        <f>IF(OR($E155="",$G155=""),"",$E155*$G155)</f>
        <v/>
      </c>
      <c r="I155" s="7">
        <f>IF($F155="","",$F155*Settings!$B$9)</f>
        <v/>
      </c>
      <c r="J155" s="7">
        <f>IF($D155="","",IFERROR(INDEX(Settings!$C$2:$C$7,MATCH(TRIM(CLEAN($D155)),Settings!$A$2:$A$7,0)),""))</f>
        <v/>
      </c>
      <c r="K155" s="7">
        <f>IF(OR($H155="",$I155="",$J155=""),"",ROUND(($H155+$I155)*$J155,2))</f>
        <v/>
      </c>
      <c r="L155" t="n">
        <v>81.34</v>
      </c>
    </row>
    <row r="156" ht="14.25" customHeight="1">
      <c r="A156" s="44" t="n">
        <v>46144</v>
      </c>
      <c r="B156" s="4" t="n">
        <v>500</v>
      </c>
      <c r="C156" s="11" t="inlineStr">
        <is>
          <t>Austin, Bill</t>
        </is>
      </c>
      <c r="D156" s="4" t="inlineStr">
        <is>
          <t>SP</t>
        </is>
      </c>
      <c r="E156" s="4" t="n">
        <v>47</v>
      </c>
      <c r="F156" s="4" t="n">
        <v>3</v>
      </c>
      <c r="G156" s="7">
        <f>IF($D156="","",IFERROR(INDEX(Settings!$B$2:$B$7,MATCH(TRIM(CLEAN($D156)),Settings!$A$2:$A$7,0)),""))</f>
        <v/>
      </c>
      <c r="H156" s="7">
        <f>IF(OR($E156="",$G156=""),"",$E156*$G156)</f>
        <v/>
      </c>
      <c r="I156" s="7">
        <f>IF($F156="","",$F156*Settings!$B$9)</f>
        <v/>
      </c>
      <c r="J156" s="7">
        <f>IF($D156="","",IFERROR(INDEX(Settings!$C$2:$C$7,MATCH(TRIM(CLEAN($D156)),Settings!$A$2:$A$7,0)),""))</f>
        <v/>
      </c>
      <c r="K156" s="7">
        <f>IF(OR($H156="",$I156="",$J156=""),"",ROUND(($H156+$I156)*$J156,2))</f>
        <v/>
      </c>
      <c r="L156" t="n">
        <v>80.91</v>
      </c>
    </row>
    <row r="157" ht="14.25" customHeight="1">
      <c r="A157" s="44" t="n">
        <v>46144</v>
      </c>
      <c r="B157" s="4" t="n">
        <v>500</v>
      </c>
      <c r="C157" s="11" t="inlineStr">
        <is>
          <t>Gwyn, Stephen</t>
        </is>
      </c>
      <c r="D157" s="4" t="inlineStr">
        <is>
          <t>TR</t>
        </is>
      </c>
      <c r="E157" s="4" t="n">
        <v>47</v>
      </c>
      <c r="F157" s="4" t="n">
        <v>2</v>
      </c>
      <c r="G157" s="7">
        <f>IF($D157="","",IFERROR(INDEX(Settings!$B$2:$B$7,MATCH(TRIM(CLEAN($D157)),Settings!$A$2:$A$7,0)),""))</f>
        <v/>
      </c>
      <c r="H157" s="7">
        <f>IF(OR($E157="",$G157=""),"",$E157*$G157)</f>
        <v/>
      </c>
      <c r="I157" s="7">
        <f>IF($F157="","",$F157*Settings!$B$9)</f>
        <v/>
      </c>
      <c r="J157" s="7">
        <f>IF($D157="","",IFERROR(INDEX(Settings!$C$2:$C$7,MATCH(TRIM(CLEAN($D157)),Settings!$A$2:$A$7,0)),""))</f>
        <v/>
      </c>
      <c r="K157" s="7">
        <f>IF(OR($H157="",$I157="",$J157=""),"",ROUND(($H157+$I157)*$J157,2))</f>
        <v/>
      </c>
      <c r="L157" t="n">
        <v>81.61</v>
      </c>
    </row>
    <row r="158" ht="14.25" customHeight="1">
      <c r="A158" s="44" t="n">
        <v>46144</v>
      </c>
      <c r="B158" s="4" t="n">
        <v>500</v>
      </c>
      <c r="C158" s="11" t="inlineStr">
        <is>
          <t>Beretta, Chris</t>
        </is>
      </c>
      <c r="D158" s="4" t="inlineStr">
        <is>
          <t>FO</t>
        </is>
      </c>
      <c r="E158" s="4" t="n">
        <v>57</v>
      </c>
      <c r="F158" s="4" t="n">
        <v>1</v>
      </c>
      <c r="G158" s="7">
        <f>IF($D158="","",IFERROR(INDEX(Settings!$B$2:$B$7,MATCH(TRIM(CLEAN($D158)),Settings!$A$2:$A$7,0)),""))</f>
        <v/>
      </c>
      <c r="H158" s="7">
        <f>IF(OR($E158="",$G158=""),"",$E158*$G158)</f>
        <v/>
      </c>
      <c r="I158" s="7">
        <f>IF($F158="","",$F158*Settings!$B$9)</f>
        <v/>
      </c>
      <c r="J158" s="7">
        <f>IF($D158="","",IFERROR(INDEX(Settings!$C$2:$C$7,MATCH(TRIM(CLEAN($D158)),Settings!$A$2:$A$7,0)),""))</f>
        <v/>
      </c>
      <c r="K158" s="7">
        <f>IF(OR($H158="",$I158="",$J158=""),"",ROUND(($H158+$I158)*$J158,2))</f>
        <v/>
      </c>
      <c r="L158" t="n">
        <v>81.13</v>
      </c>
    </row>
    <row r="159" ht="14.25" customHeight="1">
      <c r="A159" s="44" t="n">
        <v>46144</v>
      </c>
      <c r="B159" s="4" t="n">
        <v>500</v>
      </c>
      <c r="C159" s="11" t="inlineStr">
        <is>
          <t>Shepherd, David</t>
        </is>
      </c>
      <c r="D159" s="4" t="inlineStr">
        <is>
          <t>FS</t>
        </is>
      </c>
      <c r="E159" s="4" t="n">
        <v>56</v>
      </c>
      <c r="F159" s="4" t="n">
        <v>1</v>
      </c>
      <c r="G159" s="7">
        <f>IF($D159="","",IFERROR(INDEX(Settings!$B$2:$B$7,MATCH(TRIM(CLEAN($D159)),Settings!$A$2:$A$7,0)),""))</f>
        <v/>
      </c>
      <c r="H159" s="7">
        <f>IF(OR($E159="",$G159=""),"",$E159*$G159)</f>
        <v/>
      </c>
      <c r="I159" s="7">
        <f>IF($F159="","",$F159*Settings!$B$9)</f>
        <v/>
      </c>
      <c r="J159" s="7">
        <f>IF($D159="","",IFERROR(INDEX(Settings!$C$2:$C$7,MATCH(TRIM(CLEAN($D159)),Settings!$A$2:$A$7,0)),""))</f>
        <v/>
      </c>
      <c r="K159" s="7">
        <f>IF(OR($H159="",$I159="",$J159=""),"",ROUND(($H159+$I159)*$J159,2))</f>
        <v/>
      </c>
      <c r="L159" t="n">
        <v>83.63</v>
      </c>
    </row>
    <row r="160" ht="14.25" customHeight="1">
      <c r="A160" s="44" t="n">
        <v>46144</v>
      </c>
      <c r="B160" s="4" t="n">
        <v>500</v>
      </c>
      <c r="C160" s="11" t="inlineStr">
        <is>
          <t>Donnelly, Lisa</t>
        </is>
      </c>
      <c r="D160" s="4" t="inlineStr">
        <is>
          <t>FS</t>
        </is>
      </c>
      <c r="E160" s="4" t="n">
        <v>57</v>
      </c>
      <c r="F160" s="4" t="n">
        <v>0</v>
      </c>
      <c r="G160" s="7">
        <f>IF($D160="","",IFERROR(INDEX(Settings!$B$2:$B$7,MATCH(TRIM(CLEAN($D160)),Settings!$A$2:$A$7,0)),""))</f>
        <v/>
      </c>
      <c r="H160" s="7">
        <f>IF(OR($E160="",$G160=""),"",$E160*$G160)</f>
        <v/>
      </c>
      <c r="I160" s="7">
        <f>IF($F160="","",$F160*Settings!$B$9)</f>
        <v/>
      </c>
      <c r="J160" s="7">
        <f>IF($D160="","",IFERROR(INDEX(Settings!$C$2:$C$7,MATCH(TRIM(CLEAN($D160)),Settings!$A$2:$A$7,0)),""))</f>
        <v/>
      </c>
      <c r="K160" s="7">
        <f>IF(OR($H160="",$I160="",$J160=""),"",ROUND(($H160+$I160)*$J160,2))</f>
        <v/>
      </c>
      <c r="L160" t="n">
        <v>84.08</v>
      </c>
    </row>
    <row r="161" ht="14.25" customHeight="1">
      <c r="A161" s="44" t="n">
        <v>46144</v>
      </c>
      <c r="B161" s="4" t="n">
        <v>500</v>
      </c>
      <c r="C161" s="11" t="inlineStr">
        <is>
          <t>Poynton, Bill</t>
        </is>
      </c>
      <c r="D161" s="4" t="inlineStr">
        <is>
          <t>TR</t>
        </is>
      </c>
      <c r="E161" s="4" t="n">
        <v>0</v>
      </c>
      <c r="F161" s="4" t="n">
        <v>0</v>
      </c>
      <c r="G161" s="7">
        <f>IF($D161="","",IFERROR(INDEX(Settings!$B$2:$B$7,MATCH(TRIM(CLEAN($D161)),Settings!$A$2:$A$7,0)),""))</f>
        <v/>
      </c>
      <c r="H161" s="7">
        <f>IF(OR($E161="",$G161=""),"",$E161*$G161)</f>
        <v/>
      </c>
      <c r="I161" s="7">
        <f>IF($F161="","",$F161*Settings!$B$9)</f>
        <v/>
      </c>
      <c r="J161" s="7">
        <f>IF($D161="","",IFERROR(INDEX(Settings!$C$2:$C$7,MATCH(TRIM(CLEAN($D161)),Settings!$A$2:$A$7,0)),""))</f>
        <v/>
      </c>
      <c r="K161" s="7">
        <f>IF(OR($H161="",$I161="",$J161=""),"",ROUND(($H161+$I161)*$J161,2))</f>
        <v/>
      </c>
      <c r="L161" t="n">
        <v>0</v>
      </c>
    </row>
    <row r="162" ht="14.25" customHeight="1">
      <c r="A162" s="44" t="n">
        <v>46144</v>
      </c>
      <c r="B162" s="4" t="n">
        <v>500</v>
      </c>
      <c r="C162" s="11" t="inlineStr">
        <is>
          <t>Gierer, Gerald</t>
        </is>
      </c>
      <c r="D162" s="4" t="inlineStr">
        <is>
          <t>SO</t>
        </is>
      </c>
      <c r="E162" s="4" t="n">
        <v>0</v>
      </c>
      <c r="F162" s="4" t="n">
        <v>0</v>
      </c>
      <c r="G162" s="7">
        <f>IF($D162="","",IFERROR(INDEX(Settings!$B$2:$B$7,MATCH(TRIM(CLEAN($D162)),Settings!$A$2:$A$7,0)),""))</f>
        <v/>
      </c>
      <c r="H162" s="7">
        <f>IF(OR($E162="",$G162=""),"",$E162*$G162)</f>
        <v/>
      </c>
      <c r="I162" s="7">
        <f>IF($F162="","",$F162*Settings!$B$9)</f>
        <v/>
      </c>
      <c r="J162" s="7">
        <f>IF($D162="","",IFERROR(INDEX(Settings!$C$2:$C$7,MATCH(TRIM(CLEAN($D162)),Settings!$A$2:$A$7,0)),""))</f>
        <v/>
      </c>
      <c r="K162" s="7">
        <f>IF(OR($H162="",$I162="",$J162=""),"",ROUND(($H162+$I162)*$J162,2))</f>
        <v/>
      </c>
      <c r="L162" t="n">
        <v>0</v>
      </c>
    </row>
    <row r="163" ht="14.25" customHeight="1">
      <c r="A163" s="44" t="n">
        <v>46144</v>
      </c>
      <c r="B163" s="4" t="n">
        <v>800</v>
      </c>
      <c r="C163" s="11" t="inlineStr">
        <is>
          <t>Kilpatrick, Brian</t>
        </is>
      </c>
      <c r="D163" s="4" t="inlineStr">
        <is>
          <t>SP</t>
        </is>
      </c>
      <c r="E163" s="4" t="n">
        <v>50</v>
      </c>
      <c r="F163" s="4" t="n">
        <v>6</v>
      </c>
      <c r="G163" s="7">
        <f>IF($D163="","",IFERROR(INDEX(Settings!$B$2:$B$7,MATCH(TRIM(CLEAN($D163)),Settings!$A$2:$A$7,0)),""))</f>
        <v/>
      </c>
      <c r="H163" s="7">
        <f>IF(OR($E163="",$G163=""),"",$E163*$G163)</f>
        <v/>
      </c>
      <c r="I163" s="7">
        <f>IF($F163="","",$F163*Settings!$B$9)</f>
        <v/>
      </c>
      <c r="J163" s="7">
        <f>IF($D163="","",IFERROR(INDEX(Settings!$C$2:$C$7,MATCH(TRIM(CLEAN($D163)),Settings!$A$2:$A$7,0)),""))</f>
        <v/>
      </c>
      <c r="K163" s="7">
        <f>IF(OR($H163="",$I163="",$J163=""),"",ROUND(($H163+$I163)*$J163,2))</f>
        <v/>
      </c>
      <c r="L163" t="n">
        <v>88.79000000000001</v>
      </c>
    </row>
    <row r="164" ht="14.25" customHeight="1">
      <c r="A164" s="44" t="n">
        <v>46144</v>
      </c>
      <c r="B164" s="4" t="n">
        <v>800</v>
      </c>
      <c r="C164" s="11" t="inlineStr">
        <is>
          <t>Staley, Eric</t>
        </is>
      </c>
      <c r="D164" s="4" t="inlineStr">
        <is>
          <t>SO</t>
        </is>
      </c>
      <c r="E164" s="4" t="n">
        <v>50</v>
      </c>
      <c r="F164" s="4" t="n">
        <v>6</v>
      </c>
      <c r="G164" s="7">
        <f>IF($D164="","",IFERROR(INDEX(Settings!$B$2:$B$7,MATCH(TRIM(CLEAN($D164)),Settings!$A$2:$A$7,0)),""))</f>
        <v/>
      </c>
      <c r="H164" s="7">
        <f>IF(OR($E164="",$G164=""),"",$E164*$G164)</f>
        <v/>
      </c>
      <c r="I164" s="7">
        <f>IF($F164="","",$F164*Settings!$B$9)</f>
        <v/>
      </c>
      <c r="J164" s="7">
        <f>IF($D164="","",IFERROR(INDEX(Settings!$C$2:$C$7,MATCH(TRIM(CLEAN($D164)),Settings!$A$2:$A$7,0)),""))</f>
        <v/>
      </c>
      <c r="K164" s="7">
        <f>IF(OR($H164="",$I164="",$J164=""),"",ROUND(($H164+$I164)*$J164,2))</f>
        <v/>
      </c>
      <c r="L164" t="n">
        <v>88.79000000000001</v>
      </c>
    </row>
    <row r="165" ht="14.25" customHeight="1">
      <c r="A165" s="44" t="n">
        <v>46144</v>
      </c>
      <c r="B165" s="4" t="n">
        <v>800</v>
      </c>
      <c r="C165" s="11" t="inlineStr">
        <is>
          <t>Poynton, Bill</t>
        </is>
      </c>
      <c r="D165" s="4" t="inlineStr">
        <is>
          <t>TR</t>
        </is>
      </c>
      <c r="E165" s="4" t="n">
        <v>47</v>
      </c>
      <c r="F165" s="4" t="n">
        <v>6</v>
      </c>
      <c r="G165" s="7">
        <f>IF($D165="","",IFERROR(INDEX(Settings!$B$2:$B$7,MATCH(TRIM(CLEAN($D165)),Settings!$A$2:$A$7,0)),""))</f>
        <v/>
      </c>
      <c r="H165" s="7">
        <f>IF(OR($E165="",$G165=""),"",$E165*$G165)</f>
        <v/>
      </c>
      <c r="I165" s="7">
        <f>IF($F165="","",$F165*Settings!$B$9)</f>
        <v/>
      </c>
      <c r="J165" s="7">
        <f>IF($D165="","",IFERROR(INDEX(Settings!$C$2:$C$7,MATCH(TRIM(CLEAN($D165)),Settings!$A$2:$A$7,0)),""))</f>
        <v/>
      </c>
      <c r="K165" s="7">
        <f>IF(OR($H165="",$I165="",$J165=""),"",ROUND(($H165+$I165)*$J165,2))</f>
        <v/>
      </c>
      <c r="L165" t="n">
        <v>85.56999999999999</v>
      </c>
    </row>
    <row r="166" ht="14.25" customHeight="1">
      <c r="A166" s="44" t="n">
        <v>46144</v>
      </c>
      <c r="B166" s="4" t="n">
        <v>800</v>
      </c>
      <c r="C166" s="11" t="inlineStr">
        <is>
          <t>Patto, Nick</t>
        </is>
      </c>
      <c r="D166" s="4" t="inlineStr">
        <is>
          <t>FO</t>
        </is>
      </c>
      <c r="E166" s="4" t="n">
        <v>58</v>
      </c>
      <c r="F166" s="4" t="n">
        <v>5</v>
      </c>
      <c r="G166" s="7">
        <f>IF($D166="","",IFERROR(INDEX(Settings!$B$2:$B$7,MATCH(TRIM(CLEAN($D166)),Settings!$A$2:$A$7,0)),""))</f>
        <v/>
      </c>
      <c r="H166" s="7">
        <f>IF(OR($E166="",$G166=""),"",$E166*$G166)</f>
        <v/>
      </c>
      <c r="I166" s="7">
        <f>IF($F166="","",$F166*Settings!$B$9)</f>
        <v/>
      </c>
      <c r="J166" s="7">
        <f>IF($D166="","",IFERROR(INDEX(Settings!$C$2:$C$7,MATCH(TRIM(CLEAN($D166)),Settings!$A$2:$A$7,0)),""))</f>
        <v/>
      </c>
      <c r="K166" s="7">
        <f>IF(OR($H166="",$I166="",$J166=""),"",ROUND(($H166+$I166)*$J166,2))</f>
        <v/>
      </c>
      <c r="L166" t="n">
        <v>86.47</v>
      </c>
    </row>
    <row r="167" ht="14.25" customHeight="1">
      <c r="A167" s="44" t="n">
        <v>46144</v>
      </c>
      <c r="B167" s="4" t="n">
        <v>800</v>
      </c>
      <c r="C167" s="11" t="inlineStr">
        <is>
          <t>Comerford, Dan</t>
        </is>
      </c>
      <c r="D167" s="4" t="inlineStr">
        <is>
          <t>SO</t>
        </is>
      </c>
      <c r="E167" s="4" t="n">
        <v>50</v>
      </c>
      <c r="F167" s="4" t="n">
        <v>5</v>
      </c>
      <c r="G167" s="7">
        <f>IF($D167="","",IFERROR(INDEX(Settings!$B$2:$B$7,MATCH(TRIM(CLEAN($D167)),Settings!$A$2:$A$7,0)),""))</f>
        <v/>
      </c>
      <c r="H167" s="7">
        <f>IF(OR($E167="",$G167=""),"",$E167*$G167)</f>
        <v/>
      </c>
      <c r="I167" s="7">
        <f>IF($F167="","",$F167*Settings!$B$9)</f>
        <v/>
      </c>
      <c r="J167" s="7">
        <f>IF($D167="","",IFERROR(INDEX(Settings!$C$2:$C$7,MATCH(TRIM(CLEAN($D167)),Settings!$A$2:$A$7,0)),""))</f>
        <v/>
      </c>
      <c r="K167" s="7">
        <f>IF(OR($H167="",$I167="",$J167=""),"",ROUND(($H167+$I167)*$J167,2))</f>
        <v/>
      </c>
      <c r="L167" t="n">
        <v>87.81999999999999</v>
      </c>
    </row>
    <row r="168" ht="14.25" customHeight="1">
      <c r="A168" s="44" t="n">
        <v>46144</v>
      </c>
      <c r="B168" s="4" t="n">
        <v>800</v>
      </c>
      <c r="C168" s="11" t="inlineStr">
        <is>
          <t>Hemkes, Rudy</t>
        </is>
      </c>
      <c r="D168" s="4" t="inlineStr">
        <is>
          <t>SO</t>
        </is>
      </c>
      <c r="E168" s="4" t="n">
        <v>49</v>
      </c>
      <c r="F168" s="4" t="n">
        <v>5</v>
      </c>
      <c r="G168" s="7">
        <f>IF($D168="","",IFERROR(INDEX(Settings!$B$2:$B$7,MATCH(TRIM(CLEAN($D168)),Settings!$A$2:$A$7,0)),""))</f>
        <v/>
      </c>
      <c r="H168" s="7">
        <f>IF(OR($E168="",$G168=""),"",$E168*$G168)</f>
        <v/>
      </c>
      <c r="I168" s="7">
        <f>IF($F168="","",$F168*Settings!$B$9)</f>
        <v/>
      </c>
      <c r="J168" s="7">
        <f>IF($D168="","",IFERROR(INDEX(Settings!$C$2:$C$7,MATCH(TRIM(CLEAN($D168)),Settings!$A$2:$A$7,0)),""))</f>
        <v/>
      </c>
      <c r="K168" s="7">
        <f>IF(OR($H168="",$I168="",$J168=""),"",ROUND(($H168+$I168)*$J168,2))</f>
        <v/>
      </c>
      <c r="L168" t="n">
        <v>86.16</v>
      </c>
    </row>
    <row r="169" ht="14.25" customHeight="1">
      <c r="A169" s="44" t="n">
        <v>46144</v>
      </c>
      <c r="B169" s="4" t="n">
        <v>800</v>
      </c>
      <c r="C169" s="11" t="inlineStr">
        <is>
          <t>Toh, Keith</t>
        </is>
      </c>
      <c r="D169" s="4" t="inlineStr">
        <is>
          <t>TR</t>
        </is>
      </c>
      <c r="E169" s="4" t="n">
        <v>50</v>
      </c>
      <c r="F169" s="4" t="n">
        <v>4</v>
      </c>
      <c r="G169" s="7">
        <f>IF($D169="","",IFERROR(INDEX(Settings!$B$2:$B$7,MATCH(TRIM(CLEAN($D169)),Settings!$A$2:$A$7,0)),""))</f>
        <v/>
      </c>
      <c r="H169" s="7">
        <f>IF(OR($E169="",$G169=""),"",$E169*$G169)</f>
        <v/>
      </c>
      <c r="I169" s="7">
        <f>IF($F169="","",$F169*Settings!$B$9)</f>
        <v/>
      </c>
      <c r="J169" s="7">
        <f>IF($D169="","",IFERROR(INDEX(Settings!$C$2:$C$7,MATCH(TRIM(CLEAN($D169)),Settings!$A$2:$A$7,0)),""))</f>
        <v/>
      </c>
      <c r="K169" s="7">
        <f>IF(OR($H169="",$I169="",$J169=""),"",ROUND(($H169+$I169)*$J169,2))</f>
        <v/>
      </c>
      <c r="L169" t="n">
        <v>88.67</v>
      </c>
    </row>
    <row r="170" ht="14.25" customHeight="1">
      <c r="A170" s="44" t="n">
        <v>46144</v>
      </c>
      <c r="B170" s="4" t="n">
        <v>800</v>
      </c>
      <c r="C170" s="11" t="inlineStr">
        <is>
          <t>Beretta, Chris</t>
        </is>
      </c>
      <c r="D170" s="4" t="inlineStr">
        <is>
          <t>FO</t>
        </is>
      </c>
      <c r="E170" s="4" t="n">
        <v>58</v>
      </c>
      <c r="F170" s="4" t="n">
        <v>3</v>
      </c>
      <c r="G170" s="7">
        <f>IF($D170="","",IFERROR(INDEX(Settings!$B$2:$B$7,MATCH(TRIM(CLEAN($D170)),Settings!$A$2:$A$7,0)),""))</f>
        <v/>
      </c>
      <c r="H170" s="7">
        <f>IF(OR($E170="",$G170=""),"",$E170*$G170)</f>
        <v/>
      </c>
      <c r="I170" s="7">
        <f>IF($F170="","",$F170*Settings!$B$9)</f>
        <v/>
      </c>
      <c r="J170" s="7">
        <f>IF($D170="","",IFERROR(INDEX(Settings!$C$2:$C$7,MATCH(TRIM(CLEAN($D170)),Settings!$A$2:$A$7,0)),""))</f>
        <v/>
      </c>
      <c r="K170" s="7">
        <f>IF(OR($H170="",$I170="",$J170=""),"",ROUND(($H170+$I170)*$J170,2))</f>
        <v/>
      </c>
      <c r="L170" t="n">
        <v>84.5</v>
      </c>
    </row>
    <row r="171" ht="14.25" customHeight="1">
      <c r="A171" s="44" t="n">
        <v>46144</v>
      </c>
      <c r="B171" s="4" t="n">
        <v>800</v>
      </c>
      <c r="C171" s="11" t="inlineStr">
        <is>
          <t>Cook, Andrew</t>
        </is>
      </c>
      <c r="D171" s="4" t="inlineStr">
        <is>
          <t>FS</t>
        </is>
      </c>
      <c r="E171" s="4" t="n">
        <v>57</v>
      </c>
      <c r="F171" s="4" t="n">
        <v>3</v>
      </c>
      <c r="G171" s="7">
        <f>IF($D171="","",IFERROR(INDEX(Settings!$B$2:$B$7,MATCH(TRIM(CLEAN($D171)),Settings!$A$2:$A$7,0)),""))</f>
        <v/>
      </c>
      <c r="H171" s="7">
        <f>IF(OR($E171="",$G171=""),"",$E171*$G171)</f>
        <v/>
      </c>
      <c r="I171" s="7">
        <f>IF($F171="","",$F171*Settings!$B$9)</f>
        <v/>
      </c>
      <c r="J171" s="7">
        <f>IF($D171="","",IFERROR(INDEX(Settings!$C$2:$C$7,MATCH(TRIM(CLEAN($D171)),Settings!$A$2:$A$7,0)),""))</f>
        <v/>
      </c>
      <c r="K171" s="7">
        <f>IF(OR($H171="",$I171="",$J171=""),"",ROUND(($H171+$I171)*$J171,2))</f>
        <v/>
      </c>
      <c r="L171" t="n">
        <v>87.17</v>
      </c>
    </row>
    <row r="172" ht="14.25" customHeight="1">
      <c r="A172" s="44" t="n">
        <v>46144</v>
      </c>
      <c r="B172" s="4" t="n">
        <v>800</v>
      </c>
      <c r="C172" s="11" t="inlineStr">
        <is>
          <t>Smolderen, Peter</t>
        </is>
      </c>
      <c r="D172" s="4" t="inlineStr">
        <is>
          <t>SO</t>
        </is>
      </c>
      <c r="E172" s="4" t="n">
        <v>48</v>
      </c>
      <c r="F172" s="4" t="n">
        <v>3</v>
      </c>
      <c r="G172" s="7">
        <f>IF($D172="","",IFERROR(INDEX(Settings!$B$2:$B$7,MATCH(TRIM(CLEAN($D172)),Settings!$A$2:$A$7,0)),""))</f>
        <v/>
      </c>
      <c r="H172" s="7">
        <f>IF(OR($E172="",$G172=""),"",$E172*$G172)</f>
        <v/>
      </c>
      <c r="I172" s="7">
        <f>IF($F172="","",$F172*Settings!$B$9)</f>
        <v/>
      </c>
      <c r="J172" s="7">
        <f>IF($D172="","",IFERROR(INDEX(Settings!$C$2:$C$7,MATCH(TRIM(CLEAN($D172)),Settings!$A$2:$A$7,0)),""))</f>
        <v/>
      </c>
      <c r="K172" s="7">
        <f>IF(OR($H172="",$I172="",$J172=""),"",ROUND(($H172+$I172)*$J172,2))</f>
        <v/>
      </c>
      <c r="L172" t="n">
        <v>82.56999999999999</v>
      </c>
    </row>
    <row r="173" ht="14.25" customHeight="1">
      <c r="A173" s="44" t="n">
        <v>46144</v>
      </c>
      <c r="B173" s="4" t="n">
        <v>800</v>
      </c>
      <c r="C173" s="11" t="inlineStr">
        <is>
          <t>Austin, Bill</t>
        </is>
      </c>
      <c r="D173" s="4" t="inlineStr">
        <is>
          <t>SP</t>
        </is>
      </c>
      <c r="E173" s="4" t="n">
        <v>49</v>
      </c>
      <c r="F173" s="4" t="n">
        <v>3</v>
      </c>
      <c r="G173" s="7">
        <f>IF($D173="","",IFERROR(INDEX(Settings!$B$2:$B$7,MATCH(TRIM(CLEAN($D173)),Settings!$A$2:$A$7,0)),""))</f>
        <v/>
      </c>
      <c r="H173" s="7">
        <f>IF(OR($E173="",$G173=""),"",$E173*$G173)</f>
        <v/>
      </c>
      <c r="I173" s="7">
        <f>IF($F173="","",$F173*Settings!$B$9)</f>
        <v/>
      </c>
      <c r="J173" s="7">
        <f>IF($D173="","",IFERROR(INDEX(Settings!$C$2:$C$7,MATCH(TRIM(CLEAN($D173)),Settings!$A$2:$A$7,0)),""))</f>
        <v/>
      </c>
      <c r="K173" s="7">
        <f>IF(OR($H173="",$I173="",$J173=""),"",ROUND(($H173+$I173)*$J173,2))</f>
        <v/>
      </c>
      <c r="L173" t="n">
        <v>84.22</v>
      </c>
    </row>
    <row r="174" ht="14.25" customHeight="1">
      <c r="A174" s="44" t="n">
        <v>46144</v>
      </c>
      <c r="B174" s="4" t="n">
        <v>800</v>
      </c>
      <c r="C174" s="11" t="inlineStr">
        <is>
          <t>Chay, Tony</t>
        </is>
      </c>
      <c r="D174" s="4" t="inlineStr">
        <is>
          <t>SP</t>
        </is>
      </c>
      <c r="E174" s="4" t="n">
        <v>47</v>
      </c>
      <c r="F174" s="4" t="n">
        <v>3</v>
      </c>
      <c r="G174" s="7">
        <f>IF($D174="","",IFERROR(INDEX(Settings!$B$2:$B$7,MATCH(TRIM(CLEAN($D174)),Settings!$A$2:$A$7,0)),""))</f>
        <v/>
      </c>
      <c r="H174" s="7">
        <f>IF(OR($E174="",$G174=""),"",$E174*$G174)</f>
        <v/>
      </c>
      <c r="I174" s="7">
        <f>IF($F174="","",$F174*Settings!$B$9)</f>
        <v/>
      </c>
      <c r="J174" s="7">
        <f>IF($D174="","",IFERROR(INDEX(Settings!$C$2:$C$7,MATCH(TRIM(CLEAN($D174)),Settings!$A$2:$A$7,0)),""))</f>
        <v/>
      </c>
      <c r="K174" s="7">
        <f>IF(OR($H174="",$I174="",$J174=""),"",ROUND(($H174+$I174)*$J174,2))</f>
        <v/>
      </c>
      <c r="L174" t="n">
        <v>80.91</v>
      </c>
    </row>
    <row r="175" ht="14.25" customHeight="1">
      <c r="A175" s="44" t="n">
        <v>46144</v>
      </c>
      <c r="B175" s="4" t="n">
        <v>800</v>
      </c>
      <c r="C175" s="11" t="inlineStr">
        <is>
          <t>Gwyn, Stephen</t>
        </is>
      </c>
      <c r="D175" s="4" t="inlineStr">
        <is>
          <t>TR</t>
        </is>
      </c>
      <c r="E175" s="4" t="n">
        <v>49</v>
      </c>
      <c r="F175" s="4" t="n">
        <v>3</v>
      </c>
      <c r="G175" s="7">
        <f>IF($D175="","",IFERROR(INDEX(Settings!$B$2:$B$7,MATCH(TRIM(CLEAN($D175)),Settings!$A$2:$A$7,0)),""))</f>
        <v/>
      </c>
      <c r="H175" s="7">
        <f>IF(OR($E175="",$G175=""),"",$E175*$G175)</f>
        <v/>
      </c>
      <c r="I175" s="7">
        <f>IF($F175="","",$F175*Settings!$B$9)</f>
        <v/>
      </c>
      <c r="J175" s="7">
        <f>IF($D175="","",IFERROR(INDEX(Settings!$C$2:$C$7,MATCH(TRIM(CLEAN($D175)),Settings!$A$2:$A$7,0)),""))</f>
        <v/>
      </c>
      <c r="K175" s="7">
        <f>IF(OR($H175="",$I175="",$J175=""),"",ROUND(($H175+$I175)*$J175,2))</f>
        <v/>
      </c>
      <c r="L175" t="n">
        <v>85.98999999999999</v>
      </c>
    </row>
    <row r="176" ht="14.25" customHeight="1">
      <c r="A176" s="44" t="n">
        <v>46144</v>
      </c>
      <c r="B176" s="4" t="n">
        <v>800</v>
      </c>
      <c r="C176" s="11" t="inlineStr">
        <is>
          <t>Gierer, Gerald</t>
        </is>
      </c>
      <c r="D176" s="4" t="inlineStr">
        <is>
          <t>SO</t>
        </is>
      </c>
      <c r="E176" s="4" t="n">
        <v>46</v>
      </c>
      <c r="F176" s="4" t="n">
        <v>3</v>
      </c>
      <c r="G176" s="7">
        <f>IF($D176="","",IFERROR(INDEX(Settings!$B$2:$B$7,MATCH(TRIM(CLEAN($D176)),Settings!$A$2:$A$7,0)),""))</f>
        <v/>
      </c>
      <c r="H176" s="7">
        <f>IF(OR($E176="",$G176=""),"",$E176*$G176)</f>
        <v/>
      </c>
      <c r="I176" s="7">
        <f>IF($F176="","",$F176*Settings!$B$9)</f>
        <v/>
      </c>
      <c r="J176" s="7">
        <f>IF($D176="","",IFERROR(INDEX(Settings!$C$2:$C$7,MATCH(TRIM(CLEAN($D176)),Settings!$A$2:$A$7,0)),""))</f>
        <v/>
      </c>
      <c r="K176" s="7">
        <f>IF(OR($H176="",$I176="",$J176=""),"",ROUND(($H176+$I176)*$J176,2))</f>
        <v/>
      </c>
      <c r="L176" t="n">
        <v>79.25</v>
      </c>
    </row>
    <row r="177" ht="14.25" customHeight="1">
      <c r="A177" s="44" t="n">
        <v>46144</v>
      </c>
      <c r="B177" s="4" t="n">
        <v>800</v>
      </c>
      <c r="C177" s="11" t="inlineStr">
        <is>
          <t>Shepherd, David</t>
        </is>
      </c>
      <c r="D177" s="4" t="inlineStr">
        <is>
          <t>FS</t>
        </is>
      </c>
      <c r="E177" s="4" t="n">
        <v>52</v>
      </c>
      <c r="F177" s="4" t="n">
        <v>1</v>
      </c>
      <c r="G177" s="7">
        <f>IF($D177="","",IFERROR(INDEX(Settings!$B$2:$B$7,MATCH(TRIM(CLEAN($D177)),Settings!$A$2:$A$7,0)),""))</f>
        <v/>
      </c>
      <c r="H177" s="7">
        <f>IF(OR($E177="",$G177=""),"",$E177*$G177)</f>
        <v/>
      </c>
      <c r="I177" s="7">
        <f>IF($F177="","",$F177*Settings!$B$9)</f>
        <v/>
      </c>
      <c r="J177" s="7">
        <f>IF($D177="","",IFERROR(INDEX(Settings!$C$2:$C$7,MATCH(TRIM(CLEAN($D177)),Settings!$A$2:$A$7,0)),""))</f>
        <v/>
      </c>
      <c r="K177" s="7">
        <f>IF(OR($H177="",$I177="",$J177=""),"",ROUND(($H177+$I177)*$J177,2))</f>
        <v/>
      </c>
      <c r="L177" t="n">
        <v>77.73</v>
      </c>
    </row>
    <row r="178" ht="14.25" customHeight="1">
      <c r="A178" s="44" t="n">
        <v>46144</v>
      </c>
      <c r="B178" s="4" t="n">
        <v>800</v>
      </c>
      <c r="C178" s="11" t="inlineStr">
        <is>
          <t>Donnelly, Lisa</t>
        </is>
      </c>
      <c r="D178" s="4" t="inlineStr">
        <is>
          <t>FS</t>
        </is>
      </c>
      <c r="E178" s="4" t="n">
        <v>52</v>
      </c>
      <c r="F178" s="4" t="n">
        <v>1</v>
      </c>
      <c r="G178" s="7">
        <f>IF($D178="","",IFERROR(INDEX(Settings!$B$2:$B$7,MATCH(TRIM(CLEAN($D178)),Settings!$A$2:$A$7,0)),""))</f>
        <v/>
      </c>
      <c r="H178" s="7">
        <f>IF(OR($E178="",$G178=""),"",$E178*$G178)</f>
        <v/>
      </c>
      <c r="I178" s="7">
        <f>IF($F178="","",$F178*Settings!$B$9)</f>
        <v/>
      </c>
      <c r="J178" s="7">
        <f>IF($D178="","",IFERROR(INDEX(Settings!$C$2:$C$7,MATCH(TRIM(CLEAN($D178)),Settings!$A$2:$A$7,0)),""))</f>
        <v/>
      </c>
      <c r="K178" s="7">
        <f>IF(OR($H178="",$I178="",$J178=""),"",ROUND(($H178+$I178)*$J178,2))</f>
        <v/>
      </c>
      <c r="L178" t="n">
        <v>77.73</v>
      </c>
    </row>
    <row r="179" ht="14.25" customHeight="1">
      <c r="A179" s="44" t="n">
        <v>46144</v>
      </c>
      <c r="B179" s="4" t="n">
        <v>800</v>
      </c>
      <c r="C179" s="11" t="inlineStr">
        <is>
          <t>Porter, Stephen</t>
        </is>
      </c>
      <c r="D179" s="4" t="inlineStr">
        <is>
          <t>FTR</t>
        </is>
      </c>
      <c r="E179" s="4" t="n">
        <v>50</v>
      </c>
      <c r="F179" s="4" t="n">
        <v>1</v>
      </c>
      <c r="G179" s="7">
        <f>IF($D179="","",IFERROR(INDEX(Settings!$B$2:$B$7,MATCH(TRIM(CLEAN($D179)),Settings!$A$2:$A$7,0)),""))</f>
        <v/>
      </c>
      <c r="H179" s="7">
        <f>IF(OR($E179="",$G179=""),"",$E179*$G179)</f>
        <v/>
      </c>
      <c r="I179" s="7">
        <f>IF($F179="","",$F179*Settings!$B$9)</f>
        <v/>
      </c>
      <c r="J179" s="7">
        <f>IF($D179="","",IFERROR(INDEX(Settings!$C$2:$C$7,MATCH(TRIM(CLEAN($D179)),Settings!$A$2:$A$7,0)),""))</f>
        <v/>
      </c>
      <c r="K179" s="7">
        <f>IF(OR($H179="",$I179="",$J179=""),"",ROUND(($H179+$I179)*$J179,2))</f>
        <v/>
      </c>
      <c r="L179" t="n">
        <v>73.52</v>
      </c>
    </row>
    <row r="180" ht="14.25" customHeight="1">
      <c r="A180" s="44" t="n">
        <v>46144</v>
      </c>
      <c r="B180" s="4" t="n">
        <v>800</v>
      </c>
      <c r="C180" s="11" t="inlineStr">
        <is>
          <t>Hanna, John</t>
        </is>
      </c>
      <c r="D180" s="4" t="inlineStr">
        <is>
          <t>SP</t>
        </is>
      </c>
      <c r="E180" s="4" t="n">
        <v>43</v>
      </c>
      <c r="F180" s="4" t="n">
        <v>1</v>
      </c>
      <c r="G180" s="7">
        <f>IF($D180="","",IFERROR(INDEX(Settings!$B$2:$B$7,MATCH(TRIM(CLEAN($D180)),Settings!$A$2:$A$7,0)),""))</f>
        <v/>
      </c>
      <c r="H180" s="7">
        <f>IF(OR($E180="",$G180=""),"",$E180*$G180)</f>
        <v/>
      </c>
      <c r="I180" s="7">
        <f>IF($F180="","",$F180*Settings!$B$9)</f>
        <v/>
      </c>
      <c r="J180" s="7">
        <f>IF($D180="","",IFERROR(INDEX(Settings!$C$2:$C$7,MATCH(TRIM(CLEAN($D180)),Settings!$A$2:$A$7,0)),""))</f>
        <v/>
      </c>
      <c r="K180" s="7">
        <f>IF(OR($H180="",$I180="",$J180=""),"",ROUND(($H180+$I180)*$J180,2))</f>
        <v/>
      </c>
      <c r="L180" t="n">
        <v>72.33</v>
      </c>
    </row>
    <row r="181" ht="14.25" customHeight="1">
      <c r="A181" s="44" t="n">
        <v>46144</v>
      </c>
      <c r="B181" s="4" t="n">
        <v>800</v>
      </c>
      <c r="C181" s="11" t="inlineStr">
        <is>
          <t>Heath, David</t>
        </is>
      </c>
      <c r="D181" s="4" t="inlineStr">
        <is>
          <t>TR</t>
        </is>
      </c>
      <c r="E181" s="4" t="n">
        <v>44</v>
      </c>
      <c r="F181" s="4" t="n">
        <v>1</v>
      </c>
      <c r="G181" s="7">
        <f>IF($D181="","",IFERROR(INDEX(Settings!$B$2:$B$7,MATCH(TRIM(CLEAN($D181)),Settings!$A$2:$A$7,0)),""))</f>
        <v/>
      </c>
      <c r="H181" s="7">
        <f>IF(OR($E181="",$G181=""),"",$E181*$G181)</f>
        <v/>
      </c>
      <c r="I181" s="7">
        <f>IF($F181="","",$F181*Settings!$B$9)</f>
        <v/>
      </c>
      <c r="J181" s="7">
        <f>IF($D181="","",IFERROR(INDEX(Settings!$C$2:$C$7,MATCH(TRIM(CLEAN($D181)),Settings!$A$2:$A$7,0)),""))</f>
        <v/>
      </c>
      <c r="K181" s="7">
        <f>IF(OR($H181="",$I181="",$J181=""),"",ROUND(($H181+$I181)*$J181,2))</f>
        <v/>
      </c>
      <c r="L181" t="n">
        <v>75.54000000000001</v>
      </c>
    </row>
    <row r="182" ht="14.25" customHeight="1">
      <c r="A182" s="44" t="n">
        <v>46144</v>
      </c>
      <c r="B182" s="4" t="n">
        <v>800</v>
      </c>
      <c r="C182" s="11" t="inlineStr">
        <is>
          <t>Lake, Mitch</t>
        </is>
      </c>
      <c r="D182" s="4" t="inlineStr">
        <is>
          <t>SP</t>
        </is>
      </c>
      <c r="E182" s="4" t="n">
        <v>0</v>
      </c>
      <c r="F182" s="4" t="n">
        <v>0</v>
      </c>
      <c r="G182" s="7">
        <f>IF($D182="","",IFERROR(INDEX(Settings!$B$2:$B$7,MATCH(TRIM(CLEAN($D182)),Settings!$A$2:$A$7,0)),""))</f>
        <v/>
      </c>
      <c r="H182" s="7">
        <f>IF(OR($E182="",$G182=""),"",$E182*$G182)</f>
        <v/>
      </c>
      <c r="I182" s="7">
        <f>IF($F182="","",$F182*Settings!$B$9)</f>
        <v/>
      </c>
      <c r="J182" s="7">
        <f>IF($D182="","",IFERROR(INDEX(Settings!$C$2:$C$7,MATCH(TRIM(CLEAN($D182)),Settings!$A$2:$A$7,0)),""))</f>
        <v/>
      </c>
      <c r="K182" s="7">
        <f>IF(OR($H182="",$I182="",$J182=""),"",ROUND(($H182+$I182)*$J182,2))</f>
        <v/>
      </c>
      <c r="L182" t="n">
        <v>0</v>
      </c>
    </row>
    <row r="183" ht="14.25" customHeight="1">
      <c r="A183" s="44" t="n">
        <v>46144</v>
      </c>
      <c r="B183" s="4" t="n">
        <v>900</v>
      </c>
      <c r="C183" s="11" t="inlineStr">
        <is>
          <t>Comerford, Dan</t>
        </is>
      </c>
      <c r="D183" s="4" t="inlineStr">
        <is>
          <t>SO</t>
        </is>
      </c>
      <c r="E183" s="4" t="n">
        <v>50</v>
      </c>
      <c r="F183" s="4" t="n">
        <v>5</v>
      </c>
      <c r="G183" s="7">
        <f>IF($D183="","",IFERROR(INDEX(Settings!$B$2:$B$7,MATCH(TRIM(CLEAN($D183)),Settings!$A$2:$A$7,0)),""))</f>
        <v/>
      </c>
      <c r="H183" s="7">
        <f>IF(OR($E183="",$G183=""),"",$E183*$G183)</f>
        <v/>
      </c>
      <c r="I183" s="7">
        <f>IF($F183="","",$F183*Settings!$B$9)</f>
        <v/>
      </c>
      <c r="J183" s="7">
        <f>IF($D183="","",IFERROR(INDEX(Settings!$C$2:$C$7,MATCH(TRIM(CLEAN($D183)),Settings!$A$2:$A$7,0)),""))</f>
        <v/>
      </c>
      <c r="K183" s="7">
        <f>IF(OR($H183="",$I183="",$J183=""),"",ROUND(($H183+$I183)*$J183,2))</f>
        <v/>
      </c>
      <c r="L183" t="n">
        <v>87.81999999999999</v>
      </c>
    </row>
    <row r="184" ht="14.25" customHeight="1">
      <c r="A184" s="44" t="n">
        <v>46144</v>
      </c>
      <c r="B184" s="4" t="n">
        <v>900</v>
      </c>
      <c r="C184" s="11" t="inlineStr">
        <is>
          <t>Hemkes, Rudy</t>
        </is>
      </c>
      <c r="D184" s="4" t="inlineStr">
        <is>
          <t>SO</t>
        </is>
      </c>
      <c r="E184" s="4" t="n">
        <v>49</v>
      </c>
      <c r="F184" s="4" t="n">
        <v>4</v>
      </c>
      <c r="G184" s="7">
        <f>IF($D184="","",IFERROR(INDEX(Settings!$B$2:$B$7,MATCH(TRIM(CLEAN($D184)),Settings!$A$2:$A$7,0)),""))</f>
        <v/>
      </c>
      <c r="H184" s="7">
        <f>IF(OR($E184="",$G184=""),"",$E184*$G184)</f>
        <v/>
      </c>
      <c r="I184" s="7">
        <f>IF($F184="","",$F184*Settings!$B$9)</f>
        <v/>
      </c>
      <c r="J184" s="7">
        <f>IF($D184="","",IFERROR(INDEX(Settings!$C$2:$C$7,MATCH(TRIM(CLEAN($D184)),Settings!$A$2:$A$7,0)),""))</f>
        <v/>
      </c>
      <c r="K184" s="7">
        <f>IF(OR($H184="",$I184="",$J184=""),"",ROUND(($H184+$I184)*$J184,2))</f>
        <v/>
      </c>
      <c r="L184" t="n">
        <v>85.19</v>
      </c>
    </row>
    <row r="185" ht="14.25" customHeight="1">
      <c r="A185" s="44" t="n">
        <v>46144</v>
      </c>
      <c r="B185" s="4" t="n">
        <v>900</v>
      </c>
      <c r="C185" s="11" t="inlineStr">
        <is>
          <t>Patto, Nick</t>
        </is>
      </c>
      <c r="D185" s="4" t="inlineStr">
        <is>
          <t>FO</t>
        </is>
      </c>
      <c r="E185" s="4" t="n">
        <v>56</v>
      </c>
      <c r="F185" s="4" t="n">
        <v>3</v>
      </c>
      <c r="G185" s="7">
        <f>IF($D185="","",IFERROR(INDEX(Settings!$B$2:$B$7,MATCH(TRIM(CLEAN($D185)),Settings!$A$2:$A$7,0)),""))</f>
        <v/>
      </c>
      <c r="H185" s="7">
        <f>IF(OR($E185="",$G185=""),"",$E185*$G185)</f>
        <v/>
      </c>
      <c r="I185" s="7">
        <f>IF($F185="","",$F185*Settings!$B$9)</f>
        <v/>
      </c>
      <c r="J185" s="7">
        <f>IF($D185="","",IFERROR(INDEX(Settings!$C$2:$C$7,MATCH(TRIM(CLEAN($D185)),Settings!$A$2:$A$7,0)),""))</f>
        <v/>
      </c>
      <c r="K185" s="7">
        <f>IF(OR($H185="",$I185="",$J185=""),"",ROUND(($H185+$I185)*$J185,2))</f>
        <v/>
      </c>
      <c r="L185" t="n">
        <v>81.69</v>
      </c>
    </row>
    <row r="186" ht="14.25" customHeight="1">
      <c r="A186" s="44" t="n">
        <v>46144</v>
      </c>
      <c r="B186" s="4" t="n">
        <v>900</v>
      </c>
      <c r="C186" s="11" t="inlineStr">
        <is>
          <t>Beretta, Chris</t>
        </is>
      </c>
      <c r="D186" s="4" t="inlineStr">
        <is>
          <t>FO</t>
        </is>
      </c>
      <c r="E186" s="4" t="n">
        <v>58</v>
      </c>
      <c r="F186" s="4" t="n">
        <v>3</v>
      </c>
      <c r="G186" s="7">
        <f>IF($D186="","",IFERROR(INDEX(Settings!$B$2:$B$7,MATCH(TRIM(CLEAN($D186)),Settings!$A$2:$A$7,0)),""))</f>
        <v/>
      </c>
      <c r="H186" s="7">
        <f>IF(OR($E186="",$G186=""),"",$E186*$G186)</f>
        <v/>
      </c>
      <c r="I186" s="7">
        <f>IF($F186="","",$F186*Settings!$B$9)</f>
        <v/>
      </c>
      <c r="J186" s="7">
        <f>IF($D186="","",IFERROR(INDEX(Settings!$C$2:$C$7,MATCH(TRIM(CLEAN($D186)),Settings!$A$2:$A$7,0)),""))</f>
        <v/>
      </c>
      <c r="K186" s="7">
        <f>IF(OR($H186="",$I186="",$J186=""),"",ROUND(($H186+$I186)*$J186,2))</f>
        <v/>
      </c>
      <c r="L186" t="n">
        <v>84.5</v>
      </c>
    </row>
    <row r="187" ht="14.25" customHeight="1">
      <c r="A187" s="44" t="n">
        <v>46144</v>
      </c>
      <c r="B187" s="4" t="n">
        <v>900</v>
      </c>
      <c r="C187" s="11" t="inlineStr">
        <is>
          <t>Toh, Keith</t>
        </is>
      </c>
      <c r="D187" s="4" t="inlineStr">
        <is>
          <t>TR</t>
        </is>
      </c>
      <c r="E187" s="4" t="n">
        <v>50</v>
      </c>
      <c r="F187" s="4" t="n">
        <v>3</v>
      </c>
      <c r="G187" s="7">
        <f>IF($D187="","",IFERROR(INDEX(Settings!$B$2:$B$7,MATCH(TRIM(CLEAN($D187)),Settings!$A$2:$A$7,0)),""))</f>
        <v/>
      </c>
      <c r="H187" s="7">
        <f>IF(OR($E187="",$G187=""),"",$E187*$G187)</f>
        <v/>
      </c>
      <c r="I187" s="7">
        <f>IF($F187="","",$F187*Settings!$B$9)</f>
        <v/>
      </c>
      <c r="J187" s="7">
        <f>IF($D187="","",IFERROR(INDEX(Settings!$C$2:$C$7,MATCH(TRIM(CLEAN($D187)),Settings!$A$2:$A$7,0)),""))</f>
        <v/>
      </c>
      <c r="K187" s="7">
        <f>IF(OR($H187="",$I187="",$J187=""),"",ROUND(($H187+$I187)*$J187,2))</f>
        <v/>
      </c>
      <c r="L187" t="n">
        <v>87.69</v>
      </c>
    </row>
    <row r="188" ht="14.25" customHeight="1">
      <c r="A188" s="44" t="n">
        <v>46144</v>
      </c>
      <c r="B188" s="4" t="n">
        <v>900</v>
      </c>
      <c r="C188" s="11" t="inlineStr">
        <is>
          <t>Kilpatrick, Brian</t>
        </is>
      </c>
      <c r="D188" s="4" t="inlineStr">
        <is>
          <t>SP</t>
        </is>
      </c>
      <c r="E188" s="4" t="n">
        <v>44</v>
      </c>
      <c r="F188" s="4" t="n">
        <v>3</v>
      </c>
      <c r="G188" s="7">
        <f>IF($D188="","",IFERROR(INDEX(Settings!$B$2:$B$7,MATCH(TRIM(CLEAN($D188)),Settings!$A$2:$A$7,0)),""))</f>
        <v/>
      </c>
      <c r="H188" s="7">
        <f>IF(OR($E188="",$G188=""),"",$E188*$G188)</f>
        <v/>
      </c>
      <c r="I188" s="7">
        <f>IF($F188="","",$F188*Settings!$B$9)</f>
        <v/>
      </c>
      <c r="J188" s="7">
        <f>IF($D188="","",IFERROR(INDEX(Settings!$C$2:$C$7,MATCH(TRIM(CLEAN($D188)),Settings!$A$2:$A$7,0)),""))</f>
        <v/>
      </c>
      <c r="K188" s="7">
        <f>IF(OR($H188="",$I188="",$J188=""),"",ROUND(($H188+$I188)*$J188,2))</f>
        <v/>
      </c>
      <c r="L188" t="n">
        <v>75.93000000000001</v>
      </c>
    </row>
    <row r="189" ht="14.25" customHeight="1">
      <c r="A189" s="44" t="n">
        <v>46144</v>
      </c>
      <c r="B189" s="4" t="n">
        <v>900</v>
      </c>
      <c r="C189" s="11" t="inlineStr">
        <is>
          <t>Gwyn, Stephen</t>
        </is>
      </c>
      <c r="D189" s="4" t="inlineStr">
        <is>
          <t>TR</t>
        </is>
      </c>
      <c r="E189" s="4" t="n">
        <v>46</v>
      </c>
      <c r="F189" s="4" t="n">
        <v>3</v>
      </c>
      <c r="G189" s="7">
        <f>IF($D189="","",IFERROR(INDEX(Settings!$B$2:$B$7,MATCH(TRIM(CLEAN($D189)),Settings!$A$2:$A$7,0)),""))</f>
        <v/>
      </c>
      <c r="H189" s="7">
        <f>IF(OR($E189="",$G189=""),"",$E189*$G189)</f>
        <v/>
      </c>
      <c r="I189" s="7">
        <f>IF($F189="","",$F189*Settings!$B$9)</f>
        <v/>
      </c>
      <c r="J189" s="7">
        <f>IF($D189="","",IFERROR(INDEX(Settings!$C$2:$C$7,MATCH(TRIM(CLEAN($D189)),Settings!$A$2:$A$7,0)),""))</f>
        <v/>
      </c>
      <c r="K189" s="7">
        <f>IF(OR($H189="",$I189="",$J189=""),"",ROUND(($H189+$I189)*$J189,2))</f>
        <v/>
      </c>
      <c r="L189" t="n">
        <v>80.91</v>
      </c>
    </row>
    <row r="190" ht="14.25" customHeight="1">
      <c r="A190" s="44" t="n">
        <v>46144</v>
      </c>
      <c r="B190" s="4" t="n">
        <v>900</v>
      </c>
      <c r="C190" s="11" t="inlineStr">
        <is>
          <t>Poynton, Bill</t>
        </is>
      </c>
      <c r="D190" s="4" t="inlineStr">
        <is>
          <t>TR</t>
        </is>
      </c>
      <c r="E190" s="4" t="n">
        <v>48</v>
      </c>
      <c r="F190" s="4" t="n">
        <v>3</v>
      </c>
      <c r="G190" s="7">
        <f>IF($D190="","",IFERROR(INDEX(Settings!$B$2:$B$7,MATCH(TRIM(CLEAN($D190)),Settings!$A$2:$A$7,0)),""))</f>
        <v/>
      </c>
      <c r="H190" s="7">
        <f>IF(OR($E190="",$G190=""),"",$E190*$G190)</f>
        <v/>
      </c>
      <c r="I190" s="7">
        <f>IF($F190="","",$F190*Settings!$B$9)</f>
        <v/>
      </c>
      <c r="J190" s="7">
        <f>IF($D190="","",IFERROR(INDEX(Settings!$C$2:$C$7,MATCH(TRIM(CLEAN($D190)),Settings!$A$2:$A$7,0)),""))</f>
        <v/>
      </c>
      <c r="K190" s="7">
        <f>IF(OR($H190="",$I190="",$J190=""),"",ROUND(($H190+$I190)*$J190,2))</f>
        <v/>
      </c>
      <c r="L190" t="n">
        <v>84.3</v>
      </c>
    </row>
    <row r="191" ht="14.25" customHeight="1">
      <c r="A191" s="44" t="n">
        <v>46144</v>
      </c>
      <c r="B191" s="4" t="n">
        <v>900</v>
      </c>
      <c r="C191" s="11" t="inlineStr">
        <is>
          <t>Smolderen, Peter</t>
        </is>
      </c>
      <c r="D191" s="4" t="inlineStr">
        <is>
          <t>SO</t>
        </is>
      </c>
      <c r="E191" s="4" t="n">
        <v>46</v>
      </c>
      <c r="F191" s="4" t="n">
        <v>2</v>
      </c>
      <c r="G191" s="7">
        <f>IF($D191="","",IFERROR(INDEX(Settings!$B$2:$B$7,MATCH(TRIM(CLEAN($D191)),Settings!$A$2:$A$7,0)),""))</f>
        <v/>
      </c>
      <c r="H191" s="7">
        <f>IF(OR($E191="",$G191=""),"",$E191*$G191)</f>
        <v/>
      </c>
      <c r="I191" s="7">
        <f>IF($F191="","",$F191*Settings!$B$9)</f>
        <v/>
      </c>
      <c r="J191" s="7">
        <f>IF($D191="","",IFERROR(INDEX(Settings!$C$2:$C$7,MATCH(TRIM(CLEAN($D191)),Settings!$A$2:$A$7,0)),""))</f>
        <v/>
      </c>
      <c r="K191" s="7">
        <f>IF(OR($H191="",$I191="",$J191=""),"",ROUND(($H191+$I191)*$J191,2))</f>
        <v/>
      </c>
      <c r="L191" t="n">
        <v>78.28</v>
      </c>
    </row>
    <row r="192" ht="14.25" customHeight="1">
      <c r="A192" s="44" t="n">
        <v>46144</v>
      </c>
      <c r="B192" s="4" t="n">
        <v>900</v>
      </c>
      <c r="C192" s="11" t="inlineStr">
        <is>
          <t>Chay, Tony</t>
        </is>
      </c>
      <c r="D192" s="4" t="inlineStr">
        <is>
          <t>SP</t>
        </is>
      </c>
      <c r="E192" s="4" t="n">
        <v>46</v>
      </c>
      <c r="F192" s="4" t="n">
        <v>2</v>
      </c>
      <c r="G192" s="7">
        <f>IF($D192="","",IFERROR(INDEX(Settings!$B$2:$B$7,MATCH(TRIM(CLEAN($D192)),Settings!$A$2:$A$7,0)),""))</f>
        <v/>
      </c>
      <c r="H192" s="7">
        <f>IF(OR($E192="",$G192=""),"",$E192*$G192)</f>
        <v/>
      </c>
      <c r="I192" s="7">
        <f>IF($F192="","",$F192*Settings!$B$9)</f>
        <v/>
      </c>
      <c r="J192" s="7">
        <f>IF($D192="","",IFERROR(INDEX(Settings!$C$2:$C$7,MATCH(TRIM(CLEAN($D192)),Settings!$A$2:$A$7,0)),""))</f>
        <v/>
      </c>
      <c r="K192" s="7">
        <f>IF(OR($H192="",$I192="",$J192=""),"",ROUND(($H192+$I192)*$J192,2))</f>
        <v/>
      </c>
      <c r="L192" t="n">
        <v>78.28</v>
      </c>
    </row>
    <row r="193" ht="14.25" customHeight="1">
      <c r="A193" s="44" t="n">
        <v>46144</v>
      </c>
      <c r="B193" s="4" t="n">
        <v>900</v>
      </c>
      <c r="C193" s="11" t="inlineStr">
        <is>
          <t>Cook, Andrew</t>
        </is>
      </c>
      <c r="D193" s="4" t="inlineStr">
        <is>
          <t>FS</t>
        </is>
      </c>
      <c r="E193" s="4" t="n">
        <v>48</v>
      </c>
      <c r="F193" s="4" t="n">
        <v>1</v>
      </c>
      <c r="G193" s="7">
        <f>IF($D193="","",IFERROR(INDEX(Settings!$B$2:$B$7,MATCH(TRIM(CLEAN($D193)),Settings!$A$2:$A$7,0)),""))</f>
        <v/>
      </c>
      <c r="H193" s="7">
        <f>IF(OR($E193="",$G193=""),"",$E193*$G193)</f>
        <v/>
      </c>
      <c r="I193" s="7">
        <f>IF($F193="","",$F193*Settings!$B$9)</f>
        <v/>
      </c>
      <c r="J193" s="7">
        <f>IF($D193="","",IFERROR(INDEX(Settings!$C$2:$C$7,MATCH(TRIM(CLEAN($D193)),Settings!$A$2:$A$7,0)),""))</f>
        <v/>
      </c>
      <c r="K193" s="7">
        <f>IF(OR($H193="",$I193="",$J193=""),"",ROUND(($H193+$I193)*$J193,2))</f>
        <v/>
      </c>
      <c r="L193" t="n">
        <v>71.83</v>
      </c>
    </row>
    <row r="194" ht="14.25" customHeight="1">
      <c r="A194" s="44" t="n">
        <v>46144</v>
      </c>
      <c r="B194" s="4" t="n">
        <v>900</v>
      </c>
      <c r="C194" s="11" t="inlineStr">
        <is>
          <t>Shepherd, David</t>
        </is>
      </c>
      <c r="D194" s="4" t="inlineStr">
        <is>
          <t>FS</t>
        </is>
      </c>
      <c r="E194" s="4" t="n">
        <v>51</v>
      </c>
      <c r="F194" s="4" t="n">
        <v>1</v>
      </c>
      <c r="G194" s="7">
        <f>IF($D194="","",IFERROR(INDEX(Settings!$B$2:$B$7,MATCH(TRIM(CLEAN($D194)),Settings!$A$2:$A$7,0)),""))</f>
        <v/>
      </c>
      <c r="H194" s="7">
        <f>IF(OR($E194="",$G194=""),"",$E194*$G194)</f>
        <v/>
      </c>
      <c r="I194" s="7">
        <f>IF($F194="","",$F194*Settings!$B$9)</f>
        <v/>
      </c>
      <c r="J194" s="7">
        <f>IF($D194="","",IFERROR(INDEX(Settings!$C$2:$C$7,MATCH(TRIM(CLEAN($D194)),Settings!$A$2:$A$7,0)),""))</f>
        <v/>
      </c>
      <c r="K194" s="7">
        <f>IF(OR($H194="",$I194="",$J194=""),"",ROUND(($H194+$I194)*$J194,2))</f>
        <v/>
      </c>
      <c r="L194" t="n">
        <v>76.26000000000001</v>
      </c>
    </row>
    <row r="195" ht="14.25" customHeight="1">
      <c r="A195" s="44" t="n">
        <v>46144</v>
      </c>
      <c r="B195" s="4" t="n">
        <v>900</v>
      </c>
      <c r="C195" s="11" t="inlineStr">
        <is>
          <t>Donnelly, Lisa</t>
        </is>
      </c>
      <c r="D195" s="4" t="inlineStr">
        <is>
          <t>FS</t>
        </is>
      </c>
      <c r="E195" s="4" t="n">
        <v>50</v>
      </c>
      <c r="F195" s="4" t="n">
        <v>1</v>
      </c>
      <c r="G195" s="7">
        <f>IF($D195="","",IFERROR(INDEX(Settings!$B$2:$B$7,MATCH(TRIM(CLEAN($D195)),Settings!$A$2:$A$7,0)),""))</f>
        <v/>
      </c>
      <c r="H195" s="7">
        <f>IF(OR($E195="",$G195=""),"",$E195*$G195)</f>
        <v/>
      </c>
      <c r="I195" s="7">
        <f>IF($F195="","",$F195*Settings!$B$9)</f>
        <v/>
      </c>
      <c r="J195" s="7">
        <f>IF($D195="","",IFERROR(INDEX(Settings!$C$2:$C$7,MATCH(TRIM(CLEAN($D195)),Settings!$A$2:$A$7,0)),""))</f>
        <v/>
      </c>
      <c r="K195" s="7">
        <f>IF(OR($H195="",$I195="",$J195=""),"",ROUND(($H195+$I195)*$J195,2))</f>
        <v/>
      </c>
      <c r="L195" t="n">
        <v>74.78</v>
      </c>
    </row>
    <row r="196" ht="14.25" customHeight="1">
      <c r="A196" s="44" t="n">
        <v>46144</v>
      </c>
      <c r="B196" s="4" t="n">
        <v>900</v>
      </c>
      <c r="C196" s="11" t="inlineStr">
        <is>
          <t>Porter, Stephen</t>
        </is>
      </c>
      <c r="D196" s="4" t="inlineStr">
        <is>
          <t>FTR</t>
        </is>
      </c>
      <c r="E196" s="4" t="n">
        <v>45</v>
      </c>
      <c r="F196" s="4" t="n">
        <v>1</v>
      </c>
      <c r="G196" s="7">
        <f>IF($D196="","",IFERROR(INDEX(Settings!$B$2:$B$7,MATCH(TRIM(CLEAN($D196)),Settings!$A$2:$A$7,0)),""))</f>
        <v/>
      </c>
      <c r="H196" s="7">
        <f>IF(OR($E196="",$G196=""),"",$E196*$G196)</f>
        <v/>
      </c>
      <c r="I196" s="7">
        <f>IF($F196="","",$F196*Settings!$B$9)</f>
        <v/>
      </c>
      <c r="J196" s="7">
        <f>IF($D196="","",IFERROR(INDEX(Settings!$C$2:$C$7,MATCH(TRIM(CLEAN($D196)),Settings!$A$2:$A$7,0)),""))</f>
        <v/>
      </c>
      <c r="K196" s="7">
        <f>IF(OR($H196="",$I196="",$J196=""),"",ROUND(($H196+$I196)*$J196,2))</f>
        <v/>
      </c>
      <c r="L196" t="n">
        <v>66.27</v>
      </c>
    </row>
    <row r="197" ht="14.25" customHeight="1">
      <c r="A197" s="44" t="n">
        <v>46144</v>
      </c>
      <c r="B197" s="4" t="n">
        <v>900</v>
      </c>
      <c r="C197" s="11" t="inlineStr">
        <is>
          <t>Austin, Bill</t>
        </is>
      </c>
      <c r="D197" s="4" t="inlineStr">
        <is>
          <t>SP</t>
        </is>
      </c>
      <c r="E197" s="4" t="n">
        <v>48</v>
      </c>
      <c r="F197" s="4" t="n">
        <v>1</v>
      </c>
      <c r="G197" s="7">
        <f>IF($D197="","",IFERROR(INDEX(Settings!$B$2:$B$7,MATCH(TRIM(CLEAN($D197)),Settings!$A$2:$A$7,0)),""))</f>
        <v/>
      </c>
      <c r="H197" s="7">
        <f>IF(OR($E197="",$G197=""),"",$E197*$G197)</f>
        <v/>
      </c>
      <c r="I197" s="7">
        <f>IF($F197="","",$F197*Settings!$B$9)</f>
        <v/>
      </c>
      <c r="J197" s="7">
        <f>IF($D197="","",IFERROR(INDEX(Settings!$C$2:$C$7,MATCH(TRIM(CLEAN($D197)),Settings!$A$2:$A$7,0)),""))</f>
        <v/>
      </c>
      <c r="K197" s="7">
        <f>IF(OR($H197="",$I197="",$J197=""),"",ROUND(($H197+$I197)*$J197,2))</f>
        <v/>
      </c>
      <c r="L197" t="n">
        <v>80.63</v>
      </c>
    </row>
    <row r="198" ht="14.25" customHeight="1">
      <c r="A198" s="44" t="n">
        <v>46144</v>
      </c>
      <c r="B198" s="4" t="n">
        <v>900</v>
      </c>
      <c r="C198" s="11" t="inlineStr">
        <is>
          <t>Staley, Eric</t>
        </is>
      </c>
      <c r="D198" s="4" t="inlineStr">
        <is>
          <t>SO</t>
        </is>
      </c>
      <c r="E198" s="4" t="n">
        <v>45</v>
      </c>
      <c r="F198" s="4" t="n">
        <v>1</v>
      </c>
      <c r="G198" s="7">
        <f>IF($D198="","",IFERROR(INDEX(Settings!$B$2:$B$7,MATCH(TRIM(CLEAN($D198)),Settings!$A$2:$A$7,0)),""))</f>
        <v/>
      </c>
      <c r="H198" s="7">
        <f>IF(OR($E198="",$G198=""),"",$E198*$G198)</f>
        <v/>
      </c>
      <c r="I198" s="7">
        <f>IF($F198="","",$F198*Settings!$B$9)</f>
        <v/>
      </c>
      <c r="J198" s="7">
        <f>IF($D198="","",IFERROR(INDEX(Settings!$C$2:$C$7,MATCH(TRIM(CLEAN($D198)),Settings!$A$2:$A$7,0)),""))</f>
        <v/>
      </c>
      <c r="K198" s="7">
        <f>IF(OR($H198="",$I198="",$J198=""),"",ROUND(($H198+$I198)*$J198,2))</f>
        <v/>
      </c>
      <c r="L198" t="n">
        <v>75.65000000000001</v>
      </c>
    </row>
    <row r="199" ht="14.25" customHeight="1">
      <c r="A199" s="44" t="n">
        <v>46144</v>
      </c>
      <c r="B199" s="4" t="n">
        <v>900</v>
      </c>
      <c r="C199" s="11" t="inlineStr">
        <is>
          <t>Hanna, John</t>
        </is>
      </c>
      <c r="D199" s="4" t="inlineStr">
        <is>
          <t>SP</t>
        </is>
      </c>
      <c r="E199" s="4" t="n">
        <v>45</v>
      </c>
      <c r="F199" s="4" t="n">
        <v>1</v>
      </c>
      <c r="G199" s="7">
        <f>IF($D199="","",IFERROR(INDEX(Settings!$B$2:$B$7,MATCH(TRIM(CLEAN($D199)),Settings!$A$2:$A$7,0)),""))</f>
        <v/>
      </c>
      <c r="H199" s="7">
        <f>IF(OR($E199="",$G199=""),"",$E199*$G199)</f>
        <v/>
      </c>
      <c r="I199" s="7">
        <f>IF($F199="","",$F199*Settings!$B$9)</f>
        <v/>
      </c>
      <c r="J199" s="7">
        <f>IF($D199="","",IFERROR(INDEX(Settings!$C$2:$C$7,MATCH(TRIM(CLEAN($D199)),Settings!$A$2:$A$7,0)),""))</f>
        <v/>
      </c>
      <c r="K199" s="7">
        <f>IF(OR($H199="",$I199="",$J199=""),"",ROUND(($H199+$I199)*$J199,2))</f>
        <v/>
      </c>
      <c r="L199" t="n">
        <v>75.65000000000001</v>
      </c>
    </row>
    <row r="200" ht="14.25" customHeight="1">
      <c r="A200" s="44" t="n">
        <v>46144</v>
      </c>
      <c r="B200" s="4" t="n">
        <v>900</v>
      </c>
      <c r="C200" s="11" t="inlineStr">
        <is>
          <t>Heath, David</t>
        </is>
      </c>
      <c r="D200" s="4" t="inlineStr">
        <is>
          <t>TR</t>
        </is>
      </c>
      <c r="E200" s="4" t="n">
        <v>39</v>
      </c>
      <c r="F200" s="4" t="n">
        <v>1</v>
      </c>
      <c r="G200" s="7">
        <f>IF($D200="","",IFERROR(INDEX(Settings!$B$2:$B$7,MATCH(TRIM(CLEAN($D200)),Settings!$A$2:$A$7,0)),""))</f>
        <v/>
      </c>
      <c r="H200" s="7">
        <f>IF(OR($E200="",$G200=""),"",$E200*$G200)</f>
        <v/>
      </c>
      <c r="I200" s="7">
        <f>IF($F200="","",$F200*Settings!$B$9)</f>
        <v/>
      </c>
      <c r="J200" s="7">
        <f>IF($D200="","",IFERROR(INDEX(Settings!$C$2:$C$7,MATCH(TRIM(CLEAN($D200)),Settings!$A$2:$A$7,0)),""))</f>
        <v/>
      </c>
      <c r="K200" s="7">
        <f>IF(OR($H200="",$I200="",$J200=""),"",ROUND(($H200+$I200)*$J200,2))</f>
        <v/>
      </c>
      <c r="L200" t="n">
        <v>67.06999999999999</v>
      </c>
    </row>
    <row r="201" ht="14.25" customHeight="1">
      <c r="A201" s="44" t="n">
        <v>46144</v>
      </c>
      <c r="B201" s="4" t="n">
        <v>900</v>
      </c>
      <c r="C201" s="11" t="inlineStr">
        <is>
          <t>Lake, Mitch</t>
        </is>
      </c>
      <c r="D201" s="4" t="inlineStr">
        <is>
          <t>SP</t>
        </is>
      </c>
      <c r="E201" s="4" t="n">
        <v>40</v>
      </c>
      <c r="F201" s="4" t="n">
        <v>0</v>
      </c>
      <c r="G201" s="7">
        <f>IF($D201="","",IFERROR(INDEX(Settings!$B$2:$B$7,MATCH(TRIM(CLEAN($D201)),Settings!$A$2:$A$7,0)),""))</f>
        <v/>
      </c>
      <c r="H201" s="7">
        <f>IF(OR($E201="",$G201=""),"",$E201*$G201)</f>
        <v/>
      </c>
      <c r="I201" s="7">
        <f>IF($F201="","",$F201*Settings!$B$9)</f>
        <v/>
      </c>
      <c r="J201" s="7">
        <f>IF($D201="","",IFERROR(INDEX(Settings!$C$2:$C$7,MATCH(TRIM(CLEAN($D201)),Settings!$A$2:$A$7,0)),""))</f>
        <v/>
      </c>
      <c r="K201" s="7">
        <f>IF(OR($H201="",$I201="",$J201=""),"",ROUND(($H201+$I201)*$J201,2))</f>
        <v/>
      </c>
      <c r="L201" t="n">
        <v>66.38</v>
      </c>
    </row>
    <row r="202" ht="14.25" customHeight="1">
      <c r="A202" s="44" t="n">
        <v>46144</v>
      </c>
      <c r="B202" s="4" t="n">
        <v>900</v>
      </c>
      <c r="C202" s="11" t="inlineStr">
        <is>
          <t>Gierer, Gerald</t>
        </is>
      </c>
      <c r="D202" s="4" t="inlineStr">
        <is>
          <t>SO</t>
        </is>
      </c>
      <c r="E202" s="4" t="n">
        <v>0</v>
      </c>
      <c r="F202" s="4" t="n">
        <v>0</v>
      </c>
      <c r="G202" s="7">
        <f>IF($D202="","",IFERROR(INDEX(Settings!$B$2:$B$7,MATCH(TRIM(CLEAN($D202)),Settings!$A$2:$A$7,0)),""))</f>
        <v/>
      </c>
      <c r="H202" s="7">
        <f>IF(OR($E202="",$G202=""),"",$E202*$G202)</f>
        <v/>
      </c>
      <c r="I202" s="7">
        <f>IF($F202="","",$F202*Settings!$B$9)</f>
        <v/>
      </c>
      <c r="J202" s="7">
        <f>IF($D202="","",IFERROR(INDEX(Settings!$C$2:$C$7,MATCH(TRIM(CLEAN($D202)),Settings!$A$2:$A$7,0)),""))</f>
        <v/>
      </c>
      <c r="K202" s="7">
        <f>IF(OR($H202="",$I202="",$J202=""),"",ROUND(($H202+$I202)*$J202,2))</f>
        <v/>
      </c>
      <c r="L202" t="n">
        <v>0</v>
      </c>
    </row>
    <row r="203" ht="14.25" customHeight="1">
      <c r="A203" s="44" t="n">
        <v>46186</v>
      </c>
      <c r="B203" s="4" t="n">
        <v>500</v>
      </c>
      <c r="C203" s="11" t="inlineStr">
        <is>
          <t>Hojeij, Daniel</t>
        </is>
      </c>
      <c r="D203" s="4" t="inlineStr">
        <is>
          <t>SO</t>
        </is>
      </c>
      <c r="E203" s="4" t="n">
        <v>50</v>
      </c>
      <c r="F203" s="4" t="n">
        <v>8</v>
      </c>
      <c r="G203" s="7">
        <f>IF($D203="","",IFERROR(INDEX(Settings!$B$2:$B$7,MATCH(TRIM(CLEAN($D203)),Settings!$A$2:$A$7,0)),""))</f>
        <v/>
      </c>
      <c r="H203" s="7">
        <f>IF(OR($E203="",$G203=""),"",$E203*$G203)</f>
        <v/>
      </c>
      <c r="I203" s="7">
        <f>IF($F203="","",$F203*Settings!$B$9)</f>
        <v/>
      </c>
      <c r="J203" s="7">
        <f>IF($D203="","",IFERROR(INDEX(Settings!$C$2:$C$7,MATCH(TRIM(CLEAN($D203)),Settings!$A$2:$A$7,0)),""))</f>
        <v/>
      </c>
      <c r="K203" s="7">
        <f>IF(OR($H203="",$I203="",$J203=""),"",ROUND(($H203+$I203)*$J203,2))</f>
        <v/>
      </c>
      <c r="L203" t="n">
        <v>90.72</v>
      </c>
    </row>
    <row r="204" ht="14.25" customHeight="1">
      <c r="A204" s="44" t="n">
        <v>46186</v>
      </c>
      <c r="B204" s="4" t="n">
        <v>500</v>
      </c>
      <c r="C204" s="11" t="inlineStr">
        <is>
          <t>Comerford, Dan</t>
        </is>
      </c>
      <c r="D204" s="4" t="inlineStr">
        <is>
          <t>SO</t>
        </is>
      </c>
      <c r="E204" s="4" t="n">
        <v>50</v>
      </c>
      <c r="F204" s="4" t="n">
        <v>7</v>
      </c>
      <c r="G204" s="7">
        <f>IF($D204="","",IFERROR(INDEX(Settings!$B$2:$B$7,MATCH(TRIM(CLEAN($D204)),Settings!$A$2:$A$7,0)),""))</f>
        <v/>
      </c>
      <c r="H204" s="7">
        <f>IF(OR($E204="",$G204=""),"",$E204*$G204)</f>
        <v/>
      </c>
      <c r="I204" s="7">
        <f>IF($F204="","",$F204*Settings!$B$9)</f>
        <v/>
      </c>
      <c r="J204" s="7">
        <f>IF($D204="","",IFERROR(INDEX(Settings!$C$2:$C$7,MATCH(TRIM(CLEAN($D204)),Settings!$A$2:$A$7,0)),""))</f>
        <v/>
      </c>
      <c r="K204" s="7">
        <f>IF(OR($H204="",$I204="",$J204=""),"",ROUND(($H204+$I204)*$J204,2))</f>
        <v/>
      </c>
      <c r="L204" t="n">
        <v>89.76000000000001</v>
      </c>
    </row>
    <row r="205" ht="14.25" customHeight="1">
      <c r="A205" s="44" t="n">
        <v>46186</v>
      </c>
      <c r="B205" s="4" t="n">
        <v>500</v>
      </c>
      <c r="C205" s="11" t="inlineStr">
        <is>
          <t>Bending, Anthony</t>
        </is>
      </c>
      <c r="D205" s="4" t="inlineStr">
        <is>
          <t>FO</t>
        </is>
      </c>
      <c r="E205" s="4" t="n">
        <v>59</v>
      </c>
      <c r="F205" s="4" t="n">
        <v>6</v>
      </c>
      <c r="G205" s="7">
        <f>IF($D205="","",IFERROR(INDEX(Settings!$B$2:$B$7,MATCH(TRIM(CLEAN($D205)),Settings!$A$2:$A$7,0)),""))</f>
        <v/>
      </c>
      <c r="H205" s="7">
        <f>IF(OR($E205="",$G205=""),"",$E205*$G205)</f>
        <v/>
      </c>
      <c r="I205" s="7">
        <f>IF($F205="","",$F205*Settings!$B$9)</f>
        <v/>
      </c>
      <c r="J205" s="7">
        <f>IF($D205="","",IFERROR(INDEX(Settings!$C$2:$C$7,MATCH(TRIM(CLEAN($D205)),Settings!$A$2:$A$7,0)),""))</f>
        <v/>
      </c>
      <c r="K205" s="7">
        <f>IF(OR($H205="",$I205="",$J205=""),"",ROUND(($H205+$I205)*$J205,2))</f>
        <v/>
      </c>
      <c r="L205" t="n">
        <v>88.86</v>
      </c>
    </row>
    <row r="206" ht="14.25" customHeight="1">
      <c r="A206" s="44" t="n">
        <v>46186</v>
      </c>
      <c r="B206" s="4" t="n">
        <v>500</v>
      </c>
      <c r="C206" s="11" t="inlineStr">
        <is>
          <t>Kilpatrick, Brian</t>
        </is>
      </c>
      <c r="D206" s="4" t="inlineStr">
        <is>
          <t>SP</t>
        </is>
      </c>
      <c r="E206" s="4" t="n">
        <v>50</v>
      </c>
      <c r="F206" s="4" t="n">
        <v>6</v>
      </c>
      <c r="G206" s="7">
        <f>IF($D206="","",IFERROR(INDEX(Settings!$B$2:$B$7,MATCH(TRIM(CLEAN($D206)),Settings!$A$2:$A$7,0)),""))</f>
        <v/>
      </c>
      <c r="H206" s="7">
        <f>IF(OR($E206="",$G206=""),"",$E206*$G206)</f>
        <v/>
      </c>
      <c r="I206" s="7">
        <f>IF($F206="","",$F206*Settings!$B$9)</f>
        <v/>
      </c>
      <c r="J206" s="7">
        <f>IF($D206="","",IFERROR(INDEX(Settings!$C$2:$C$7,MATCH(TRIM(CLEAN($D206)),Settings!$A$2:$A$7,0)),""))</f>
        <v/>
      </c>
      <c r="K206" s="7">
        <f>IF(OR($H206="",$I206="",$J206=""),"",ROUND(($H206+$I206)*$J206,2))</f>
        <v/>
      </c>
      <c r="L206" t="n">
        <v>88.79000000000001</v>
      </c>
    </row>
    <row r="207" ht="14.25" customHeight="1">
      <c r="A207" s="44" t="n">
        <v>46186</v>
      </c>
      <c r="B207" s="4" t="n">
        <v>500</v>
      </c>
      <c r="C207" s="11" t="inlineStr">
        <is>
          <t>Smaldino, Richard</t>
        </is>
      </c>
      <c r="D207" s="4" t="inlineStr">
        <is>
          <t>SP</t>
        </is>
      </c>
      <c r="E207" s="4" t="n">
        <v>49</v>
      </c>
      <c r="F207" s="4" t="n">
        <v>6</v>
      </c>
      <c r="G207" s="7">
        <f>IF($D207="","",IFERROR(INDEX(Settings!$B$2:$B$7,MATCH(TRIM(CLEAN($D207)),Settings!$A$2:$A$7,0)),""))</f>
        <v/>
      </c>
      <c r="H207" s="7">
        <f>IF(OR($E207="",$G207=""),"",$E207*$G207)</f>
        <v/>
      </c>
      <c r="I207" s="7">
        <f>IF($F207="","",$F207*Settings!$B$9)</f>
        <v/>
      </c>
      <c r="J207" s="7">
        <f>IF($D207="","",IFERROR(INDEX(Settings!$C$2:$C$7,MATCH(TRIM(CLEAN($D207)),Settings!$A$2:$A$7,0)),""))</f>
        <v/>
      </c>
      <c r="K207" s="7">
        <f>IF(OR($H207="",$I207="",$J207=""),"",ROUND(($H207+$I207)*$J207,2))</f>
        <v/>
      </c>
      <c r="L207" t="n">
        <v>87.13</v>
      </c>
    </row>
    <row r="208" ht="14.25" customHeight="1">
      <c r="A208" s="44" t="n">
        <v>46186</v>
      </c>
      <c r="B208" s="4" t="n">
        <v>500</v>
      </c>
      <c r="C208" s="11" t="inlineStr">
        <is>
          <t>Chappell, Daryl</t>
        </is>
      </c>
      <c r="D208" s="4" t="inlineStr">
        <is>
          <t>FO</t>
        </is>
      </c>
      <c r="E208" s="4" t="n">
        <v>56</v>
      </c>
      <c r="F208" s="4" t="n">
        <v>5</v>
      </c>
      <c r="G208" s="7">
        <f>IF($D208="","",IFERROR(INDEX(Settings!$B$2:$B$7,MATCH(TRIM(CLEAN($D208)),Settings!$A$2:$A$7,0)),""))</f>
        <v/>
      </c>
      <c r="H208" s="7">
        <f>IF(OR($E208="",$G208=""),"",$E208*$G208)</f>
        <v/>
      </c>
      <c r="I208" s="7">
        <f>IF($F208="","",$F208*Settings!$B$9)</f>
        <v/>
      </c>
      <c r="J208" s="7">
        <f>IF($D208="","",IFERROR(INDEX(Settings!$C$2:$C$7,MATCH(TRIM(CLEAN($D208)),Settings!$A$2:$A$7,0)),""))</f>
        <v/>
      </c>
      <c r="K208" s="7">
        <f>IF(OR($H208="",$I208="",$J208=""),"",ROUND(($H208+$I208)*$J208,2))</f>
        <v/>
      </c>
      <c r="L208" t="n">
        <v>83.66</v>
      </c>
    </row>
    <row r="209" ht="14.25" customHeight="1">
      <c r="A209" s="44" t="n">
        <v>46186</v>
      </c>
      <c r="B209" s="4" t="n">
        <v>500</v>
      </c>
      <c r="C209" s="11" t="inlineStr">
        <is>
          <t>Gierer, Gerald</t>
        </is>
      </c>
      <c r="D209" s="4" t="inlineStr">
        <is>
          <t>SP</t>
        </is>
      </c>
      <c r="E209" s="4" t="n">
        <v>49</v>
      </c>
      <c r="F209" s="4" t="n">
        <v>5</v>
      </c>
      <c r="G209" s="7">
        <f>IF($D209="","",IFERROR(INDEX(Settings!$B$2:$B$7,MATCH(TRIM(CLEAN($D209)),Settings!$A$2:$A$7,0)),""))</f>
        <v/>
      </c>
      <c r="H209" s="7">
        <f>IF(OR($E209="",$G209=""),"",$E209*$G209)</f>
        <v/>
      </c>
      <c r="I209" s="7">
        <f>IF($F209="","",$F209*Settings!$B$9)</f>
        <v/>
      </c>
      <c r="J209" s="7">
        <f>IF($D209="","",IFERROR(INDEX(Settings!$C$2:$C$7,MATCH(TRIM(CLEAN($D209)),Settings!$A$2:$A$7,0)),""))</f>
        <v/>
      </c>
      <c r="K209" s="7">
        <f>IF(OR($H209="",$I209="",$J209=""),"",ROUND(($H209+$I209)*$J209,2))</f>
        <v/>
      </c>
      <c r="L209" t="n">
        <v>86.16</v>
      </c>
    </row>
    <row r="210" ht="14.25" customHeight="1">
      <c r="A210" s="44" t="n">
        <v>46186</v>
      </c>
      <c r="B210" s="4" t="n">
        <v>500</v>
      </c>
      <c r="C210" s="11" t="inlineStr">
        <is>
          <t>Donnelly, Lisa</t>
        </is>
      </c>
      <c r="D210" s="4" t="inlineStr">
        <is>
          <t>FS</t>
        </is>
      </c>
      <c r="E210" s="4" t="n">
        <v>58</v>
      </c>
      <c r="F210" s="4" t="n">
        <v>4</v>
      </c>
      <c r="G210" s="7">
        <f>IF($D210="","",IFERROR(INDEX(Settings!$B$2:$B$7,MATCH(TRIM(CLEAN($D210)),Settings!$A$2:$A$7,0)),""))</f>
        <v/>
      </c>
      <c r="H210" s="7">
        <f>IF(OR($E210="",$G210=""),"",$E210*$G210)</f>
        <v/>
      </c>
      <c r="I210" s="7">
        <f>IF($F210="","",$F210*Settings!$B$9)</f>
        <v/>
      </c>
      <c r="J210" s="7">
        <f>IF($D210="","",IFERROR(INDEX(Settings!$C$2:$C$7,MATCH(TRIM(CLEAN($D210)),Settings!$A$2:$A$7,0)),""))</f>
        <v/>
      </c>
      <c r="K210" s="7">
        <f>IF(OR($H210="",$I210="",$J210=""),"",ROUND(($H210+$I210)*$J210,2))</f>
        <v/>
      </c>
      <c r="L210" t="n">
        <v>89.68000000000001</v>
      </c>
    </row>
    <row r="211" ht="14.25" customHeight="1">
      <c r="A211" s="44" t="n">
        <v>46186</v>
      </c>
      <c r="B211" s="4" t="n">
        <v>500</v>
      </c>
      <c r="C211" s="11" t="inlineStr">
        <is>
          <t>Viccars, Adrian</t>
        </is>
      </c>
      <c r="D211" s="4" t="inlineStr">
        <is>
          <t>SP</t>
        </is>
      </c>
      <c r="E211" s="4" t="n">
        <v>49</v>
      </c>
      <c r="F211" s="4" t="n">
        <v>4</v>
      </c>
      <c r="G211" s="7">
        <f>IF($D211="","",IFERROR(INDEX(Settings!$B$2:$B$7,MATCH(TRIM(CLEAN($D211)),Settings!$A$2:$A$7,0)),""))</f>
        <v/>
      </c>
      <c r="H211" s="7">
        <f>IF(OR($E211="",$G211=""),"",$E211*$G211)</f>
        <v/>
      </c>
      <c r="I211" s="7">
        <f>IF($F211="","",$F211*Settings!$B$9)</f>
        <v/>
      </c>
      <c r="J211" s="7">
        <f>IF($D211="","",IFERROR(INDEX(Settings!$C$2:$C$7,MATCH(TRIM(CLEAN($D211)),Settings!$A$2:$A$7,0)),""))</f>
        <v/>
      </c>
      <c r="K211" s="7">
        <f>IF(OR($H211="",$I211="",$J211=""),"",ROUND(($H211+$I211)*$J211,2))</f>
        <v/>
      </c>
      <c r="L211" t="n">
        <v>85.19</v>
      </c>
    </row>
    <row r="212" ht="14.25" customHeight="1">
      <c r="A212" s="44" t="n">
        <v>46186</v>
      </c>
      <c r="B212" s="4" t="n">
        <v>500</v>
      </c>
      <c r="C212" s="11" t="inlineStr">
        <is>
          <t>Beretta, Chris</t>
        </is>
      </c>
      <c r="D212" s="4" t="inlineStr">
        <is>
          <t>FO</t>
        </is>
      </c>
      <c r="E212" s="4" t="n">
        <v>57</v>
      </c>
      <c r="F212" s="4" t="n">
        <v>3</v>
      </c>
      <c r="G212" s="7">
        <f>IF($D212="","",IFERROR(INDEX(Settings!$B$2:$B$7,MATCH(TRIM(CLEAN($D212)),Settings!$A$2:$A$7,0)),""))</f>
        <v/>
      </c>
      <c r="H212" s="7">
        <f>IF(OR($E212="",$G212=""),"",$E212*$G212)</f>
        <v/>
      </c>
      <c r="I212" s="7">
        <f>IF($F212="","",$F212*Settings!$B$9)</f>
        <v/>
      </c>
      <c r="J212" s="7">
        <f>IF($D212="","",IFERROR(INDEX(Settings!$C$2:$C$7,MATCH(TRIM(CLEAN($D212)),Settings!$A$2:$A$7,0)),""))</f>
        <v/>
      </c>
      <c r="K212" s="7">
        <f>IF(OR($H212="",$I212="",$J212=""),"",ROUND(($H212+$I212)*$J212,2))</f>
        <v/>
      </c>
      <c r="L212" t="n">
        <v>83.09</v>
      </c>
    </row>
    <row r="213" ht="14.25" customHeight="1">
      <c r="A213" s="44" t="n">
        <v>46186</v>
      </c>
      <c r="B213" s="4" t="n">
        <v>500</v>
      </c>
      <c r="C213" s="11" t="inlineStr">
        <is>
          <t>Wilson, Brendan</t>
        </is>
      </c>
      <c r="D213" s="4" t="inlineStr">
        <is>
          <t>FS</t>
        </is>
      </c>
      <c r="E213" s="4" t="n">
        <v>58</v>
      </c>
      <c r="F213" s="4" t="n">
        <v>3</v>
      </c>
      <c r="G213" s="7">
        <f>IF($D213="","",IFERROR(INDEX(Settings!$B$2:$B$7,MATCH(TRIM(CLEAN($D213)),Settings!$A$2:$A$7,0)),""))</f>
        <v/>
      </c>
      <c r="H213" s="7">
        <f>IF(OR($E213="",$G213=""),"",$E213*$G213)</f>
        <v/>
      </c>
      <c r="I213" s="7">
        <f>IF($F213="","",$F213*Settings!$B$9)</f>
        <v/>
      </c>
      <c r="J213" s="7">
        <f>IF($D213="","",IFERROR(INDEX(Settings!$C$2:$C$7,MATCH(TRIM(CLEAN($D213)),Settings!$A$2:$A$7,0)),""))</f>
        <v/>
      </c>
      <c r="K213" s="7">
        <f>IF(OR($H213="",$I213="",$J213=""),"",ROUND(($H213+$I213)*$J213,2))</f>
        <v/>
      </c>
      <c r="L213" t="n">
        <v>88.65000000000001</v>
      </c>
    </row>
    <row r="214" ht="14.25" customHeight="1">
      <c r="A214" s="44" t="n">
        <v>46186</v>
      </c>
      <c r="B214" s="4" t="n">
        <v>500</v>
      </c>
      <c r="C214" s="11" t="inlineStr">
        <is>
          <t>Staley, Eric</t>
        </is>
      </c>
      <c r="D214" s="4" t="inlineStr">
        <is>
          <t>SO</t>
        </is>
      </c>
      <c r="E214" s="4" t="n">
        <v>49</v>
      </c>
      <c r="F214" s="4" t="n">
        <v>3</v>
      </c>
      <c r="G214" s="7">
        <f>IF($D214="","",IFERROR(INDEX(Settings!$B$2:$B$7,MATCH(TRIM(CLEAN($D214)),Settings!$A$2:$A$7,0)),""))</f>
        <v/>
      </c>
      <c r="H214" s="7">
        <f>IF(OR($E214="",$G214=""),"",$E214*$G214)</f>
        <v/>
      </c>
      <c r="I214" s="7">
        <f>IF($F214="","",$F214*Settings!$B$9)</f>
        <v/>
      </c>
      <c r="J214" s="7">
        <f>IF($D214="","",IFERROR(INDEX(Settings!$C$2:$C$7,MATCH(TRIM(CLEAN($D214)),Settings!$A$2:$A$7,0)),""))</f>
        <v/>
      </c>
      <c r="K214" s="7">
        <f>IF(OR($H214="",$I214="",$J214=""),"",ROUND(($H214+$I214)*$J214,2))</f>
        <v/>
      </c>
      <c r="L214" t="n">
        <v>84.22</v>
      </c>
    </row>
    <row r="215" ht="14.25" customHeight="1">
      <c r="A215" s="44" t="n">
        <v>46186</v>
      </c>
      <c r="B215" s="4" t="n">
        <v>500</v>
      </c>
      <c r="C215" s="11" t="inlineStr">
        <is>
          <t>Greed, Adrian</t>
        </is>
      </c>
      <c r="D215" s="4" t="inlineStr">
        <is>
          <t>TR</t>
        </is>
      </c>
      <c r="E215" s="4" t="n">
        <v>48</v>
      </c>
      <c r="F215" s="4" t="n">
        <v>3</v>
      </c>
      <c r="G215" s="7">
        <f>IF($D215="","",IFERROR(INDEX(Settings!$B$2:$B$7,MATCH(TRIM(CLEAN($D215)),Settings!$A$2:$A$7,0)),""))</f>
        <v/>
      </c>
      <c r="H215" s="7">
        <f>IF(OR($E215="",$G215=""),"",$E215*$G215)</f>
        <v/>
      </c>
      <c r="I215" s="7">
        <f>IF($F215="","",$F215*Settings!$B$9)</f>
        <v/>
      </c>
      <c r="J215" s="7">
        <f>IF($D215="","",IFERROR(INDEX(Settings!$C$2:$C$7,MATCH(TRIM(CLEAN($D215)),Settings!$A$2:$A$7,0)),""))</f>
        <v/>
      </c>
      <c r="K215" s="7">
        <f>IF(OR($H215="",$I215="",$J215=""),"",ROUND(($H215+$I215)*$J215,2))</f>
        <v/>
      </c>
      <c r="L215" t="n">
        <v>84.3</v>
      </c>
    </row>
    <row r="216" ht="14.25" customHeight="1">
      <c r="A216" s="44" t="n">
        <v>46186</v>
      </c>
      <c r="B216" s="4" t="n">
        <v>500</v>
      </c>
      <c r="C216" s="11" t="inlineStr">
        <is>
          <t>Thomson, Peter</t>
        </is>
      </c>
      <c r="D216" s="4" t="inlineStr">
        <is>
          <t>SP</t>
        </is>
      </c>
      <c r="E216" s="4" t="n">
        <v>47</v>
      </c>
      <c r="F216" s="4" t="n">
        <v>3</v>
      </c>
      <c r="G216" s="7">
        <f>IF($D216="","",IFERROR(INDEX(Settings!$B$2:$B$7,MATCH(TRIM(CLEAN($D216)),Settings!$A$2:$A$7,0)),""))</f>
        <v/>
      </c>
      <c r="H216" s="7">
        <f>IF(OR($E216="",$G216=""),"",$E216*$G216)</f>
        <v/>
      </c>
      <c r="I216" s="7">
        <f>IF($F216="","",$F216*Settings!$B$9)</f>
        <v/>
      </c>
      <c r="J216" s="7">
        <f>IF($D216="","",IFERROR(INDEX(Settings!$C$2:$C$7,MATCH(TRIM(CLEAN($D216)),Settings!$A$2:$A$7,0)),""))</f>
        <v/>
      </c>
      <c r="K216" s="7">
        <f>IF(OR($H216="",$I216="",$J216=""),"",ROUND(($H216+$I216)*$J216,2))</f>
        <v/>
      </c>
      <c r="L216" t="n">
        <v>80.91</v>
      </c>
    </row>
    <row r="217" ht="14.25" customHeight="1">
      <c r="A217" s="44" t="n">
        <v>46186</v>
      </c>
      <c r="B217" s="4" t="n">
        <v>500</v>
      </c>
      <c r="C217" s="11" t="inlineStr">
        <is>
          <t>Heath, David</t>
        </is>
      </c>
      <c r="D217" s="4" t="inlineStr">
        <is>
          <t>TR</t>
        </is>
      </c>
      <c r="E217" s="4" t="n">
        <v>47</v>
      </c>
      <c r="F217" s="4" t="n">
        <v>3</v>
      </c>
      <c r="G217" s="7">
        <f>IF($D217="","",IFERROR(INDEX(Settings!$B$2:$B$7,MATCH(TRIM(CLEAN($D217)),Settings!$A$2:$A$7,0)),""))</f>
        <v/>
      </c>
      <c r="H217" s="7">
        <f>IF(OR($E217="",$G217=""),"",$E217*$G217)</f>
        <v/>
      </c>
      <c r="I217" s="7">
        <f>IF($F217="","",$F217*Settings!$B$9)</f>
        <v/>
      </c>
      <c r="J217" s="7">
        <f>IF($D217="","",IFERROR(INDEX(Settings!$C$2:$C$7,MATCH(TRIM(CLEAN($D217)),Settings!$A$2:$A$7,0)),""))</f>
        <v/>
      </c>
      <c r="K217" s="7">
        <f>IF(OR($H217="",$I217="",$J217=""),"",ROUND(($H217+$I217)*$J217,2))</f>
        <v/>
      </c>
      <c r="L217" t="n">
        <v>82.59999999999999</v>
      </c>
    </row>
    <row r="218" ht="14.25" customHeight="1">
      <c r="A218" s="44" t="n">
        <v>46186</v>
      </c>
      <c r="B218" s="4" t="n">
        <v>500</v>
      </c>
      <c r="C218" s="11" t="inlineStr">
        <is>
          <t>Mann, Neil</t>
        </is>
      </c>
      <c r="D218" s="4" t="inlineStr">
        <is>
          <t>SP</t>
        </is>
      </c>
      <c r="E218" s="4" t="n">
        <v>48</v>
      </c>
      <c r="F218" s="4" t="n">
        <v>3</v>
      </c>
      <c r="G218" s="7">
        <f>IF($D218="","",IFERROR(INDEX(Settings!$B$2:$B$7,MATCH(TRIM(CLEAN($D218)),Settings!$A$2:$A$7,0)),""))</f>
        <v/>
      </c>
      <c r="H218" s="7">
        <f>IF(OR($E218="",$G218=""),"",$E218*$G218)</f>
        <v/>
      </c>
      <c r="I218" s="7">
        <f>IF($F218="","",$F218*Settings!$B$9)</f>
        <v/>
      </c>
      <c r="J218" s="7">
        <f>IF($D218="","",IFERROR(INDEX(Settings!$C$2:$C$7,MATCH(TRIM(CLEAN($D218)),Settings!$A$2:$A$7,0)),""))</f>
        <v/>
      </c>
      <c r="K218" s="7">
        <f>IF(OR($H218="",$I218="",$J218=""),"",ROUND(($H218+$I218)*$J218,2))</f>
        <v/>
      </c>
      <c r="L218" t="n">
        <v>82.56999999999999</v>
      </c>
    </row>
    <row r="219" ht="14.25" customHeight="1">
      <c r="A219" s="44" t="n">
        <v>46186</v>
      </c>
      <c r="B219" s="4" t="n">
        <v>500</v>
      </c>
      <c r="C219" s="11" t="inlineStr">
        <is>
          <t>Hanna, John</t>
        </is>
      </c>
      <c r="D219" s="4" t="inlineStr">
        <is>
          <t>SP</t>
        </is>
      </c>
      <c r="E219" s="4" t="n">
        <v>49</v>
      </c>
      <c r="F219" s="4" t="n">
        <v>3</v>
      </c>
      <c r="G219" s="7">
        <f>IF($D219="","",IFERROR(INDEX(Settings!$B$2:$B$7,MATCH(TRIM(CLEAN($D219)),Settings!$A$2:$A$7,0)),""))</f>
        <v/>
      </c>
      <c r="H219" s="7">
        <f>IF(OR($E219="",$G219=""),"",$E219*$G219)</f>
        <v/>
      </c>
      <c r="I219" s="7">
        <f>IF($F219="","",$F219*Settings!$B$9)</f>
        <v/>
      </c>
      <c r="J219" s="7">
        <f>IF($D219="","",IFERROR(INDEX(Settings!$C$2:$C$7,MATCH(TRIM(CLEAN($D219)),Settings!$A$2:$A$7,0)),""))</f>
        <v/>
      </c>
      <c r="K219" s="7">
        <f>IF(OR($H219="",$I219="",$J219=""),"",ROUND(($H219+$I219)*$J219,2))</f>
        <v/>
      </c>
      <c r="L219" t="n">
        <v>84.22</v>
      </c>
    </row>
    <row r="220" ht="14.25" customHeight="1">
      <c r="A220" s="44" t="n">
        <v>46186</v>
      </c>
      <c r="B220" s="4" t="n">
        <v>500</v>
      </c>
      <c r="C220" s="11" t="inlineStr">
        <is>
          <t>Gwyn, Stephen</t>
        </is>
      </c>
      <c r="D220" s="4" t="inlineStr">
        <is>
          <t>SO</t>
        </is>
      </c>
      <c r="E220" s="4" t="n">
        <v>49</v>
      </c>
      <c r="F220" s="4" t="n">
        <v>3</v>
      </c>
      <c r="G220" s="7">
        <f>IF($D220="","",IFERROR(INDEX(Settings!$B$2:$B$7,MATCH(TRIM(CLEAN($D220)),Settings!$A$2:$A$7,0)),""))</f>
        <v/>
      </c>
      <c r="H220" s="7">
        <f>IF(OR($E220="",$G220=""),"",$E220*$G220)</f>
        <v/>
      </c>
      <c r="I220" s="7">
        <f>IF($F220="","",$F220*Settings!$B$9)</f>
        <v/>
      </c>
      <c r="J220" s="7">
        <f>IF($D220="","",IFERROR(INDEX(Settings!$C$2:$C$7,MATCH(TRIM(CLEAN($D220)),Settings!$A$2:$A$7,0)),""))</f>
        <v/>
      </c>
      <c r="K220" s="7">
        <f>IF(OR($H220="",$I220="",$J220=""),"",ROUND(($H220+$I220)*$J220,2))</f>
        <v/>
      </c>
      <c r="L220" t="n">
        <v>84.22</v>
      </c>
    </row>
    <row r="221" ht="14.25" customHeight="1">
      <c r="A221" s="44" t="n">
        <v>46186</v>
      </c>
      <c r="B221" s="4" t="n">
        <v>500</v>
      </c>
      <c r="C221" s="11" t="inlineStr">
        <is>
          <t>Patto, Nick</t>
        </is>
      </c>
      <c r="D221" s="4" t="inlineStr">
        <is>
          <t>FO</t>
        </is>
      </c>
      <c r="E221" s="4" t="n">
        <v>55</v>
      </c>
      <c r="F221" s="4" t="n">
        <v>2</v>
      </c>
      <c r="G221" s="7">
        <f>IF($D221="","",IFERROR(INDEX(Settings!$B$2:$B$7,MATCH(TRIM(CLEAN($D221)),Settings!$A$2:$A$7,0)),""))</f>
        <v/>
      </c>
      <c r="H221" s="7">
        <f>IF(OR($E221="",$G221=""),"",$E221*$G221)</f>
        <v/>
      </c>
      <c r="I221" s="7">
        <f>IF($F221="","",$F221*Settings!$B$9)</f>
        <v/>
      </c>
      <c r="J221" s="7">
        <f>IF($D221="","",IFERROR(INDEX(Settings!$C$2:$C$7,MATCH(TRIM(CLEAN($D221)),Settings!$A$2:$A$7,0)),""))</f>
        <v/>
      </c>
      <c r="K221" s="7">
        <f>IF(OR($H221="",$I221="",$J221=""),"",ROUND(($H221+$I221)*$J221,2))</f>
        <v/>
      </c>
      <c r="L221" t="n">
        <v>79.3</v>
      </c>
    </row>
    <row r="222" ht="14.25" customHeight="1">
      <c r="A222" s="44" t="n">
        <v>46186</v>
      </c>
      <c r="B222" s="4" t="n">
        <v>500</v>
      </c>
      <c r="C222" s="11" t="inlineStr">
        <is>
          <t>Heath, Warwick</t>
        </is>
      </c>
      <c r="D222" s="4" t="inlineStr">
        <is>
          <t>FTR</t>
        </is>
      </c>
      <c r="E222" s="4" t="n">
        <v>47</v>
      </c>
      <c r="F222" s="4" t="n">
        <v>2</v>
      </c>
      <c r="G222" s="7">
        <f>IF($D222="","",IFERROR(INDEX(Settings!$B$2:$B$7,MATCH(TRIM(CLEAN($D222)),Settings!$A$2:$A$7,0)),""))</f>
        <v/>
      </c>
      <c r="H222" s="7">
        <f>IF(OR($E222="",$G222=""),"",$E222*$G222)</f>
        <v/>
      </c>
      <c r="I222" s="7">
        <f>IF($F222="","",$F222*Settings!$B$9)</f>
        <v/>
      </c>
      <c r="J222" s="7">
        <f>IF($D222="","",IFERROR(INDEX(Settings!$C$2:$C$7,MATCH(TRIM(CLEAN($D222)),Settings!$A$2:$A$7,0)),""))</f>
        <v/>
      </c>
      <c r="K222" s="7">
        <f>IF(OR($H222="",$I222="",$J222=""),"",ROUND(($H222+$I222)*$J222,2))</f>
        <v/>
      </c>
      <c r="L222" t="n">
        <v>70.18000000000001</v>
      </c>
    </row>
    <row r="223" ht="14.25" customHeight="1">
      <c r="A223" s="44" t="n">
        <v>46186</v>
      </c>
      <c r="B223" s="4" t="n">
        <v>500</v>
      </c>
      <c r="C223" s="11" t="inlineStr">
        <is>
          <t>Toh, Keith</t>
        </is>
      </c>
      <c r="D223" s="4" t="inlineStr">
        <is>
          <t>TR</t>
        </is>
      </c>
      <c r="E223" s="4" t="n">
        <v>48</v>
      </c>
      <c r="F223" s="4" t="n">
        <v>2</v>
      </c>
      <c r="G223" s="7">
        <f>IF($D223="","",IFERROR(INDEX(Settings!$B$2:$B$7,MATCH(TRIM(CLEAN($D223)),Settings!$A$2:$A$7,0)),""))</f>
        <v/>
      </c>
      <c r="H223" s="7">
        <f>IF(OR($E223="",$G223=""),"",$E223*$G223)</f>
        <v/>
      </c>
      <c r="I223" s="7">
        <f>IF($F223="","",$F223*Settings!$B$9)</f>
        <v/>
      </c>
      <c r="J223" s="7">
        <f>IF($D223="","",IFERROR(INDEX(Settings!$C$2:$C$7,MATCH(TRIM(CLEAN($D223)),Settings!$A$2:$A$7,0)),""))</f>
        <v/>
      </c>
      <c r="K223" s="7">
        <f>IF(OR($H223="",$I223="",$J223=""),"",ROUND(($H223+$I223)*$J223,2))</f>
        <v/>
      </c>
      <c r="L223" t="n">
        <v>83.31</v>
      </c>
    </row>
    <row r="224" ht="14.25" customHeight="1">
      <c r="A224" s="44" t="n">
        <v>46186</v>
      </c>
      <c r="B224" s="4" t="n">
        <v>500</v>
      </c>
      <c r="C224" s="11" t="inlineStr">
        <is>
          <t>Cook, Andrew</t>
        </is>
      </c>
      <c r="D224" s="4" t="inlineStr">
        <is>
          <t>FS</t>
        </is>
      </c>
      <c r="E224" s="4" t="n">
        <v>58</v>
      </c>
      <c r="F224" s="4" t="n">
        <v>1</v>
      </c>
      <c r="G224" s="7">
        <f>IF($D224="","",IFERROR(INDEX(Settings!$B$2:$B$7,MATCH(TRIM(CLEAN($D224)),Settings!$A$2:$A$7,0)),""))</f>
        <v/>
      </c>
      <c r="H224" s="7">
        <f>IF(OR($E224="",$G224=""),"",$E224*$G224)</f>
        <v/>
      </c>
      <c r="I224" s="7">
        <f>IF($F224="","",$F224*Settings!$B$9)</f>
        <v/>
      </c>
      <c r="J224" s="7">
        <f>IF($D224="","",IFERROR(INDEX(Settings!$C$2:$C$7,MATCH(TRIM(CLEAN($D224)),Settings!$A$2:$A$7,0)),""))</f>
        <v/>
      </c>
      <c r="K224" s="7">
        <f>IF(OR($H224="",$I224="",$J224=""),"",ROUND(($H224+$I224)*$J224,2))</f>
        <v/>
      </c>
      <c r="L224" t="n">
        <v>86.58</v>
      </c>
    </row>
    <row r="225" ht="14.25" customHeight="1">
      <c r="A225" s="44" t="n">
        <v>46186</v>
      </c>
      <c r="B225" s="4" t="n">
        <v>500</v>
      </c>
      <c r="C225" s="11" t="inlineStr">
        <is>
          <t>Shepherd, David</t>
        </is>
      </c>
      <c r="D225" s="4" t="inlineStr">
        <is>
          <t>FS</t>
        </is>
      </c>
      <c r="E225" s="4" t="n">
        <v>55</v>
      </c>
      <c r="F225" s="4" t="n">
        <v>1</v>
      </c>
      <c r="G225" s="7">
        <f>IF($D225="","",IFERROR(INDEX(Settings!$B$2:$B$7,MATCH(TRIM(CLEAN($D225)),Settings!$A$2:$A$7,0)),""))</f>
        <v/>
      </c>
      <c r="H225" s="7">
        <f>IF(OR($E225="",$G225=""),"",$E225*$G225)</f>
        <v/>
      </c>
      <c r="I225" s="7">
        <f>IF($F225="","",$F225*Settings!$B$9)</f>
        <v/>
      </c>
      <c r="J225" s="7">
        <f>IF($D225="","",IFERROR(INDEX(Settings!$C$2:$C$7,MATCH(TRIM(CLEAN($D225)),Settings!$A$2:$A$7,0)),""))</f>
        <v/>
      </c>
      <c r="K225" s="7">
        <f>IF(OR($H225="",$I225="",$J225=""),"",ROUND(($H225+$I225)*$J225,2))</f>
        <v/>
      </c>
      <c r="L225" t="n">
        <v>82.16</v>
      </c>
    </row>
    <row r="226" ht="14.25" customHeight="1">
      <c r="A226" s="44" t="n">
        <v>46186</v>
      </c>
      <c r="B226" s="4" t="n">
        <v>600</v>
      </c>
      <c r="C226" s="11" t="inlineStr">
        <is>
          <t>Kilpatrick, Brian</t>
        </is>
      </c>
      <c r="D226" s="4" t="inlineStr">
        <is>
          <t>SP</t>
        </is>
      </c>
      <c r="E226" s="4" t="n">
        <v>49</v>
      </c>
      <c r="F226" s="4" t="n">
        <v>7</v>
      </c>
      <c r="G226" s="7">
        <f>IF($D226="","",IFERROR(INDEX(Settings!$B$2:$B$7,MATCH(TRIM(CLEAN($D226)),Settings!$A$2:$A$7,0)),""))</f>
        <v/>
      </c>
      <c r="H226" s="7">
        <f>IF(OR($E226="",$G226=""),"",$E226*$G226)</f>
        <v/>
      </c>
      <c r="I226" s="7">
        <f>IF($F226="","",$F226*Settings!$B$9)</f>
        <v/>
      </c>
      <c r="J226" s="7">
        <f>IF($D226="","",IFERROR(INDEX(Settings!$C$2:$C$7,MATCH(TRIM(CLEAN($D226)),Settings!$A$2:$A$7,0)),""))</f>
        <v/>
      </c>
      <c r="K226" s="7">
        <f>IF(OR($H226="",$I226="",$J226=""),"",ROUND(($H226+$I226)*$J226,2))</f>
        <v/>
      </c>
      <c r="L226" t="n">
        <v>88.09999999999999</v>
      </c>
    </row>
    <row r="227" ht="14.25" customHeight="1">
      <c r="A227" s="44" t="n">
        <v>46186</v>
      </c>
      <c r="B227" s="4" t="n">
        <v>600</v>
      </c>
      <c r="C227" s="11" t="inlineStr">
        <is>
          <t>Comerford, Dan</t>
        </is>
      </c>
      <c r="D227" s="4" t="inlineStr">
        <is>
          <t>SO</t>
        </is>
      </c>
      <c r="E227" s="4" t="n">
        <v>50</v>
      </c>
      <c r="F227" s="4" t="n">
        <v>6</v>
      </c>
      <c r="G227" s="7">
        <f>IF($D227="","",IFERROR(INDEX(Settings!$B$2:$B$7,MATCH(TRIM(CLEAN($D227)),Settings!$A$2:$A$7,0)),""))</f>
        <v/>
      </c>
      <c r="H227" s="7">
        <f>IF(OR($E227="",$G227=""),"",$E227*$G227)</f>
        <v/>
      </c>
      <c r="I227" s="7">
        <f>IF($F227="","",$F227*Settings!$B$9)</f>
        <v/>
      </c>
      <c r="J227" s="7">
        <f>IF($D227="","",IFERROR(INDEX(Settings!$C$2:$C$7,MATCH(TRIM(CLEAN($D227)),Settings!$A$2:$A$7,0)),""))</f>
        <v/>
      </c>
      <c r="K227" s="7">
        <f>IF(OR($H227="",$I227="",$J227=""),"",ROUND(($H227+$I227)*$J227,2))</f>
        <v/>
      </c>
      <c r="L227" t="n">
        <v>88.79000000000001</v>
      </c>
    </row>
    <row r="228" ht="14.25" customHeight="1">
      <c r="A228" s="44" t="n">
        <v>46186</v>
      </c>
      <c r="B228" s="4" t="n">
        <v>600</v>
      </c>
      <c r="C228" s="11" t="inlineStr">
        <is>
          <t>Smaldino, Richard</t>
        </is>
      </c>
      <c r="D228" s="4" t="inlineStr">
        <is>
          <t>SP</t>
        </is>
      </c>
      <c r="E228" s="4" t="n">
        <v>49</v>
      </c>
      <c r="F228" s="4" t="n">
        <v>6</v>
      </c>
      <c r="G228" s="7">
        <f>IF($D228="","",IFERROR(INDEX(Settings!$B$2:$B$7,MATCH(TRIM(CLEAN($D228)),Settings!$A$2:$A$7,0)),""))</f>
        <v/>
      </c>
      <c r="H228" s="7">
        <f>IF(OR($E228="",$G228=""),"",$E228*$G228)</f>
        <v/>
      </c>
      <c r="I228" s="7">
        <f>IF($F228="","",$F228*Settings!$B$9)</f>
        <v/>
      </c>
      <c r="J228" s="7">
        <f>IF($D228="","",IFERROR(INDEX(Settings!$C$2:$C$7,MATCH(TRIM(CLEAN($D228)),Settings!$A$2:$A$7,0)),""))</f>
        <v/>
      </c>
      <c r="K228" s="7">
        <f>IF(OR($H228="",$I228="",$J228=""),"",ROUND(($H228+$I228)*$J228,2))</f>
        <v/>
      </c>
      <c r="L228" t="n">
        <v>87.13</v>
      </c>
    </row>
    <row r="229" ht="14.25" customHeight="1">
      <c r="A229" s="44" t="n">
        <v>46186</v>
      </c>
      <c r="B229" s="4" t="n">
        <v>600</v>
      </c>
      <c r="C229" s="11" t="inlineStr">
        <is>
          <t>Beretta, Chris</t>
        </is>
      </c>
      <c r="D229" s="4" t="inlineStr">
        <is>
          <t>FO</t>
        </is>
      </c>
      <c r="E229" s="4" t="n">
        <v>59</v>
      </c>
      <c r="F229" s="4" t="n">
        <v>5</v>
      </c>
      <c r="G229" s="7">
        <f>IF($D229="","",IFERROR(INDEX(Settings!$B$2:$B$7,MATCH(TRIM(CLEAN($D229)),Settings!$A$2:$A$7,0)),""))</f>
        <v/>
      </c>
      <c r="H229" s="7">
        <f>IF(OR($E229="",$G229=""),"",$E229*$G229)</f>
        <v/>
      </c>
      <c r="I229" s="7">
        <f>IF($F229="","",$F229*Settings!$B$9)</f>
        <v/>
      </c>
      <c r="J229" s="7">
        <f>IF($D229="","",IFERROR(INDEX(Settings!$C$2:$C$7,MATCH(TRIM(CLEAN($D229)),Settings!$A$2:$A$7,0)),""))</f>
        <v/>
      </c>
      <c r="K229" s="7">
        <f>IF(OR($H229="",$I229="",$J229=""),"",ROUND(($H229+$I229)*$J229,2))</f>
        <v/>
      </c>
      <c r="L229" t="n">
        <v>87.88</v>
      </c>
    </row>
    <row r="230" ht="14.25" customHeight="1">
      <c r="A230" s="44" t="n">
        <v>46186</v>
      </c>
      <c r="B230" s="4" t="n">
        <v>600</v>
      </c>
      <c r="C230" s="11" t="inlineStr">
        <is>
          <t>Hojeij, Daniel</t>
        </is>
      </c>
      <c r="D230" s="4" t="inlineStr">
        <is>
          <t>SO</t>
        </is>
      </c>
      <c r="E230" s="4" t="n">
        <v>50</v>
      </c>
      <c r="F230" s="4" t="n">
        <v>5</v>
      </c>
      <c r="G230" s="7">
        <f>IF($D230="","",IFERROR(INDEX(Settings!$B$2:$B$7,MATCH(TRIM(CLEAN($D230)),Settings!$A$2:$A$7,0)),""))</f>
        <v/>
      </c>
      <c r="H230" s="7">
        <f>IF(OR($E230="",$G230=""),"",$E230*$G230)</f>
        <v/>
      </c>
      <c r="I230" s="7">
        <f>IF($F230="","",$F230*Settings!$B$9)</f>
        <v/>
      </c>
      <c r="J230" s="7">
        <f>IF($D230="","",IFERROR(INDEX(Settings!$C$2:$C$7,MATCH(TRIM(CLEAN($D230)),Settings!$A$2:$A$7,0)),""))</f>
        <v/>
      </c>
      <c r="K230" s="7">
        <f>IF(OR($H230="",$I230="",$J230=""),"",ROUND(($H230+$I230)*$J230,2))</f>
        <v/>
      </c>
      <c r="L230" t="n">
        <v>87.81999999999999</v>
      </c>
    </row>
    <row r="231" ht="14.25" customHeight="1">
      <c r="A231" s="44" t="n">
        <v>46186</v>
      </c>
      <c r="B231" s="4" t="n">
        <v>600</v>
      </c>
      <c r="C231" s="11" t="inlineStr">
        <is>
          <t>Cook, Andrew</t>
        </is>
      </c>
      <c r="D231" s="4" t="inlineStr">
        <is>
          <t>FS</t>
        </is>
      </c>
      <c r="E231" s="4" t="n">
        <v>55</v>
      </c>
      <c r="F231" s="4" t="n">
        <v>4</v>
      </c>
      <c r="G231" s="7">
        <f>IF($D231="","",IFERROR(INDEX(Settings!$B$2:$B$7,MATCH(TRIM(CLEAN($D231)),Settings!$A$2:$A$7,0)),""))</f>
        <v/>
      </c>
      <c r="H231" s="7">
        <f>IF(OR($E231="",$G231=""),"",$E231*$G231)</f>
        <v/>
      </c>
      <c r="I231" s="7">
        <f>IF($F231="","",$F231*Settings!$B$9)</f>
        <v/>
      </c>
      <c r="J231" s="7">
        <f>IF($D231="","",IFERROR(INDEX(Settings!$C$2:$C$7,MATCH(TRIM(CLEAN($D231)),Settings!$A$2:$A$7,0)),""))</f>
        <v/>
      </c>
      <c r="K231" s="7">
        <f>IF(OR($H231="",$I231="",$J231=""),"",ROUND(($H231+$I231)*$J231,2))</f>
        <v/>
      </c>
      <c r="L231" t="n">
        <v>85.25</v>
      </c>
    </row>
    <row r="232" ht="14.25" customHeight="1">
      <c r="A232" s="44" t="n">
        <v>46186</v>
      </c>
      <c r="B232" s="4" t="n">
        <v>600</v>
      </c>
      <c r="C232" s="11" t="inlineStr">
        <is>
          <t>Staley, Eric</t>
        </is>
      </c>
      <c r="D232" s="4" t="inlineStr">
        <is>
          <t>SO</t>
        </is>
      </c>
      <c r="E232" s="4" t="n">
        <v>50</v>
      </c>
      <c r="F232" s="4" t="n">
        <v>4</v>
      </c>
      <c r="G232" s="7">
        <f>IF($D232="","",IFERROR(INDEX(Settings!$B$2:$B$7,MATCH(TRIM(CLEAN($D232)),Settings!$A$2:$A$7,0)),""))</f>
        <v/>
      </c>
      <c r="H232" s="7">
        <f>IF(OR($E232="",$G232=""),"",$E232*$G232)</f>
        <v/>
      </c>
      <c r="I232" s="7">
        <f>IF($F232="","",$F232*Settings!$B$9)</f>
        <v/>
      </c>
      <c r="J232" s="7">
        <f>IF($D232="","",IFERROR(INDEX(Settings!$C$2:$C$7,MATCH(TRIM(CLEAN($D232)),Settings!$A$2:$A$7,0)),""))</f>
        <v/>
      </c>
      <c r="K232" s="7">
        <f>IF(OR($H232="",$I232="",$J232=""),"",ROUND(($H232+$I232)*$J232,2))</f>
        <v/>
      </c>
      <c r="L232" t="n">
        <v>86.84999999999999</v>
      </c>
    </row>
    <row r="233" ht="14.25" customHeight="1">
      <c r="A233" s="44" t="n">
        <v>46186</v>
      </c>
      <c r="B233" s="4" t="n">
        <v>600</v>
      </c>
      <c r="C233" s="11" t="inlineStr">
        <is>
          <t>Viccars, Adrian</t>
        </is>
      </c>
      <c r="D233" s="4" t="inlineStr">
        <is>
          <t>SP</t>
        </is>
      </c>
      <c r="E233" s="4" t="n">
        <v>48</v>
      </c>
      <c r="F233" s="4" t="n">
        <v>4</v>
      </c>
      <c r="G233" s="7">
        <f>IF($D233="","",IFERROR(INDEX(Settings!$B$2:$B$7,MATCH(TRIM(CLEAN($D233)),Settings!$A$2:$A$7,0)),""))</f>
        <v/>
      </c>
      <c r="H233" s="7">
        <f>IF(OR($E233="",$G233=""),"",$E233*$G233)</f>
        <v/>
      </c>
      <c r="I233" s="7">
        <f>IF($F233="","",$F233*Settings!$B$9)</f>
        <v/>
      </c>
      <c r="J233" s="7">
        <f>IF($D233="","",IFERROR(INDEX(Settings!$C$2:$C$7,MATCH(TRIM(CLEAN($D233)),Settings!$A$2:$A$7,0)),""))</f>
        <v/>
      </c>
      <c r="K233" s="7">
        <f>IF(OR($H233="",$I233="",$J233=""),"",ROUND(($H233+$I233)*$J233,2))</f>
        <v/>
      </c>
      <c r="L233" t="n">
        <v>83.53</v>
      </c>
    </row>
    <row r="234" ht="14.25" customHeight="1">
      <c r="A234" s="44" t="n">
        <v>46186</v>
      </c>
      <c r="B234" s="4" t="n">
        <v>600</v>
      </c>
      <c r="C234" s="11" t="inlineStr">
        <is>
          <t>Bending, Anthony</t>
        </is>
      </c>
      <c r="D234" s="4" t="inlineStr">
        <is>
          <t>FO</t>
        </is>
      </c>
      <c r="E234" s="4" t="n">
        <v>54</v>
      </c>
      <c r="F234" s="4" t="n">
        <v>3</v>
      </c>
      <c r="G234" s="7">
        <f>IF($D234="","",IFERROR(INDEX(Settings!$B$2:$B$7,MATCH(TRIM(CLEAN($D234)),Settings!$A$2:$A$7,0)),""))</f>
        <v/>
      </c>
      <c r="H234" s="7">
        <f>IF(OR($E234="",$G234=""),"",$E234*$G234)</f>
        <v/>
      </c>
      <c r="I234" s="7">
        <f>IF($F234="","",$F234*Settings!$B$9)</f>
        <v/>
      </c>
      <c r="J234" s="7">
        <f>IF($D234="","",IFERROR(INDEX(Settings!$C$2:$C$7,MATCH(TRIM(CLEAN($D234)),Settings!$A$2:$A$7,0)),""))</f>
        <v/>
      </c>
      <c r="K234" s="7">
        <f>IF(OR($H234="",$I234="",$J234=""),"",ROUND(($H234+$I234)*$J234,2))</f>
        <v/>
      </c>
      <c r="L234" t="n">
        <v>78.88</v>
      </c>
    </row>
    <row r="235" ht="14.25" customHeight="1">
      <c r="A235" s="44" t="n">
        <v>46186</v>
      </c>
      <c r="B235" s="4" t="n">
        <v>600</v>
      </c>
      <c r="C235" s="11" t="inlineStr">
        <is>
          <t>Shepherd, David</t>
        </is>
      </c>
      <c r="D235" s="4" t="inlineStr">
        <is>
          <t>FS</t>
        </is>
      </c>
      <c r="E235" s="4" t="n">
        <v>56</v>
      </c>
      <c r="F235" s="4" t="n">
        <v>3</v>
      </c>
      <c r="G235" s="7">
        <f>IF($D235="","",IFERROR(INDEX(Settings!$B$2:$B$7,MATCH(TRIM(CLEAN($D235)),Settings!$A$2:$A$7,0)),""))</f>
        <v/>
      </c>
      <c r="H235" s="7">
        <f>IF(OR($E235="",$G235=""),"",$E235*$G235)</f>
        <v/>
      </c>
      <c r="I235" s="7">
        <f>IF($F235="","",$F235*Settings!$B$9)</f>
        <v/>
      </c>
      <c r="J235" s="7">
        <f>IF($D235="","",IFERROR(INDEX(Settings!$C$2:$C$7,MATCH(TRIM(CLEAN($D235)),Settings!$A$2:$A$7,0)),""))</f>
        <v/>
      </c>
      <c r="K235" s="7">
        <f>IF(OR($H235="",$I235="",$J235=""),"",ROUND(($H235+$I235)*$J235,2))</f>
        <v/>
      </c>
      <c r="L235" t="n">
        <v>85.7</v>
      </c>
    </row>
    <row r="236" ht="14.25" customHeight="1">
      <c r="A236" s="44" t="n">
        <v>46186</v>
      </c>
      <c r="B236" s="4" t="n">
        <v>600</v>
      </c>
      <c r="C236" s="11" t="inlineStr">
        <is>
          <t>Greed, Adrian</t>
        </is>
      </c>
      <c r="D236" s="4" t="inlineStr">
        <is>
          <t>TR</t>
        </is>
      </c>
      <c r="E236" s="4" t="n">
        <v>48</v>
      </c>
      <c r="F236" s="4" t="n">
        <v>3</v>
      </c>
      <c r="G236" s="7">
        <f>IF($D236="","",IFERROR(INDEX(Settings!$B$2:$B$7,MATCH(TRIM(CLEAN($D236)),Settings!$A$2:$A$7,0)),""))</f>
        <v/>
      </c>
      <c r="H236" s="7">
        <f>IF(OR($E236="",$G236=""),"",$E236*$G236)</f>
        <v/>
      </c>
      <c r="I236" s="7">
        <f>IF($F236="","",$F236*Settings!$B$9)</f>
        <v/>
      </c>
      <c r="J236" s="7">
        <f>IF($D236="","",IFERROR(INDEX(Settings!$C$2:$C$7,MATCH(TRIM(CLEAN($D236)),Settings!$A$2:$A$7,0)),""))</f>
        <v/>
      </c>
      <c r="K236" s="7">
        <f>IF(OR($H236="",$I236="",$J236=""),"",ROUND(($H236+$I236)*$J236,2))</f>
        <v/>
      </c>
      <c r="L236" t="n">
        <v>84.3</v>
      </c>
    </row>
    <row r="237" ht="14.25" customHeight="1">
      <c r="A237" s="44" t="n">
        <v>46186</v>
      </c>
      <c r="B237" s="4" t="n">
        <v>600</v>
      </c>
      <c r="C237" s="11" t="inlineStr">
        <is>
          <t>Toh, Keith</t>
        </is>
      </c>
      <c r="D237" s="4" t="inlineStr">
        <is>
          <t>TR</t>
        </is>
      </c>
      <c r="E237" s="4" t="n">
        <v>47</v>
      </c>
      <c r="F237" s="4" t="n">
        <v>3</v>
      </c>
      <c r="G237" s="7">
        <f>IF($D237="","",IFERROR(INDEX(Settings!$B$2:$B$7,MATCH(TRIM(CLEAN($D237)),Settings!$A$2:$A$7,0)),""))</f>
        <v/>
      </c>
      <c r="H237" s="7">
        <f>IF(OR($E237="",$G237=""),"",$E237*$G237)</f>
        <v/>
      </c>
      <c r="I237" s="7">
        <f>IF($F237="","",$F237*Settings!$B$9)</f>
        <v/>
      </c>
      <c r="J237" s="7">
        <f>IF($D237="","",IFERROR(INDEX(Settings!$C$2:$C$7,MATCH(TRIM(CLEAN($D237)),Settings!$A$2:$A$7,0)),""))</f>
        <v/>
      </c>
      <c r="K237" s="7">
        <f>IF(OR($H237="",$I237="",$J237=""),"",ROUND(($H237+$I237)*$J237,2))</f>
        <v/>
      </c>
      <c r="L237" t="n">
        <v>82.59999999999999</v>
      </c>
    </row>
    <row r="238" ht="14.25" customHeight="1">
      <c r="A238" s="44" t="n">
        <v>46186</v>
      </c>
      <c r="B238" s="4" t="n">
        <v>600</v>
      </c>
      <c r="C238" s="11" t="inlineStr">
        <is>
          <t>Donnelly, Lisa</t>
        </is>
      </c>
      <c r="D238" s="4" t="inlineStr">
        <is>
          <t>FS</t>
        </is>
      </c>
      <c r="E238" s="4" t="n">
        <v>55</v>
      </c>
      <c r="F238" s="4" t="n">
        <v>2</v>
      </c>
      <c r="G238" s="7">
        <f>IF($D238="","",IFERROR(INDEX(Settings!$B$2:$B$7,MATCH(TRIM(CLEAN($D238)),Settings!$A$2:$A$7,0)),""))</f>
        <v/>
      </c>
      <c r="H238" s="7">
        <f>IF(OR($E238="",$G238=""),"",$E238*$G238)</f>
        <v/>
      </c>
      <c r="I238" s="7">
        <f>IF($F238="","",$F238*Settings!$B$9)</f>
        <v/>
      </c>
      <c r="J238" s="7">
        <f>IF($D238="","",IFERROR(INDEX(Settings!$C$2:$C$7,MATCH(TRIM(CLEAN($D238)),Settings!$A$2:$A$7,0)),""))</f>
        <v/>
      </c>
      <c r="K238" s="7">
        <f>IF(OR($H238="",$I238="",$J238=""),"",ROUND(($H238+$I238)*$J238,2))</f>
        <v/>
      </c>
      <c r="L238" t="n">
        <v>83.19</v>
      </c>
    </row>
    <row r="239" ht="14.25" customHeight="1">
      <c r="A239" s="44" t="n">
        <v>46186</v>
      </c>
      <c r="B239" s="4" t="n">
        <v>600</v>
      </c>
      <c r="C239" s="11" t="inlineStr">
        <is>
          <t>Wilson, Brendan</t>
        </is>
      </c>
      <c r="D239" s="4" t="inlineStr">
        <is>
          <t>FS</t>
        </is>
      </c>
      <c r="E239" s="4" t="n">
        <v>52</v>
      </c>
      <c r="F239" s="4" t="n">
        <v>2</v>
      </c>
      <c r="G239" s="7">
        <f>IF($D239="","",IFERROR(INDEX(Settings!$B$2:$B$7,MATCH(TRIM(CLEAN($D239)),Settings!$A$2:$A$7,0)),""))</f>
        <v/>
      </c>
      <c r="H239" s="7">
        <f>IF(OR($E239="",$G239=""),"",$E239*$G239)</f>
        <v/>
      </c>
      <c r="I239" s="7">
        <f>IF($F239="","",$F239*Settings!$B$9)</f>
        <v/>
      </c>
      <c r="J239" s="7">
        <f>IF($D239="","",IFERROR(INDEX(Settings!$C$2:$C$7,MATCH(TRIM(CLEAN($D239)),Settings!$A$2:$A$7,0)),""))</f>
        <v/>
      </c>
      <c r="K239" s="7">
        <f>IF(OR($H239="",$I239="",$J239=""),"",ROUND(($H239+$I239)*$J239,2))</f>
        <v/>
      </c>
      <c r="L239" t="n">
        <v>78.77</v>
      </c>
    </row>
    <row r="240" ht="14.25" customHeight="1">
      <c r="A240" s="44" t="n">
        <v>46186</v>
      </c>
      <c r="B240" s="4" t="n">
        <v>600</v>
      </c>
      <c r="C240" s="11" t="inlineStr">
        <is>
          <t>Chappell, Daryl</t>
        </is>
      </c>
      <c r="D240" s="4" t="inlineStr">
        <is>
          <t>FO</t>
        </is>
      </c>
      <c r="E240" s="4" t="n">
        <v>55</v>
      </c>
      <c r="F240" s="4" t="n">
        <v>2</v>
      </c>
      <c r="G240" s="7">
        <f>IF($D240="","",IFERROR(INDEX(Settings!$B$2:$B$7,MATCH(TRIM(CLEAN($D240)),Settings!$A$2:$A$7,0)),""))</f>
        <v/>
      </c>
      <c r="H240" s="7">
        <f>IF(OR($E240="",$G240=""),"",$E240*$G240)</f>
        <v/>
      </c>
      <c r="I240" s="7">
        <f>IF($F240="","",$F240*Settings!$B$9)</f>
        <v/>
      </c>
      <c r="J240" s="7">
        <f>IF($D240="","",IFERROR(INDEX(Settings!$C$2:$C$7,MATCH(TRIM(CLEAN($D240)),Settings!$A$2:$A$7,0)),""))</f>
        <v/>
      </c>
      <c r="K240" s="7">
        <f>IF(OR($H240="",$I240="",$J240=""),"",ROUND(($H240+$I240)*$J240,2))</f>
        <v/>
      </c>
      <c r="L240" t="n">
        <v>79.3</v>
      </c>
    </row>
    <row r="241" ht="14.25" customHeight="1">
      <c r="A241" s="44" t="n">
        <v>46186</v>
      </c>
      <c r="B241" s="4" t="n">
        <v>600</v>
      </c>
      <c r="C241" s="11" t="inlineStr">
        <is>
          <t>Mann, Neil</t>
        </is>
      </c>
      <c r="D241" s="4" t="inlineStr">
        <is>
          <t>SP</t>
        </is>
      </c>
      <c r="E241" s="4" t="n">
        <v>44</v>
      </c>
      <c r="F241" s="4" t="n">
        <v>2</v>
      </c>
      <c r="G241" s="7">
        <f>IF($D241="","",IFERROR(INDEX(Settings!$B$2:$B$7,MATCH(TRIM(CLEAN($D241)),Settings!$A$2:$A$7,0)),""))</f>
        <v/>
      </c>
      <c r="H241" s="7">
        <f>IF(OR($E241="",$G241=""),"",$E241*$G241)</f>
        <v/>
      </c>
      <c r="I241" s="7">
        <f>IF($F241="","",$F241*Settings!$B$9)</f>
        <v/>
      </c>
      <c r="J241" s="7">
        <f>IF($D241="","",IFERROR(INDEX(Settings!$C$2:$C$7,MATCH(TRIM(CLEAN($D241)),Settings!$A$2:$A$7,0)),""))</f>
        <v/>
      </c>
      <c r="K241" s="7">
        <f>IF(OR($H241="",$I241="",$J241=""),"",ROUND(($H241+$I241)*$J241,2))</f>
        <v/>
      </c>
      <c r="L241" t="n">
        <v>74.95999999999999</v>
      </c>
    </row>
    <row r="242" ht="14.25" customHeight="1">
      <c r="A242" s="44" t="n">
        <v>46186</v>
      </c>
      <c r="B242" s="4" t="n">
        <v>600</v>
      </c>
      <c r="C242" s="11" t="inlineStr">
        <is>
          <t>Gwyn, Stephen</t>
        </is>
      </c>
      <c r="D242" s="4" t="inlineStr">
        <is>
          <t>SO</t>
        </is>
      </c>
      <c r="E242" s="4" t="n">
        <v>48</v>
      </c>
      <c r="F242" s="4" t="n">
        <v>2</v>
      </c>
      <c r="G242" s="7">
        <f>IF($D242="","",IFERROR(INDEX(Settings!$B$2:$B$7,MATCH(TRIM(CLEAN($D242)),Settings!$A$2:$A$7,0)),""))</f>
        <v/>
      </c>
      <c r="H242" s="7">
        <f>IF(OR($E242="",$G242=""),"",$E242*$G242)</f>
        <v/>
      </c>
      <c r="I242" s="7">
        <f>IF($F242="","",$F242*Settings!$B$9)</f>
        <v/>
      </c>
      <c r="J242" s="7">
        <f>IF($D242="","",IFERROR(INDEX(Settings!$C$2:$C$7,MATCH(TRIM(CLEAN($D242)),Settings!$A$2:$A$7,0)),""))</f>
        <v/>
      </c>
      <c r="K242" s="7">
        <f>IF(OR($H242="",$I242="",$J242=""),"",ROUND(($H242+$I242)*$J242,2))</f>
        <v/>
      </c>
      <c r="L242" t="n">
        <v>81.59999999999999</v>
      </c>
    </row>
    <row r="243" ht="14.25" customHeight="1">
      <c r="A243" s="44" t="n">
        <v>46186</v>
      </c>
      <c r="B243" s="4" t="n">
        <v>600</v>
      </c>
      <c r="C243" s="11" t="inlineStr">
        <is>
          <t>Patto, Nick</t>
        </is>
      </c>
      <c r="D243" s="4" t="inlineStr">
        <is>
          <t>FO</t>
        </is>
      </c>
      <c r="E243" s="4" t="n">
        <v>56</v>
      </c>
      <c r="F243" s="4" t="n">
        <v>1</v>
      </c>
      <c r="G243" s="7">
        <f>IF($D243="","",IFERROR(INDEX(Settings!$B$2:$B$7,MATCH(TRIM(CLEAN($D243)),Settings!$A$2:$A$7,0)),""))</f>
        <v/>
      </c>
      <c r="H243" s="7">
        <f>IF(OR($E243="",$G243=""),"",$E243*$G243)</f>
        <v/>
      </c>
      <c r="I243" s="7">
        <f>IF($F243="","",$F243*Settings!$B$9)</f>
        <v/>
      </c>
      <c r="J243" s="7">
        <f>IF($D243="","",IFERROR(INDEX(Settings!$C$2:$C$7,MATCH(TRIM(CLEAN($D243)),Settings!$A$2:$A$7,0)),""))</f>
        <v/>
      </c>
      <c r="K243" s="7">
        <f>IF(OR($H243="",$I243="",$J243=""),"",ROUND(($H243+$I243)*$J243,2))</f>
        <v/>
      </c>
      <c r="L243" t="n">
        <v>79.72</v>
      </c>
    </row>
    <row r="244" ht="14.25" customHeight="1">
      <c r="A244" s="44" t="n">
        <v>46186</v>
      </c>
      <c r="B244" s="4" t="n">
        <v>600</v>
      </c>
      <c r="C244" s="11" t="inlineStr">
        <is>
          <t>Heath, Warwick</t>
        </is>
      </c>
      <c r="D244" s="4" t="inlineStr">
        <is>
          <t>FTR</t>
        </is>
      </c>
      <c r="E244" s="4" t="n">
        <v>51</v>
      </c>
      <c r="F244" s="4" t="n">
        <v>1</v>
      </c>
      <c r="G244" s="7">
        <f>IF($D244="","",IFERROR(INDEX(Settings!$B$2:$B$7,MATCH(TRIM(CLEAN($D244)),Settings!$A$2:$A$7,0)),""))</f>
        <v/>
      </c>
      <c r="H244" s="7">
        <f>IF(OR($E244="",$G244=""),"",$E244*$G244)</f>
        <v/>
      </c>
      <c r="I244" s="7">
        <f>IF($F244="","",$F244*Settings!$B$9)</f>
        <v/>
      </c>
      <c r="J244" s="7">
        <f>IF($D244="","",IFERROR(INDEX(Settings!$C$2:$C$7,MATCH(TRIM(CLEAN($D244)),Settings!$A$2:$A$7,0)),""))</f>
        <v/>
      </c>
      <c r="K244" s="7">
        <f>IF(OR($H244="",$I244="",$J244=""),"",ROUND(($H244+$I244)*$J244,2))</f>
        <v/>
      </c>
      <c r="L244" t="n">
        <v>74.97</v>
      </c>
    </row>
    <row r="245" ht="14.25" customHeight="1">
      <c r="A245" s="44" t="n">
        <v>46186</v>
      </c>
      <c r="B245" s="4" t="n">
        <v>600</v>
      </c>
      <c r="C245" s="11" t="inlineStr">
        <is>
          <t>Thomson, Peter</t>
        </is>
      </c>
      <c r="D245" s="4" t="inlineStr">
        <is>
          <t>SP</t>
        </is>
      </c>
      <c r="E245" s="4" t="n">
        <v>46</v>
      </c>
      <c r="F245" s="4" t="n">
        <v>1</v>
      </c>
      <c r="G245" s="7">
        <f>IF($D245="","",IFERROR(INDEX(Settings!$B$2:$B$7,MATCH(TRIM(CLEAN($D245)),Settings!$A$2:$A$7,0)),""))</f>
        <v/>
      </c>
      <c r="H245" s="7">
        <f>IF(OR($E245="",$G245=""),"",$E245*$G245)</f>
        <v/>
      </c>
      <c r="I245" s="7">
        <f>IF($F245="","",$F245*Settings!$B$9)</f>
        <v/>
      </c>
      <c r="J245" s="7">
        <f>IF($D245="","",IFERROR(INDEX(Settings!$C$2:$C$7,MATCH(TRIM(CLEAN($D245)),Settings!$A$2:$A$7,0)),""))</f>
        <v/>
      </c>
      <c r="K245" s="7">
        <f>IF(OR($H245="",$I245="",$J245=""),"",ROUND(($H245+$I245)*$J245,2))</f>
        <v/>
      </c>
      <c r="L245" t="n">
        <v>77.31</v>
      </c>
    </row>
    <row r="246" ht="14.25" customHeight="1">
      <c r="A246" s="44" t="n">
        <v>46186</v>
      </c>
      <c r="B246" s="4" t="n">
        <v>600</v>
      </c>
      <c r="C246" s="11" t="inlineStr">
        <is>
          <t>Hanna, John</t>
        </is>
      </c>
      <c r="D246" s="4" t="inlineStr">
        <is>
          <t>SP</t>
        </is>
      </c>
      <c r="E246" s="4" t="n">
        <v>45</v>
      </c>
      <c r="F246" s="4" t="n">
        <v>1</v>
      </c>
      <c r="G246" s="7">
        <f>IF($D246="","",IFERROR(INDEX(Settings!$B$2:$B$7,MATCH(TRIM(CLEAN($D246)),Settings!$A$2:$A$7,0)),""))</f>
        <v/>
      </c>
      <c r="H246" s="7">
        <f>IF(OR($E246="",$G246=""),"",$E246*$G246)</f>
        <v/>
      </c>
      <c r="I246" s="7">
        <f>IF($F246="","",$F246*Settings!$B$9)</f>
        <v/>
      </c>
      <c r="J246" s="7">
        <f>IF($D246="","",IFERROR(INDEX(Settings!$C$2:$C$7,MATCH(TRIM(CLEAN($D246)),Settings!$A$2:$A$7,0)),""))</f>
        <v/>
      </c>
      <c r="K246" s="7">
        <f>IF(OR($H246="",$I246="",$J246=""),"",ROUND(($H246+$I246)*$J246,2))</f>
        <v/>
      </c>
      <c r="L246" t="n">
        <v>75.65000000000001</v>
      </c>
    </row>
    <row r="247" ht="14.25" customHeight="1">
      <c r="A247" s="44" t="n">
        <v>46186</v>
      </c>
      <c r="B247" s="4" t="n">
        <v>600</v>
      </c>
      <c r="C247" s="11" t="inlineStr">
        <is>
          <t>Gierer, Gerald</t>
        </is>
      </c>
      <c r="D247" s="4" t="inlineStr">
        <is>
          <t>SP</t>
        </is>
      </c>
      <c r="E247" s="4" t="n">
        <v>47</v>
      </c>
      <c r="F247" s="4" t="n">
        <v>0</v>
      </c>
      <c r="G247" s="7">
        <f>IF($D247="","",IFERROR(INDEX(Settings!$B$2:$B$7,MATCH(TRIM(CLEAN($D247)),Settings!$A$2:$A$7,0)),""))</f>
        <v/>
      </c>
      <c r="H247" s="7">
        <f>IF(OR($E247="",$G247=""),"",$E247*$G247)</f>
        <v/>
      </c>
      <c r="I247" s="7">
        <f>IF($F247="","",$F247*Settings!$B$9)</f>
        <v/>
      </c>
      <c r="J247" s="7">
        <f>IF($D247="","",IFERROR(INDEX(Settings!$C$2:$C$7,MATCH(TRIM(CLEAN($D247)),Settings!$A$2:$A$7,0)),""))</f>
        <v/>
      </c>
      <c r="K247" s="7">
        <f>IF(OR($H247="",$I247="",$J247=""),"",ROUND(($H247+$I247)*$J247,2))</f>
        <v/>
      </c>
      <c r="L247" t="n">
        <v>78</v>
      </c>
    </row>
    <row r="248" ht="14.25" customHeight="1">
      <c r="A248" s="44" t="n">
        <v>46186</v>
      </c>
      <c r="B248" s="4" t="n">
        <v>600</v>
      </c>
      <c r="C248" s="11" t="inlineStr">
        <is>
          <t>Heath, David</t>
        </is>
      </c>
      <c r="D248" s="4" t="inlineStr">
        <is>
          <t>TR</t>
        </is>
      </c>
      <c r="E248" s="4" t="n">
        <v>46</v>
      </c>
      <c r="F248" s="4" t="n">
        <v>0</v>
      </c>
      <c r="G248" s="7">
        <f>IF($D248="","",IFERROR(INDEX(Settings!$B$2:$B$7,MATCH(TRIM(CLEAN($D248)),Settings!$A$2:$A$7,0)),""))</f>
        <v/>
      </c>
      <c r="H248" s="7">
        <f>IF(OR($E248="",$G248=""),"",$E248*$G248)</f>
        <v/>
      </c>
      <c r="I248" s="7">
        <f>IF($F248="","",$F248*Settings!$B$9)</f>
        <v/>
      </c>
      <c r="J248" s="7">
        <f>IF($D248="","",IFERROR(INDEX(Settings!$C$2:$C$7,MATCH(TRIM(CLEAN($D248)),Settings!$A$2:$A$7,0)),""))</f>
        <v/>
      </c>
      <c r="K248" s="7">
        <f>IF(OR($H248="",$I248="",$J248=""),"",ROUND(($H248+$I248)*$J248,2))</f>
        <v/>
      </c>
      <c r="L248" t="n">
        <v>77.94</v>
      </c>
    </row>
    <row r="249" ht="14.25" customHeight="1">
      <c r="A249" s="44" t="n">
        <v>46186</v>
      </c>
      <c r="B249" s="4" t="n">
        <v>700</v>
      </c>
      <c r="C249" s="11" t="inlineStr">
        <is>
          <t>Hojeij, Daniel</t>
        </is>
      </c>
      <c r="D249" s="4" t="inlineStr">
        <is>
          <t>SO</t>
        </is>
      </c>
      <c r="E249" s="4" t="n">
        <v>50</v>
      </c>
      <c r="F249" s="4" t="n">
        <v>10</v>
      </c>
      <c r="G249" s="7">
        <f>IF($D249="","",IFERROR(INDEX(Settings!$B$2:$B$7,MATCH(TRIM(CLEAN($D249)),Settings!$A$2:$A$7,0)),""))</f>
        <v/>
      </c>
      <c r="H249" s="7">
        <f>IF(OR($E249="",$G249=""),"",$E249*$G249)</f>
        <v/>
      </c>
      <c r="I249" s="7">
        <f>IF($F249="","",$F249*Settings!$B$9)</f>
        <v/>
      </c>
      <c r="J249" s="7">
        <f>IF($D249="","",IFERROR(INDEX(Settings!$C$2:$C$7,MATCH(TRIM(CLEAN($D249)),Settings!$A$2:$A$7,0)),""))</f>
        <v/>
      </c>
      <c r="K249" s="7">
        <f>IF(OR($H249="",$I249="",$J249=""),"",ROUND(($H249+$I249)*$J249,2))</f>
        <v/>
      </c>
      <c r="L249" t="n">
        <v>92.66</v>
      </c>
    </row>
    <row r="250" ht="14.25" customHeight="1">
      <c r="A250" s="44" t="n">
        <v>46186</v>
      </c>
      <c r="B250" s="4" t="n">
        <v>700</v>
      </c>
      <c r="C250" s="11" t="inlineStr">
        <is>
          <t>Comerford, Dan</t>
        </is>
      </c>
      <c r="D250" s="4" t="inlineStr">
        <is>
          <t>SO</t>
        </is>
      </c>
      <c r="E250" s="4" t="n">
        <v>50</v>
      </c>
      <c r="F250" s="4" t="n">
        <v>9</v>
      </c>
      <c r="G250" s="7">
        <f>IF($D250="","",IFERROR(INDEX(Settings!$B$2:$B$7,MATCH(TRIM(CLEAN($D250)),Settings!$A$2:$A$7,0)),""))</f>
        <v/>
      </c>
      <c r="H250" s="7">
        <f>IF(OR($E250="",$G250=""),"",$E250*$G250)</f>
        <v/>
      </c>
      <c r="I250" s="7">
        <f>IF($F250="","",$F250*Settings!$B$9)</f>
        <v/>
      </c>
      <c r="J250" s="7">
        <f>IF($D250="","",IFERROR(INDEX(Settings!$C$2:$C$7,MATCH(TRIM(CLEAN($D250)),Settings!$A$2:$A$7,0)),""))</f>
        <v/>
      </c>
      <c r="K250" s="7">
        <f>IF(OR($H250="",$I250="",$J250=""),"",ROUND(($H250+$I250)*$J250,2))</f>
        <v/>
      </c>
      <c r="L250" t="n">
        <v>91.69</v>
      </c>
    </row>
    <row r="251" ht="14.25" customHeight="1">
      <c r="A251" s="44" t="n">
        <v>46186</v>
      </c>
      <c r="B251" s="4" t="n">
        <v>700</v>
      </c>
      <c r="C251" s="11" t="inlineStr">
        <is>
          <t>Beretta, Chris</t>
        </is>
      </c>
      <c r="D251" s="4" t="inlineStr">
        <is>
          <t>FO</t>
        </is>
      </c>
      <c r="E251" s="4" t="n">
        <v>60</v>
      </c>
      <c r="F251" s="4" t="n">
        <v>5</v>
      </c>
      <c r="G251" s="7">
        <f>IF($D251="","",IFERROR(INDEX(Settings!$B$2:$B$7,MATCH(TRIM(CLEAN($D251)),Settings!$A$2:$A$7,0)),""))</f>
        <v/>
      </c>
      <c r="H251" s="7">
        <f>IF(OR($E251="",$G251=""),"",$E251*$G251)</f>
        <v/>
      </c>
      <c r="I251" s="7">
        <f>IF($F251="","",$F251*Settings!$B$9)</f>
        <v/>
      </c>
      <c r="J251" s="7">
        <f>IF($D251="","",IFERROR(INDEX(Settings!$C$2:$C$7,MATCH(TRIM(CLEAN($D251)),Settings!$A$2:$A$7,0)),""))</f>
        <v/>
      </c>
      <c r="K251" s="7">
        <f>IF(OR($H251="",$I251="",$J251=""),"",ROUND(($H251+$I251)*$J251,2))</f>
        <v/>
      </c>
      <c r="L251" t="n">
        <v>89.28</v>
      </c>
    </row>
    <row r="252" ht="14.25" customHeight="1">
      <c r="A252" s="44" t="n">
        <v>46186</v>
      </c>
      <c r="B252" s="4" t="n">
        <v>700</v>
      </c>
      <c r="C252" s="11" t="inlineStr">
        <is>
          <t>Donnelly, Lisa</t>
        </is>
      </c>
      <c r="D252" s="4" t="inlineStr">
        <is>
          <t>FS</t>
        </is>
      </c>
      <c r="E252" s="4" t="n">
        <v>58</v>
      </c>
      <c r="F252" s="4" t="n">
        <v>5</v>
      </c>
      <c r="G252" s="7">
        <f>IF($D252="","",IFERROR(INDEX(Settings!$B$2:$B$7,MATCH(TRIM(CLEAN($D252)),Settings!$A$2:$A$7,0)),""))</f>
        <v/>
      </c>
      <c r="H252" s="7">
        <f>IF(OR($E252="",$G252=""),"",$E252*$G252)</f>
        <v/>
      </c>
      <c r="I252" s="7">
        <f>IF($F252="","",$F252*Settings!$B$9)</f>
        <v/>
      </c>
      <c r="J252" s="7">
        <f>IF($D252="","",IFERROR(INDEX(Settings!$C$2:$C$7,MATCH(TRIM(CLEAN($D252)),Settings!$A$2:$A$7,0)),""))</f>
        <v/>
      </c>
      <c r="K252" s="7">
        <f>IF(OR($H252="",$I252="",$J252=""),"",ROUND(($H252+$I252)*$J252,2))</f>
        <v/>
      </c>
      <c r="L252" t="n">
        <v>90.70999999999999</v>
      </c>
    </row>
    <row r="253" ht="14.25" customHeight="1">
      <c r="A253" s="44" t="n">
        <v>46186</v>
      </c>
      <c r="B253" s="4" t="n">
        <v>700</v>
      </c>
      <c r="C253" s="11" t="inlineStr">
        <is>
          <t>Cook, Andrew</t>
        </is>
      </c>
      <c r="D253" s="4" t="inlineStr">
        <is>
          <t>FS</t>
        </is>
      </c>
      <c r="E253" s="4" t="n">
        <v>58</v>
      </c>
      <c r="F253" s="4" t="n">
        <v>5</v>
      </c>
      <c r="G253" s="7">
        <f>IF($D253="","",IFERROR(INDEX(Settings!$B$2:$B$7,MATCH(TRIM(CLEAN($D253)),Settings!$A$2:$A$7,0)),""))</f>
        <v/>
      </c>
      <c r="H253" s="7">
        <f>IF(OR($E253="",$G253=""),"",$E253*$G253)</f>
        <v/>
      </c>
      <c r="I253" s="7">
        <f>IF($F253="","",$F253*Settings!$B$9)</f>
        <v/>
      </c>
      <c r="J253" s="7">
        <f>IF($D253="","",IFERROR(INDEX(Settings!$C$2:$C$7,MATCH(TRIM(CLEAN($D253)),Settings!$A$2:$A$7,0)),""))</f>
        <v/>
      </c>
      <c r="K253" s="7">
        <f>IF(OR($H253="",$I253="",$J253=""),"",ROUND(($H253+$I253)*$J253,2))</f>
        <v/>
      </c>
      <c r="L253" t="n">
        <v>90.70999999999999</v>
      </c>
    </row>
    <row r="254" ht="14.25" customHeight="1">
      <c r="A254" s="44" t="n">
        <v>46186</v>
      </c>
      <c r="B254" s="4" t="n">
        <v>700</v>
      </c>
      <c r="C254" s="11" t="inlineStr">
        <is>
          <t>Heath, David</t>
        </is>
      </c>
      <c r="D254" s="4" t="inlineStr">
        <is>
          <t>TR</t>
        </is>
      </c>
      <c r="E254" s="4" t="n">
        <v>50</v>
      </c>
      <c r="F254" s="4" t="n">
        <v>5</v>
      </c>
      <c r="G254" s="7">
        <f>IF($D254="","",IFERROR(INDEX(Settings!$B$2:$B$7,MATCH(TRIM(CLEAN($D254)),Settings!$A$2:$A$7,0)),""))</f>
        <v/>
      </c>
      <c r="H254" s="7">
        <f>IF(OR($E254="",$G254=""),"",$E254*$G254)</f>
        <v/>
      </c>
      <c r="I254" s="7">
        <f>IF($F254="","",$F254*Settings!$B$9)</f>
        <v/>
      </c>
      <c r="J254" s="7">
        <f>IF($D254="","",IFERROR(INDEX(Settings!$C$2:$C$7,MATCH(TRIM(CLEAN($D254)),Settings!$A$2:$A$7,0)),""))</f>
        <v/>
      </c>
      <c r="K254" s="7">
        <f>IF(OR($H254="",$I254="",$J254=""),"",ROUND(($H254+$I254)*$J254,2))</f>
        <v/>
      </c>
      <c r="L254" t="n">
        <v>89.66</v>
      </c>
    </row>
    <row r="255" ht="14.25" customHeight="1">
      <c r="A255" s="44" t="n">
        <v>46186</v>
      </c>
      <c r="B255" s="4" t="n">
        <v>700</v>
      </c>
      <c r="C255" s="11" t="inlineStr">
        <is>
          <t>Bending, Anthony</t>
        </is>
      </c>
      <c r="D255" s="4" t="inlineStr">
        <is>
          <t>FO</t>
        </is>
      </c>
      <c r="E255" s="4" t="n">
        <v>57</v>
      </c>
      <c r="F255" s="4" t="n">
        <v>4</v>
      </c>
      <c r="G255" s="7">
        <f>IF($D255="","",IFERROR(INDEX(Settings!$B$2:$B$7,MATCH(TRIM(CLEAN($D255)),Settings!$A$2:$A$7,0)),""))</f>
        <v/>
      </c>
      <c r="H255" s="7">
        <f>IF(OR($E255="",$G255=""),"",$E255*$G255)</f>
        <v/>
      </c>
      <c r="I255" s="7">
        <f>IF($F255="","",$F255*Settings!$B$9)</f>
        <v/>
      </c>
      <c r="J255" s="7">
        <f>IF($D255="","",IFERROR(INDEX(Settings!$C$2:$C$7,MATCH(TRIM(CLEAN($D255)),Settings!$A$2:$A$7,0)),""))</f>
        <v/>
      </c>
      <c r="K255" s="7">
        <f>IF(OR($H255="",$I255="",$J255=""),"",ROUND(($H255+$I255)*$J255,2))</f>
        <v/>
      </c>
      <c r="L255" t="n">
        <v>84.08</v>
      </c>
    </row>
    <row r="256" ht="14.25" customHeight="1">
      <c r="A256" s="44" t="n">
        <v>46186</v>
      </c>
      <c r="B256" s="4" t="n">
        <v>700</v>
      </c>
      <c r="C256" s="11" t="inlineStr">
        <is>
          <t>Wilson, Brendan</t>
        </is>
      </c>
      <c r="D256" s="4" t="inlineStr">
        <is>
          <t>FS</t>
        </is>
      </c>
      <c r="E256" s="4" t="n">
        <v>57</v>
      </c>
      <c r="F256" s="4" t="n">
        <v>4</v>
      </c>
      <c r="G256" s="7">
        <f>IF($D256="","",IFERROR(INDEX(Settings!$B$2:$B$7,MATCH(TRIM(CLEAN($D256)),Settings!$A$2:$A$7,0)),""))</f>
        <v/>
      </c>
      <c r="H256" s="7">
        <f>IF(OR($E256="",$G256=""),"",$E256*$G256)</f>
        <v/>
      </c>
      <c r="I256" s="7">
        <f>IF($F256="","",$F256*Settings!$B$9)</f>
        <v/>
      </c>
      <c r="J256" s="7">
        <f>IF($D256="","",IFERROR(INDEX(Settings!$C$2:$C$7,MATCH(TRIM(CLEAN($D256)),Settings!$A$2:$A$7,0)),""))</f>
        <v/>
      </c>
      <c r="K256" s="7">
        <f>IF(OR($H256="",$I256="",$J256=""),"",ROUND(($H256+$I256)*$J256,2))</f>
        <v/>
      </c>
      <c r="L256" t="n">
        <v>88.2</v>
      </c>
    </row>
    <row r="257" ht="14.25" customHeight="1">
      <c r="A257" s="44" t="n">
        <v>46186</v>
      </c>
      <c r="B257" s="4" t="n">
        <v>700</v>
      </c>
      <c r="C257" s="11" t="inlineStr">
        <is>
          <t>Gierer, Gerald</t>
        </is>
      </c>
      <c r="D257" s="4" t="inlineStr">
        <is>
          <t>SP</t>
        </is>
      </c>
      <c r="E257" s="4" t="n">
        <v>49</v>
      </c>
      <c r="F257" s="4" t="n">
        <v>4</v>
      </c>
      <c r="G257" s="7">
        <f>IF($D257="","",IFERROR(INDEX(Settings!$B$2:$B$7,MATCH(TRIM(CLEAN($D257)),Settings!$A$2:$A$7,0)),""))</f>
        <v/>
      </c>
      <c r="H257" s="7">
        <f>IF(OR($E257="",$G257=""),"",$E257*$G257)</f>
        <v/>
      </c>
      <c r="I257" s="7">
        <f>IF($F257="","",$F257*Settings!$B$9)</f>
        <v/>
      </c>
      <c r="J257" s="7">
        <f>IF($D257="","",IFERROR(INDEX(Settings!$C$2:$C$7,MATCH(TRIM(CLEAN($D257)),Settings!$A$2:$A$7,0)),""))</f>
        <v/>
      </c>
      <c r="K257" s="7">
        <f>IF(OR($H257="",$I257="",$J257=""),"",ROUND(($H257+$I257)*$J257,2))</f>
        <v/>
      </c>
      <c r="L257" t="n">
        <v>85.19</v>
      </c>
    </row>
    <row r="258" ht="14.25" customHeight="1">
      <c r="A258" s="44" t="n">
        <v>46186</v>
      </c>
      <c r="B258" s="4" t="n">
        <v>700</v>
      </c>
      <c r="C258" s="11" t="inlineStr">
        <is>
          <t>Thomson, Peter</t>
        </is>
      </c>
      <c r="D258" s="4" t="inlineStr">
        <is>
          <t>SP</t>
        </is>
      </c>
      <c r="E258" s="4" t="n">
        <v>50</v>
      </c>
      <c r="F258" s="4" t="n">
        <v>4</v>
      </c>
      <c r="G258" s="7">
        <f>IF($D258="","",IFERROR(INDEX(Settings!$B$2:$B$7,MATCH(TRIM(CLEAN($D258)),Settings!$A$2:$A$7,0)),""))</f>
        <v/>
      </c>
      <c r="H258" s="7">
        <f>IF(OR($E258="",$G258=""),"",$E258*$G258)</f>
        <v/>
      </c>
      <c r="I258" s="7">
        <f>IF($F258="","",$F258*Settings!$B$9)</f>
        <v/>
      </c>
      <c r="J258" s="7">
        <f>IF($D258="","",IFERROR(INDEX(Settings!$C$2:$C$7,MATCH(TRIM(CLEAN($D258)),Settings!$A$2:$A$7,0)),""))</f>
        <v/>
      </c>
      <c r="K258" s="7">
        <f>IF(OR($H258="",$I258="",$J258=""),"",ROUND(($H258+$I258)*$J258,2))</f>
        <v/>
      </c>
      <c r="L258" t="n">
        <v>86.84999999999999</v>
      </c>
    </row>
    <row r="259" ht="14.25" customHeight="1">
      <c r="A259" s="44" t="n">
        <v>46186</v>
      </c>
      <c r="B259" s="4" t="n">
        <v>700</v>
      </c>
      <c r="C259" s="11" t="inlineStr">
        <is>
          <t>Toh, Keith</t>
        </is>
      </c>
      <c r="D259" s="4" t="inlineStr">
        <is>
          <t>TR</t>
        </is>
      </c>
      <c r="E259" s="4" t="n">
        <v>47</v>
      </c>
      <c r="F259" s="4" t="n">
        <v>4</v>
      </c>
      <c r="G259" s="7">
        <f>IF($D259="","",IFERROR(INDEX(Settings!$B$2:$B$7,MATCH(TRIM(CLEAN($D259)),Settings!$A$2:$A$7,0)),""))</f>
        <v/>
      </c>
      <c r="H259" s="7">
        <f>IF(OR($E259="",$G259=""),"",$E259*$G259)</f>
        <v/>
      </c>
      <c r="I259" s="7">
        <f>IF($F259="","",$F259*Settings!$B$9)</f>
        <v/>
      </c>
      <c r="J259" s="7">
        <f>IF($D259="","",IFERROR(INDEX(Settings!$C$2:$C$7,MATCH(TRIM(CLEAN($D259)),Settings!$A$2:$A$7,0)),""))</f>
        <v/>
      </c>
      <c r="K259" s="7">
        <f>IF(OR($H259="",$I259="",$J259=""),"",ROUND(($H259+$I259)*$J259,2))</f>
        <v/>
      </c>
      <c r="L259" t="n">
        <v>83.59</v>
      </c>
    </row>
    <row r="260" ht="14.25" customHeight="1">
      <c r="A260" s="44" t="n">
        <v>46186</v>
      </c>
      <c r="B260" s="4" t="n">
        <v>700</v>
      </c>
      <c r="C260" s="11" t="inlineStr">
        <is>
          <t>Mann, Neil</t>
        </is>
      </c>
      <c r="D260" s="4" t="inlineStr">
        <is>
          <t>SP</t>
        </is>
      </c>
      <c r="E260" s="4" t="n">
        <v>49</v>
      </c>
      <c r="F260" s="4" t="n">
        <v>4</v>
      </c>
      <c r="G260" s="7">
        <f>IF($D260="","",IFERROR(INDEX(Settings!$B$2:$B$7,MATCH(TRIM(CLEAN($D260)),Settings!$A$2:$A$7,0)),""))</f>
        <v/>
      </c>
      <c r="H260" s="7">
        <f>IF(OR($E260="",$G260=""),"",$E260*$G260)</f>
        <v/>
      </c>
      <c r="I260" s="7">
        <f>IF($F260="","",$F260*Settings!$B$9)</f>
        <v/>
      </c>
      <c r="J260" s="7">
        <f>IF($D260="","",IFERROR(INDEX(Settings!$C$2:$C$7,MATCH(TRIM(CLEAN($D260)),Settings!$A$2:$A$7,0)),""))</f>
        <v/>
      </c>
      <c r="K260" s="7">
        <f>IF(OR($H260="",$I260="",$J260=""),"",ROUND(($H260+$I260)*$J260,2))</f>
        <v/>
      </c>
      <c r="L260" t="n">
        <v>85.19</v>
      </c>
    </row>
    <row r="261" ht="14.25" customHeight="1">
      <c r="A261" s="44" t="n">
        <v>46186</v>
      </c>
      <c r="B261" s="4" t="n">
        <v>700</v>
      </c>
      <c r="C261" s="11" t="inlineStr">
        <is>
          <t>Hanna, John</t>
        </is>
      </c>
      <c r="D261" s="4" t="inlineStr">
        <is>
          <t>SP</t>
        </is>
      </c>
      <c r="E261" s="4" t="n">
        <v>47</v>
      </c>
      <c r="F261" s="4" t="n">
        <v>4</v>
      </c>
      <c r="G261" s="7">
        <f>IF($D261="","",IFERROR(INDEX(Settings!$B$2:$B$7,MATCH(TRIM(CLEAN($D261)),Settings!$A$2:$A$7,0)),""))</f>
        <v/>
      </c>
      <c r="H261" s="7">
        <f>IF(OR($E261="",$G261=""),"",$E261*$G261)</f>
        <v/>
      </c>
      <c r="I261" s="7">
        <f>IF($F261="","",$F261*Settings!$B$9)</f>
        <v/>
      </c>
      <c r="J261" s="7">
        <f>IF($D261="","",IFERROR(INDEX(Settings!$C$2:$C$7,MATCH(TRIM(CLEAN($D261)),Settings!$A$2:$A$7,0)),""))</f>
        <v/>
      </c>
      <c r="K261" s="7">
        <f>IF(OR($H261="",$I261="",$J261=""),"",ROUND(($H261+$I261)*$J261,2))</f>
        <v/>
      </c>
      <c r="L261" t="n">
        <v>81.87</v>
      </c>
    </row>
    <row r="262" ht="14.25" customHeight="1">
      <c r="A262" s="44" t="n">
        <v>46186</v>
      </c>
      <c r="B262" s="4" t="n">
        <v>700</v>
      </c>
      <c r="C262" s="11" t="inlineStr">
        <is>
          <t>Patto, Nick</t>
        </is>
      </c>
      <c r="D262" s="4" t="inlineStr">
        <is>
          <t>FO</t>
        </is>
      </c>
      <c r="E262" s="4" t="n">
        <v>56</v>
      </c>
      <c r="F262" s="4" t="n">
        <v>3</v>
      </c>
      <c r="G262" s="7">
        <f>IF($D262="","",IFERROR(INDEX(Settings!$B$2:$B$7,MATCH(TRIM(CLEAN($D262)),Settings!$A$2:$A$7,0)),""))</f>
        <v/>
      </c>
      <c r="H262" s="7">
        <f>IF(OR($E262="",$G262=""),"",$E262*$G262)</f>
        <v/>
      </c>
      <c r="I262" s="7">
        <f>IF($F262="","",$F262*Settings!$B$9)</f>
        <v/>
      </c>
      <c r="J262" s="7">
        <f>IF($D262="","",IFERROR(INDEX(Settings!$C$2:$C$7,MATCH(TRIM(CLEAN($D262)),Settings!$A$2:$A$7,0)),""))</f>
        <v/>
      </c>
      <c r="K262" s="7">
        <f>IF(OR($H262="",$I262="",$J262=""),"",ROUND(($H262+$I262)*$J262,2))</f>
        <v/>
      </c>
      <c r="L262" t="n">
        <v>81.69</v>
      </c>
    </row>
    <row r="263" ht="14.25" customHeight="1">
      <c r="A263" s="44" t="n">
        <v>46186</v>
      </c>
      <c r="B263" s="4" t="n">
        <v>700</v>
      </c>
      <c r="C263" s="11" t="inlineStr">
        <is>
          <t>Kilpatrick, Brian</t>
        </is>
      </c>
      <c r="D263" s="4" t="inlineStr">
        <is>
          <t>SP</t>
        </is>
      </c>
      <c r="E263" s="4" t="n">
        <v>49</v>
      </c>
      <c r="F263" s="4" t="n">
        <v>3</v>
      </c>
      <c r="G263" s="7">
        <f>IF($D263="","",IFERROR(INDEX(Settings!$B$2:$B$7,MATCH(TRIM(CLEAN($D263)),Settings!$A$2:$A$7,0)),""))</f>
        <v/>
      </c>
      <c r="H263" s="7">
        <f>IF(OR($E263="",$G263=""),"",$E263*$G263)</f>
        <v/>
      </c>
      <c r="I263" s="7">
        <f>IF($F263="","",$F263*Settings!$B$9)</f>
        <v/>
      </c>
      <c r="J263" s="7">
        <f>IF($D263="","",IFERROR(INDEX(Settings!$C$2:$C$7,MATCH(TRIM(CLEAN($D263)),Settings!$A$2:$A$7,0)),""))</f>
        <v/>
      </c>
      <c r="K263" s="7">
        <f>IF(OR($H263="",$I263="",$J263=""),"",ROUND(($H263+$I263)*$J263,2))</f>
        <v/>
      </c>
      <c r="L263" t="n">
        <v>84.22</v>
      </c>
    </row>
    <row r="264" ht="14.25" customHeight="1">
      <c r="A264" s="44" t="n">
        <v>46186</v>
      </c>
      <c r="B264" s="4" t="n">
        <v>700</v>
      </c>
      <c r="C264" s="11" t="inlineStr">
        <is>
          <t>Smaldino, Richard</t>
        </is>
      </c>
      <c r="D264" s="4" t="inlineStr">
        <is>
          <t>SP</t>
        </is>
      </c>
      <c r="E264" s="4" t="n">
        <v>49</v>
      </c>
      <c r="F264" s="4" t="n">
        <v>3</v>
      </c>
      <c r="G264" s="7">
        <f>IF($D264="","",IFERROR(INDEX(Settings!$B$2:$B$7,MATCH(TRIM(CLEAN($D264)),Settings!$A$2:$A$7,0)),""))</f>
        <v/>
      </c>
      <c r="H264" s="7">
        <f>IF(OR($E264="",$G264=""),"",$E264*$G264)</f>
        <v/>
      </c>
      <c r="I264" s="7">
        <f>IF($F264="","",$F264*Settings!$B$9)</f>
        <v/>
      </c>
      <c r="J264" s="7">
        <f>IF($D264="","",IFERROR(INDEX(Settings!$C$2:$C$7,MATCH(TRIM(CLEAN($D264)),Settings!$A$2:$A$7,0)),""))</f>
        <v/>
      </c>
      <c r="K264" s="7">
        <f>IF(OR($H264="",$I264="",$J264=""),"",ROUND(($H264+$I264)*$J264,2))</f>
        <v/>
      </c>
      <c r="L264" t="n">
        <v>84.22</v>
      </c>
    </row>
    <row r="265" ht="14.25" customHeight="1">
      <c r="A265" s="44" t="n">
        <v>46186</v>
      </c>
      <c r="B265" s="4" t="n">
        <v>700</v>
      </c>
      <c r="C265" s="11" t="inlineStr">
        <is>
          <t>Viccars, Adrian</t>
        </is>
      </c>
      <c r="D265" s="4" t="inlineStr">
        <is>
          <t>SP</t>
        </is>
      </c>
      <c r="E265" s="4" t="n">
        <v>47</v>
      </c>
      <c r="F265" s="4" t="n">
        <v>3</v>
      </c>
      <c r="G265" s="7">
        <f>IF($D265="","",IFERROR(INDEX(Settings!$B$2:$B$7,MATCH(TRIM(CLEAN($D265)),Settings!$A$2:$A$7,0)),""))</f>
        <v/>
      </c>
      <c r="H265" s="7">
        <f>IF(OR($E265="",$G265=""),"",$E265*$G265)</f>
        <v/>
      </c>
      <c r="I265" s="7">
        <f>IF($F265="","",$F265*Settings!$B$9)</f>
        <v/>
      </c>
      <c r="J265" s="7">
        <f>IF($D265="","",IFERROR(INDEX(Settings!$C$2:$C$7,MATCH(TRIM(CLEAN($D265)),Settings!$A$2:$A$7,0)),""))</f>
        <v/>
      </c>
      <c r="K265" s="7">
        <f>IF(OR($H265="",$I265="",$J265=""),"",ROUND(($H265+$I265)*$J265,2))</f>
        <v/>
      </c>
      <c r="L265" t="n">
        <v>80.91</v>
      </c>
    </row>
    <row r="266" ht="14.25" customHeight="1">
      <c r="A266" s="44" t="n">
        <v>46186</v>
      </c>
      <c r="B266" s="4" t="n">
        <v>700</v>
      </c>
      <c r="C266" s="11" t="inlineStr">
        <is>
          <t>Heath, Warwick</t>
        </is>
      </c>
      <c r="D266" s="4" t="inlineStr">
        <is>
          <t>FTR</t>
        </is>
      </c>
      <c r="E266" s="4" t="n">
        <v>53</v>
      </c>
      <c r="F266" s="4" t="n">
        <v>2</v>
      </c>
      <c r="G266" s="7">
        <f>IF($D266="","",IFERROR(INDEX(Settings!$B$2:$B$7,MATCH(TRIM(CLEAN($D266)),Settings!$A$2:$A$7,0)),""))</f>
        <v/>
      </c>
      <c r="H266" s="7">
        <f>IF(OR($E266="",$G266=""),"",$E266*$G266)</f>
        <v/>
      </c>
      <c r="I266" s="7">
        <f>IF($F266="","",$F266*Settings!$B$9)</f>
        <v/>
      </c>
      <c r="J266" s="7">
        <f>IF($D266="","",IFERROR(INDEX(Settings!$C$2:$C$7,MATCH(TRIM(CLEAN($D266)),Settings!$A$2:$A$7,0)),""))</f>
        <v/>
      </c>
      <c r="K266" s="7">
        <f>IF(OR($H266="",$I266="",$J266=""),"",ROUND(($H266+$I266)*$J266,2))</f>
        <v/>
      </c>
      <c r="L266" t="n">
        <v>78.88</v>
      </c>
    </row>
    <row r="267" ht="14.25" customHeight="1">
      <c r="A267" s="44" t="n">
        <v>46186</v>
      </c>
      <c r="B267" s="4" t="n">
        <v>700</v>
      </c>
      <c r="C267" s="11" t="inlineStr">
        <is>
          <t>Staley, Eric</t>
        </is>
      </c>
      <c r="D267" s="4" t="inlineStr">
        <is>
          <t>SO</t>
        </is>
      </c>
      <c r="E267" s="4" t="n">
        <v>48</v>
      </c>
      <c r="F267" s="4" t="n">
        <v>2</v>
      </c>
      <c r="G267" s="7">
        <f>IF($D267="","",IFERROR(INDEX(Settings!$B$2:$B$7,MATCH(TRIM(CLEAN($D267)),Settings!$A$2:$A$7,0)),""))</f>
        <v/>
      </c>
      <c r="H267" s="7">
        <f>IF(OR($E267="",$G267=""),"",$E267*$G267)</f>
        <v/>
      </c>
      <c r="I267" s="7">
        <f>IF($F267="","",$F267*Settings!$B$9)</f>
        <v/>
      </c>
      <c r="J267" s="7">
        <f>IF($D267="","",IFERROR(INDEX(Settings!$C$2:$C$7,MATCH(TRIM(CLEAN($D267)),Settings!$A$2:$A$7,0)),""))</f>
        <v/>
      </c>
      <c r="K267" s="7">
        <f>IF(OR($H267="",$I267="",$J267=""),"",ROUND(($H267+$I267)*$J267,2))</f>
        <v/>
      </c>
      <c r="L267" t="n">
        <v>81.59999999999999</v>
      </c>
    </row>
    <row r="268" ht="14.25" customHeight="1">
      <c r="A268" s="44" t="n">
        <v>46186</v>
      </c>
      <c r="B268" s="4" t="n">
        <v>700</v>
      </c>
      <c r="C268" s="11" t="inlineStr">
        <is>
          <t>Shepherd, David</t>
        </is>
      </c>
      <c r="D268" s="4" t="inlineStr">
        <is>
          <t>FS</t>
        </is>
      </c>
      <c r="E268" s="4" t="n">
        <v>55</v>
      </c>
      <c r="F268" s="4" t="n">
        <v>1</v>
      </c>
      <c r="G268" s="7">
        <f>IF($D268="","",IFERROR(INDEX(Settings!$B$2:$B$7,MATCH(TRIM(CLEAN($D268)),Settings!$A$2:$A$7,0)),""))</f>
        <v/>
      </c>
      <c r="H268" s="7">
        <f>IF(OR($E268="",$G268=""),"",$E268*$G268)</f>
        <v/>
      </c>
      <c r="I268" s="7">
        <f>IF($F268="","",$F268*Settings!$B$9)</f>
        <v/>
      </c>
      <c r="J268" s="7">
        <f>IF($D268="","",IFERROR(INDEX(Settings!$C$2:$C$7,MATCH(TRIM(CLEAN($D268)),Settings!$A$2:$A$7,0)),""))</f>
        <v/>
      </c>
      <c r="K268" s="7">
        <f>IF(OR($H268="",$I268="",$J268=""),"",ROUND(($H268+$I268)*$J268,2))</f>
        <v/>
      </c>
      <c r="L268" t="n">
        <v>82.16</v>
      </c>
    </row>
    <row r="269" ht="14.25" customHeight="1">
      <c r="A269" s="44" t="n">
        <v>46186</v>
      </c>
      <c r="B269" s="4" t="n">
        <v>700</v>
      </c>
      <c r="C269" s="11" t="inlineStr">
        <is>
          <t>Greed, Adrian</t>
        </is>
      </c>
      <c r="D269" s="4" t="inlineStr">
        <is>
          <t>TR</t>
        </is>
      </c>
      <c r="E269" s="4" t="n">
        <v>49</v>
      </c>
      <c r="F269" s="4" t="n">
        <v>1</v>
      </c>
      <c r="G269" s="7">
        <f>IF($D269="","",IFERROR(INDEX(Settings!$B$2:$B$7,MATCH(TRIM(CLEAN($D269)),Settings!$A$2:$A$7,0)),""))</f>
        <v/>
      </c>
      <c r="H269" s="7">
        <f>IF(OR($E269="",$G269=""),"",$E269*$G269)</f>
        <v/>
      </c>
      <c r="I269" s="7">
        <f>IF($F269="","",$F269*Settings!$B$9)</f>
        <v/>
      </c>
      <c r="J269" s="7">
        <f>IF($D269="","",IFERROR(INDEX(Settings!$C$2:$C$7,MATCH(TRIM(CLEAN($D269)),Settings!$A$2:$A$7,0)),""))</f>
        <v/>
      </c>
      <c r="K269" s="7">
        <f>IF(OR($H269="",$I269="",$J269=""),"",ROUND(($H269+$I269)*$J269,2))</f>
        <v/>
      </c>
      <c r="L269" t="n">
        <v>84.01000000000001</v>
      </c>
    </row>
    <row r="270" ht="14.25" customHeight="1">
      <c r="A270" s="44" t="n">
        <v>46186</v>
      </c>
      <c r="B270" s="4" t="n">
        <v>700</v>
      </c>
      <c r="C270" s="11" t="inlineStr">
        <is>
          <t>Gwyn, Stephen</t>
        </is>
      </c>
      <c r="D270" s="4" t="inlineStr">
        <is>
          <t>SO</t>
        </is>
      </c>
      <c r="E270" s="4" t="n">
        <v>39</v>
      </c>
      <c r="F270" s="4" t="n">
        <v>1</v>
      </c>
      <c r="G270" s="7">
        <f>IF($D270="","",IFERROR(INDEX(Settings!$B$2:$B$7,MATCH(TRIM(CLEAN($D270)),Settings!$A$2:$A$7,0)),""))</f>
        <v/>
      </c>
      <c r="H270" s="7">
        <f>IF(OR($E270="",$G270=""),"",$E270*$G270)</f>
        <v/>
      </c>
      <c r="I270" s="7">
        <f>IF($F270="","",$F270*Settings!$B$9)</f>
        <v/>
      </c>
      <c r="J270" s="7">
        <f>IF($D270="","",IFERROR(INDEX(Settings!$C$2:$C$7,MATCH(TRIM(CLEAN($D270)),Settings!$A$2:$A$7,0)),""))</f>
        <v/>
      </c>
      <c r="K270" s="7">
        <f>IF(OR($H270="",$I270="",$J270=""),"",ROUND(($H270+$I270)*$J270,2))</f>
        <v/>
      </c>
      <c r="L270" t="n">
        <v>65.69</v>
      </c>
    </row>
    <row r="271" ht="14.25" customHeight="1">
      <c r="A271" s="44" t="n">
        <v>46186</v>
      </c>
      <c r="B271" s="4" t="n">
        <v>700</v>
      </c>
      <c r="C271" s="11" t="inlineStr">
        <is>
          <t>Chappell, Daryl</t>
        </is>
      </c>
      <c r="D271" s="4" t="inlineStr">
        <is>
          <t>FO</t>
        </is>
      </c>
      <c r="E271" s="4" t="n">
        <v>53</v>
      </c>
      <c r="F271" s="4" t="n">
        <v>0</v>
      </c>
      <c r="G271" s="7">
        <f>IF($D271="","",IFERROR(INDEX(Settings!$B$2:$B$7,MATCH(TRIM(CLEAN($D271)),Settings!$A$2:$A$7,0)),""))</f>
        <v/>
      </c>
      <c r="H271" s="7">
        <f>IF(OR($E271="",$G271=""),"",$E271*$G271)</f>
        <v/>
      </c>
      <c r="I271" s="7">
        <f>IF($F271="","",$F271*Settings!$B$9)</f>
        <v/>
      </c>
      <c r="J271" s="7">
        <f>IF($D271="","",IFERROR(INDEX(Settings!$C$2:$C$7,MATCH(TRIM(CLEAN($D271)),Settings!$A$2:$A$7,0)),""))</f>
        <v/>
      </c>
      <c r="K271" s="7">
        <f>IF(OR($H271="",$I271="",$J271=""),"",ROUND(($H271+$I271)*$J271,2))</f>
        <v/>
      </c>
      <c r="L271" t="n">
        <v>74.52</v>
      </c>
    </row>
    <row r="272" ht="13.5" customHeight="1">
      <c r="A272" s="44" t="n"/>
      <c r="C272" s="12" t="n"/>
      <c r="D272" s="9" t="n"/>
      <c r="G272" s="7">
        <f>IF($D272="","",IFERROR(INDEX(Settings!$B$2:$B$7,MATCH(TRIM(CLEAN($D272)),Settings!$A$2:$A$7,0)),""))</f>
        <v/>
      </c>
      <c r="H272" s="7">
        <f>IF(OR($E272="",$G272=""),"",$E272*$G272)</f>
        <v/>
      </c>
      <c r="I272" s="7">
        <f>IF($F272="","",$F272*Settings!$B$9)</f>
        <v/>
      </c>
      <c r="J272" s="7">
        <f>IF($D272="","",IFERROR(INDEX(Settings!$C$2:$C$7,MATCH(TRIM(CLEAN($D272)),Settings!$A$2:$A$7,0)),""))</f>
        <v/>
      </c>
      <c r="K272" s="7">
        <f>IF(OR($H272="",$I272="",$J272=""),"",ROUND(($H272+$I272)*$J272,2))</f>
        <v/>
      </c>
    </row>
    <row r="273" ht="13.5" customHeight="1">
      <c r="A273" s="44" t="n"/>
      <c r="C273" s="12" t="n"/>
      <c r="D273" s="9" t="n"/>
      <c r="G273" s="7">
        <f>IF($D273="","",IFERROR(INDEX(Settings!$B$2:$B$7,MATCH(TRIM(CLEAN($D273)),Settings!$A$2:$A$7,0)),""))</f>
        <v/>
      </c>
      <c r="H273" s="7">
        <f>IF(OR($E273="",$G273=""),"",$E273*$G273)</f>
        <v/>
      </c>
      <c r="I273" s="7">
        <f>IF($F273="","",$F273*Settings!$B$9)</f>
        <v/>
      </c>
      <c r="J273" s="7">
        <f>IF($D273="","",IFERROR(INDEX(Settings!$C$2:$C$7,MATCH(TRIM(CLEAN($D273)),Settings!$A$2:$A$7,0)),""))</f>
        <v/>
      </c>
      <c r="K273" s="7">
        <f>IF(OR($H273="",$I273="",$J273=""),"",ROUND(($H273+$I273)*$J273,2))</f>
        <v/>
      </c>
    </row>
    <row r="274" ht="13.5" customHeight="1">
      <c r="A274" s="13" t="n"/>
      <c r="C274" s="12" t="n"/>
      <c r="G274" s="7">
        <f>IF($D274="","",IFERROR(INDEX(Settings!$B$2:$B$7,MATCH(TRIM(CLEAN($D274)),Settings!$A$2:$A$7,0)),""))</f>
        <v/>
      </c>
      <c r="H274" s="7">
        <f>IF(OR($E274="",$G274=""),"",$E274*$G274)</f>
        <v/>
      </c>
      <c r="I274" s="7">
        <f>IF($F274="","",$F274*Settings!$B$9)</f>
        <v/>
      </c>
      <c r="J274" s="7">
        <f>IF($D274="","",IFERROR(INDEX(Settings!$C$2:$C$7,MATCH(TRIM(CLEAN($D274)),Settings!$A$2:$A$7,0)),""))</f>
        <v/>
      </c>
      <c r="K274" s="7">
        <f>IF(OR($H274="",$I274="",$J274=""),"",ROUND(($H274+$I274)*$J274,2))</f>
        <v/>
      </c>
    </row>
    <row r="275" ht="13.5" customHeight="1">
      <c r="A275" s="13" t="n"/>
      <c r="C275" s="12" t="n"/>
      <c r="G275" s="7">
        <f>IF($D275="","",IFERROR(INDEX(Settings!$B$2:$B$7,MATCH(TRIM(CLEAN($D275)),Settings!$A$2:$A$7,0)),""))</f>
        <v/>
      </c>
      <c r="H275" s="7">
        <f>IF(OR($E275="",$G275=""),"",$E275*$G275)</f>
        <v/>
      </c>
      <c r="I275" s="7">
        <f>IF($F275="","",$F275*Settings!$B$9)</f>
        <v/>
      </c>
      <c r="J275" s="7">
        <f>IF($D275="","",IFERROR(INDEX(Settings!$C$2:$C$7,MATCH(TRIM(CLEAN($D275)),Settings!$A$2:$A$7,0)),""))</f>
        <v/>
      </c>
      <c r="K275" s="7">
        <f>IF(OR($H275="",$I275="",$J275=""),"",ROUND(($H275+$I275)*$J275,2))</f>
        <v/>
      </c>
    </row>
    <row r="276" ht="13.5" customHeight="1">
      <c r="A276" s="13" t="n"/>
      <c r="C276" s="12" t="n"/>
      <c r="G276" s="7">
        <f>IF($D276="","",IFERROR(INDEX(Settings!$B$2:$B$7,MATCH(TRIM(CLEAN($D276)),Settings!$A$2:$A$7,0)),""))</f>
        <v/>
      </c>
      <c r="H276" s="7">
        <f>IF(OR($E276="",$G276=""),"",$E276*$G276)</f>
        <v/>
      </c>
      <c r="I276" s="7">
        <f>IF($F276="","",$F276*Settings!$B$9)</f>
        <v/>
      </c>
      <c r="J276" s="7">
        <f>IF($D276="","",IFERROR(INDEX(Settings!$C$2:$C$7,MATCH(TRIM(CLEAN($D276)),Settings!$A$2:$A$7,0)),""))</f>
        <v/>
      </c>
      <c r="K276" s="7">
        <f>IF(OR($H276="",$I276="",$J276=""),"",ROUND(($H276+$I276)*$J276,2))</f>
        <v/>
      </c>
    </row>
    <row r="277" ht="13.5" customHeight="1">
      <c r="A277" s="13" t="n"/>
      <c r="C277" s="12" t="n"/>
      <c r="G277" s="7">
        <f>IF($D277="","",IFERROR(INDEX(Settings!$B$2:$B$7,MATCH(TRIM(CLEAN($D277)),Settings!$A$2:$A$7,0)),""))</f>
        <v/>
      </c>
      <c r="H277" s="7">
        <f>IF(OR($E277="",$G277=""),"",$E277*$G277)</f>
        <v/>
      </c>
      <c r="I277" s="7">
        <f>IF($F277="","",$F277*Settings!$B$9)</f>
        <v/>
      </c>
      <c r="J277" s="7">
        <f>IF($D277="","",IFERROR(INDEX(Settings!$C$2:$C$7,MATCH(TRIM(CLEAN($D277)),Settings!$A$2:$A$7,0)),""))</f>
        <v/>
      </c>
      <c r="K277" s="7">
        <f>IF(OR($H277="",$I277="",$J277=""),"",ROUND(($H277+$I277)*$J277,2))</f>
        <v/>
      </c>
    </row>
    <row r="278" ht="13.5" customHeight="1">
      <c r="A278" s="13" t="n"/>
      <c r="C278" s="12" t="n"/>
      <c r="G278" s="7">
        <f>IF($D278="","",IFERROR(INDEX(Settings!$B$2:$B$7,MATCH(TRIM(CLEAN($D278)),Settings!$A$2:$A$7,0)),""))</f>
        <v/>
      </c>
      <c r="H278" s="7">
        <f>IF(OR($E278="",$G278=""),"",$E278*$G278)</f>
        <v/>
      </c>
      <c r="I278" s="7">
        <f>IF($F278="","",$F278*Settings!$B$9)</f>
        <v/>
      </c>
      <c r="J278" s="7">
        <f>IF($D278="","",IFERROR(INDEX(Settings!$C$2:$C$7,MATCH(TRIM(CLEAN($D278)),Settings!$A$2:$A$7,0)),""))</f>
        <v/>
      </c>
      <c r="K278" s="7">
        <f>IF(OR($H278="",$I278="",$J278=""),"",ROUND(($H278+$I278)*$J278,2))</f>
        <v/>
      </c>
    </row>
    <row r="279" ht="13.5" customHeight="1">
      <c r="A279" s="13" t="n"/>
      <c r="G279" s="7">
        <f>IF($D279="","",IFERROR(INDEX(Settings!$B$2:$B$7,MATCH(TRIM(CLEAN($D279)),Settings!$A$2:$A$7,0)),""))</f>
        <v/>
      </c>
      <c r="H279" s="7">
        <f>IF(OR($E279="",$G279=""),"",$E279*$G279)</f>
        <v/>
      </c>
      <c r="I279" s="7">
        <f>IF($F279="","",$F279*Settings!$B$9)</f>
        <v/>
      </c>
      <c r="J279" s="7">
        <f>IF($D279="","",IFERROR(INDEX(Settings!$C$2:$C$7,MATCH(TRIM(CLEAN($D279)),Settings!$A$2:$A$7,0)),""))</f>
        <v/>
      </c>
      <c r="K279" s="7">
        <f>IF(OR($H279="",$I279="",$J279=""),"",ROUND(($H279+$I279)*$J279,2))</f>
        <v/>
      </c>
    </row>
    <row r="280" ht="13.5" customHeight="1">
      <c r="A280" s="13" t="n"/>
      <c r="G280" s="7">
        <f>IF($D280="","",IFERROR(INDEX(Settings!$B$2:$B$7,MATCH(TRIM(CLEAN($D280)),Settings!$A$2:$A$7,0)),""))</f>
        <v/>
      </c>
      <c r="H280" s="7">
        <f>IF(OR($E280="",$G280=""),"",$E280*$G280)</f>
        <v/>
      </c>
      <c r="I280" s="7">
        <f>IF($F280="","",$F280*Settings!$B$9)</f>
        <v/>
      </c>
      <c r="J280" s="7">
        <f>IF($D280="","",IFERROR(INDEX(Settings!$C$2:$C$7,MATCH(TRIM(CLEAN($D280)),Settings!$A$2:$A$7,0)),""))</f>
        <v/>
      </c>
      <c r="K280" s="7">
        <f>IF(OR($H280="",$I280="",$J280=""),"",ROUND(($H280+$I280)*$J280,2))</f>
        <v/>
      </c>
    </row>
    <row r="281" ht="13.5" customHeight="1">
      <c r="A281" s="13" t="n"/>
      <c r="G281" s="7">
        <f>IF($D281="","",IFERROR(INDEX(Settings!$B$2:$B$7,MATCH(TRIM(CLEAN($D281)),Settings!$A$2:$A$7,0)),""))</f>
        <v/>
      </c>
      <c r="H281" s="7">
        <f>IF(OR($E281="",$G281=""),"",$E281*$G281)</f>
        <v/>
      </c>
      <c r="I281" s="7">
        <f>IF($F281="","",$F281*Settings!$B$9)</f>
        <v/>
      </c>
      <c r="J281" s="7">
        <f>IF($D281="","",IFERROR(INDEX(Settings!$C$2:$C$7,MATCH(TRIM(CLEAN($D281)),Settings!$A$2:$A$7,0)),""))</f>
        <v/>
      </c>
      <c r="K281" s="7">
        <f>IF(OR($H281="",$I281="",$J281=""),"",ROUND(($H281+$I281)*$J281,2))</f>
        <v/>
      </c>
    </row>
    <row r="282" ht="13.5" customHeight="1">
      <c r="A282" s="13" t="n"/>
      <c r="G282" s="7">
        <f>IF($D282="","",IFERROR(INDEX(Settings!$B$2:$B$7,MATCH(TRIM(CLEAN($D282)),Settings!$A$2:$A$7,0)),""))</f>
        <v/>
      </c>
      <c r="H282" s="7">
        <f>IF(OR($E282="",$G282=""),"",$E282*$G282)</f>
        <v/>
      </c>
      <c r="I282" s="7">
        <f>IF($F282="","",$F282*Settings!$B$9)</f>
        <v/>
      </c>
      <c r="J282" s="7">
        <f>IF($D282="","",IFERROR(INDEX(Settings!$C$2:$C$7,MATCH(TRIM(CLEAN($D282)),Settings!$A$2:$A$7,0)),""))</f>
        <v/>
      </c>
      <c r="K282" s="7">
        <f>IF(OR($H282="",$I282="",$J282=""),"",ROUND(($H282+$I282)*$J282,2))</f>
        <v/>
      </c>
    </row>
    <row r="283" ht="13.5" customHeight="1">
      <c r="A283" s="13" t="n"/>
      <c r="G283" s="7">
        <f>IF($D283="","",IFERROR(INDEX(Settings!$B$2:$B$7,MATCH(TRIM(CLEAN($D283)),Settings!$A$2:$A$7,0)),""))</f>
        <v/>
      </c>
      <c r="H283" s="7">
        <f>IF(OR($E283="",$G283=""),"",$E283*$G283)</f>
        <v/>
      </c>
      <c r="I283" s="7">
        <f>IF($F283="","",$F283*Settings!$B$9)</f>
        <v/>
      </c>
      <c r="J283" s="7">
        <f>IF($D283="","",IFERROR(INDEX(Settings!$C$2:$C$7,MATCH(TRIM(CLEAN($D283)),Settings!$A$2:$A$7,0)),""))</f>
        <v/>
      </c>
      <c r="K283" s="7">
        <f>IF(OR($H283="",$I283="",$J283=""),"",ROUND(($H283+$I283)*$J283,2))</f>
        <v/>
      </c>
    </row>
    <row r="284" ht="13.5" customHeight="1">
      <c r="A284" s="13" t="n"/>
      <c r="G284" s="7">
        <f>IF($D284="","",IFERROR(INDEX(Settings!$B$2:$B$7,MATCH(TRIM(CLEAN($D284)),Settings!$A$2:$A$7,0)),""))</f>
        <v/>
      </c>
      <c r="H284" s="7">
        <f>IF(OR($E284="",$G284=""),"",$E284*$G284)</f>
        <v/>
      </c>
      <c r="I284" s="7">
        <f>IF($F284="","",$F284*Settings!$B$9)</f>
        <v/>
      </c>
      <c r="J284" s="7">
        <f>IF($D284="","",IFERROR(INDEX(Settings!$C$2:$C$7,MATCH(TRIM(CLEAN($D284)),Settings!$A$2:$A$7,0)),""))</f>
        <v/>
      </c>
      <c r="K284" s="7">
        <f>IF(OR($H284="",$I284="",$J284=""),"",ROUND(($H284+$I284)*$J284,2))</f>
        <v/>
      </c>
    </row>
    <row r="285" ht="13.5" customHeight="1">
      <c r="A285" s="13" t="n"/>
      <c r="G285" s="7">
        <f>IF($D285="","",IFERROR(INDEX(Settings!$B$2:$B$7,MATCH(TRIM(CLEAN($D285)),Settings!$A$2:$A$7,0)),""))</f>
        <v/>
      </c>
      <c r="H285" s="7">
        <f>IF(OR($E285="",$G285=""),"",$E285*$G285)</f>
        <v/>
      </c>
      <c r="I285" s="7">
        <f>IF($F285="","",$F285*Settings!$B$9)</f>
        <v/>
      </c>
      <c r="J285" s="7">
        <f>IF($D285="","",IFERROR(INDEX(Settings!$C$2:$C$7,MATCH(TRIM(CLEAN($D285)),Settings!$A$2:$A$7,0)),""))</f>
        <v/>
      </c>
      <c r="K285" s="7">
        <f>IF(OR($H285="",$I285="",$J285=""),"",ROUND(($H285+$I285)*$J285,2))</f>
        <v/>
      </c>
    </row>
    <row r="286" ht="13.5" customHeight="1">
      <c r="A286" s="13" t="n"/>
      <c r="G286" s="7">
        <f>IF($D286="","",IFERROR(INDEX(Settings!$B$2:$B$7,MATCH(TRIM(CLEAN($D286)),Settings!$A$2:$A$7,0)),""))</f>
        <v/>
      </c>
      <c r="H286" s="7">
        <f>IF(OR($E286="",$G286=""),"",$E286*$G286)</f>
        <v/>
      </c>
      <c r="I286" s="7">
        <f>IF($F286="","",$F286*Settings!$B$9)</f>
        <v/>
      </c>
      <c r="J286" s="7">
        <f>IF($D286="","",IFERROR(INDEX(Settings!$C$2:$C$7,MATCH(TRIM(CLEAN($D286)),Settings!$A$2:$A$7,0)),""))</f>
        <v/>
      </c>
      <c r="K286" s="7">
        <f>IF(OR($H286="",$I286="",$J286=""),"",ROUND(($H286+$I286)*$J286,2))</f>
        <v/>
      </c>
    </row>
    <row r="287" ht="13.5" customHeight="1">
      <c r="A287" s="13" t="n"/>
      <c r="G287" s="7">
        <f>IF($D287="","",IFERROR(INDEX(Settings!$B$2:$B$7,MATCH(TRIM(CLEAN($D287)),Settings!$A$2:$A$7,0)),""))</f>
        <v/>
      </c>
      <c r="H287" s="7">
        <f>IF(OR($E287="",$G287=""),"",$E287*$G287)</f>
        <v/>
      </c>
      <c r="I287" s="7">
        <f>IF($F287="","",$F287*Settings!$B$9)</f>
        <v/>
      </c>
      <c r="J287" s="7">
        <f>IF($D287="","",IFERROR(INDEX(Settings!$C$2:$C$7,MATCH(TRIM(CLEAN($D287)),Settings!$A$2:$A$7,0)),""))</f>
        <v/>
      </c>
      <c r="K287" s="7">
        <f>IF(OR($H287="",$I287="",$J287=""),"",ROUND(($H287+$I287)*$J287,2))</f>
        <v/>
      </c>
    </row>
    <row r="288" ht="13.5" customHeight="1">
      <c r="A288" s="13" t="n"/>
      <c r="G288" s="46" t="n"/>
      <c r="H288" s="7" t="n"/>
      <c r="I288" s="7" t="n"/>
      <c r="J288" s="15" t="n"/>
      <c r="K288" s="7" t="n"/>
    </row>
    <row r="289" ht="13.5" customHeight="1">
      <c r="A289" s="13" t="n"/>
      <c r="G289" s="46" t="n"/>
      <c r="H289" s="7" t="n"/>
      <c r="I289" s="7" t="n"/>
      <c r="J289" s="15" t="n"/>
      <c r="K289" s="7" t="n"/>
    </row>
    <row r="290" ht="13.5" customHeight="1">
      <c r="A290" s="13" t="n"/>
      <c r="G290" s="46" t="n"/>
      <c r="H290" s="7" t="n"/>
      <c r="I290" s="7" t="n"/>
      <c r="J290" s="15" t="n"/>
      <c r="K290" s="7" t="n"/>
    </row>
    <row r="291" ht="13.5" customHeight="1">
      <c r="A291" s="13" t="n"/>
      <c r="G291" s="46" t="n"/>
      <c r="H291" s="7" t="n"/>
      <c r="I291" s="7" t="n"/>
      <c r="J291" s="15" t="n"/>
      <c r="K291" s="7" t="n"/>
    </row>
    <row r="292" ht="13.5" customHeight="1">
      <c r="A292" s="13" t="n"/>
      <c r="G292" s="46" t="n"/>
      <c r="H292" s="7" t="n"/>
      <c r="I292" s="7" t="n"/>
      <c r="J292" s="15" t="n"/>
      <c r="K292" s="7" t="n"/>
    </row>
    <row r="293" ht="13.5" customHeight="1">
      <c r="A293" s="13" t="n"/>
      <c r="G293" s="46" t="n"/>
      <c r="H293" s="7" t="n"/>
      <c r="I293" s="7" t="n"/>
      <c r="J293" s="15" t="n"/>
      <c r="K293" s="7" t="n"/>
    </row>
    <row r="294" ht="13.5" customHeight="1">
      <c r="A294" s="13" t="n"/>
      <c r="G294" s="46" t="n"/>
      <c r="H294" s="7" t="n"/>
      <c r="I294" s="7" t="n"/>
      <c r="J294" s="15" t="n"/>
      <c r="K294" s="7" t="n"/>
    </row>
    <row r="295" ht="13.5" customHeight="1">
      <c r="A295" s="13" t="n"/>
      <c r="G295" s="46" t="n"/>
      <c r="H295" s="7" t="n"/>
      <c r="I295" s="7" t="n"/>
      <c r="J295" s="15" t="n"/>
      <c r="K295" s="7" t="n"/>
    </row>
    <row r="296" ht="13.5" customHeight="1">
      <c r="A296" s="13" t="n"/>
      <c r="G296" s="46" t="n"/>
      <c r="H296" s="7" t="n"/>
      <c r="I296" s="7" t="n"/>
      <c r="J296" s="15" t="n"/>
      <c r="K296" s="7" t="n"/>
    </row>
    <row r="297" ht="13.5" customHeight="1">
      <c r="A297" s="13" t="n"/>
      <c r="G297" s="46" t="n"/>
      <c r="H297" s="7" t="n"/>
      <c r="I297" s="7" t="n"/>
      <c r="J297" s="15" t="n"/>
      <c r="K297" s="7" t="n"/>
    </row>
    <row r="298" ht="13.5" customHeight="1">
      <c r="A298" s="13" t="n"/>
      <c r="G298" s="46" t="n"/>
      <c r="H298" s="7" t="n"/>
      <c r="I298" s="7" t="n"/>
      <c r="J298" s="15" t="n"/>
      <c r="K298" s="7" t="n"/>
    </row>
    <row r="299" ht="13.5" customHeight="1">
      <c r="A299" s="13" t="n"/>
      <c r="G299" s="46" t="n"/>
      <c r="H299" s="7" t="n"/>
      <c r="I299" s="7" t="n"/>
      <c r="J299" s="15" t="n"/>
      <c r="K299" s="7" t="n"/>
    </row>
    <row r="300" ht="13.5" customHeight="1">
      <c r="A300" s="13" t="n"/>
      <c r="G300" s="46" t="n"/>
      <c r="H300" s="7" t="n"/>
      <c r="I300" s="7" t="n"/>
      <c r="J300" s="15" t="n"/>
      <c r="K300" s="7" t="n"/>
    </row>
    <row r="301" ht="13.5" customHeight="1">
      <c r="A301" s="13" t="n"/>
      <c r="G301" s="46" t="n"/>
      <c r="H301" s="7" t="n"/>
      <c r="I301" s="7" t="n"/>
      <c r="J301" s="15" t="n"/>
      <c r="K301" s="7" t="n"/>
    </row>
    <row r="302" ht="13.5" customHeight="1">
      <c r="A302" s="13" t="n"/>
      <c r="G302" s="46" t="n"/>
      <c r="H302" s="7" t="n"/>
      <c r="I302" s="7" t="n"/>
      <c r="J302" s="15" t="n"/>
      <c r="K302" s="7" t="n"/>
    </row>
    <row r="303" ht="13.5" customHeight="1">
      <c r="A303" s="13" t="n"/>
      <c r="G303" s="46" t="n"/>
      <c r="H303" s="7" t="n"/>
      <c r="I303" s="7" t="n"/>
      <c r="J303" s="15" t="n"/>
      <c r="K303" s="7" t="n"/>
    </row>
    <row r="304" ht="13.5" customHeight="1">
      <c r="A304" s="13" t="n"/>
      <c r="G304" s="46" t="n"/>
      <c r="H304" s="7" t="n"/>
      <c r="I304" s="7" t="n"/>
      <c r="J304" s="15" t="n"/>
      <c r="K304" s="7" t="n"/>
    </row>
    <row r="305" ht="13.5" customHeight="1">
      <c r="A305" s="13" t="n"/>
      <c r="G305" s="46" t="n"/>
      <c r="H305" s="7" t="n"/>
      <c r="I305" s="7" t="n"/>
      <c r="J305" s="15" t="n"/>
      <c r="K305" s="7" t="n"/>
    </row>
    <row r="306" ht="13.5" customHeight="1">
      <c r="A306" s="13" t="n"/>
      <c r="G306" s="46" t="n"/>
      <c r="H306" s="7" t="n"/>
      <c r="I306" s="7" t="n"/>
      <c r="J306" s="15" t="n"/>
      <c r="K306" s="7" t="n"/>
    </row>
    <row r="307" ht="13.5" customHeight="1">
      <c r="A307" s="13" t="n"/>
      <c r="G307" s="46" t="n"/>
      <c r="H307" s="7" t="n"/>
      <c r="I307" s="7" t="n"/>
      <c r="J307" s="15" t="n"/>
      <c r="K307" s="7" t="n"/>
    </row>
    <row r="308" ht="13.5" customHeight="1">
      <c r="A308" s="13" t="n"/>
      <c r="G308" s="46" t="n"/>
      <c r="H308" s="7" t="n"/>
      <c r="I308" s="7" t="n"/>
      <c r="J308" s="15" t="n"/>
      <c r="K308" s="7" t="n"/>
    </row>
    <row r="309" ht="13.5" customHeight="1">
      <c r="A309" s="13" t="n"/>
      <c r="G309" s="46" t="n"/>
      <c r="H309" s="7" t="n"/>
      <c r="I309" s="7" t="n"/>
      <c r="J309" s="15" t="n"/>
      <c r="K309" s="7" t="n"/>
    </row>
    <row r="310" ht="13.5" customHeight="1">
      <c r="A310" s="13" t="n"/>
      <c r="G310" s="46" t="n"/>
      <c r="H310" s="7" t="n"/>
      <c r="I310" s="7" t="n"/>
      <c r="J310" s="15" t="n"/>
      <c r="K310" s="7" t="n"/>
    </row>
    <row r="311" ht="13.5" customHeight="1">
      <c r="A311" s="13" t="n"/>
      <c r="G311" s="46" t="n"/>
      <c r="H311" s="7" t="n"/>
      <c r="I311" s="7" t="n"/>
      <c r="J311" s="15" t="n"/>
      <c r="K311" s="7" t="n"/>
    </row>
    <row r="312" ht="13.5" customHeight="1">
      <c r="A312" s="13" t="n"/>
      <c r="G312" s="46" t="n"/>
      <c r="H312" s="7" t="n"/>
      <c r="I312" s="7" t="n"/>
      <c r="J312" s="15" t="n"/>
      <c r="K312" s="7" t="n"/>
    </row>
    <row r="313" ht="13.5" customHeight="1">
      <c r="A313" s="13" t="n"/>
      <c r="G313" s="46" t="n"/>
      <c r="H313" s="7" t="n"/>
      <c r="I313" s="7" t="n"/>
      <c r="J313" s="15" t="n"/>
      <c r="K313" s="7" t="n"/>
    </row>
    <row r="314" ht="13.5" customHeight="1">
      <c r="A314" s="13" t="n"/>
      <c r="G314" s="46" t="n"/>
      <c r="H314" s="7" t="n"/>
      <c r="I314" s="7" t="n"/>
      <c r="J314" s="15" t="n"/>
      <c r="K314" s="7" t="n"/>
    </row>
    <row r="315" ht="13.5" customHeight="1">
      <c r="A315" s="13" t="n"/>
      <c r="G315" s="46" t="n"/>
      <c r="H315" s="7" t="n"/>
      <c r="I315" s="7" t="n"/>
      <c r="J315" s="15" t="n"/>
      <c r="K315" s="7" t="n"/>
    </row>
    <row r="316" ht="13.5" customHeight="1">
      <c r="A316" s="13" t="n"/>
      <c r="G316" s="46" t="n"/>
      <c r="H316" s="7" t="n"/>
      <c r="I316" s="7" t="n"/>
      <c r="J316" s="15" t="n"/>
      <c r="K316" s="7" t="n"/>
    </row>
    <row r="317" ht="13.5" customHeight="1">
      <c r="A317" s="13" t="n"/>
      <c r="G317" s="46" t="n"/>
      <c r="H317" s="7" t="n"/>
      <c r="I317" s="7" t="n"/>
      <c r="J317" s="15" t="n"/>
      <c r="K317" s="7" t="n"/>
    </row>
    <row r="318" ht="13.5" customHeight="1">
      <c r="K318" s="16" t="n"/>
    </row>
    <row r="319" ht="13.5" customHeight="1">
      <c r="K319" s="16" t="n"/>
    </row>
    <row r="320" ht="13.5" customHeight="1">
      <c r="K320" s="16" t="n"/>
    </row>
    <row r="321" ht="13.5" customHeight="1">
      <c r="K321" s="16" t="n"/>
    </row>
    <row r="322" ht="13.5" customHeight="1">
      <c r="K322" s="16" t="n"/>
    </row>
    <row r="323" ht="13.5" customHeight="1">
      <c r="K323" s="16" t="n"/>
    </row>
    <row r="324" ht="13.5" customHeight="1">
      <c r="K324" s="16" t="n"/>
    </row>
    <row r="325" ht="13.5" customHeight="1">
      <c r="K325" s="16" t="n"/>
    </row>
    <row r="326" ht="13.5" customHeight="1">
      <c r="K326" s="16" t="n"/>
    </row>
    <row r="327" ht="13.5" customHeight="1">
      <c r="K327" s="16" t="n"/>
    </row>
    <row r="328" ht="13.5" customHeight="1">
      <c r="K328" s="16" t="n"/>
    </row>
    <row r="329" ht="13.5" customHeight="1">
      <c r="K329" s="16" t="n"/>
    </row>
    <row r="330" ht="13.5" customHeight="1">
      <c r="K330" s="16" t="n"/>
    </row>
    <row r="331" ht="13.5" customHeight="1">
      <c r="K331" s="16" t="n"/>
    </row>
    <row r="332" ht="13.5" customHeight="1">
      <c r="K332" s="16" t="n"/>
    </row>
    <row r="333" ht="13.5" customHeight="1">
      <c r="K333" s="16" t="n"/>
    </row>
    <row r="334" ht="13.5" customHeight="1">
      <c r="K334" s="16" t="n"/>
    </row>
    <row r="335" ht="13.5" customHeight="1">
      <c r="K335" s="16" t="n"/>
    </row>
    <row r="336">
      <c r="K336" s="16" t="n"/>
    </row>
  </sheetData>
  <conditionalFormatting sqref="K2:K271">
    <cfRule type="expression" priority="2" dxfId="1">
      <formula>$A2&lt;=3</formula>
    </cfRule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</cfRule>
    <cfRule type="dataBar" priority="5">
      <dataBar>
        <cfvo type="min"/>
        <cfvo type="max"/>
        <color rgb="FF0F766E"/>
      </dataBar>
    </cfRule>
  </conditionalFormatting>
  <dataValidations count="1">
    <dataValidation sqref="B2:B271" showDropDown="0" showInputMessage="0" showErrorMessage="0" allowBlank="0" type="list">
      <formula1>"300,500,600,700,800,900,1000"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tabSelected="1" zoomScaleNormal="100" workbookViewId="0">
      <selection activeCell="R17" sqref="R17"/>
    </sheetView>
  </sheetViews>
  <sheetFormatPr baseColWidth="8" defaultColWidth="8.6328125" defaultRowHeight="14.5"/>
  <cols>
    <col width="22.453125" customWidth="1" style="5" min="1" max="1"/>
    <col width="9.90625" customWidth="1" style="4" min="2" max="11"/>
    <col width="10.1796875" customWidth="1" style="4" min="12" max="12"/>
    <col width="10.36328125" customWidth="1" style="4" min="13" max="13"/>
    <col width="10.08984375" customWidth="1" style="16" min="14" max="14"/>
    <col width="8.6328125" customWidth="1" style="5" min="15" max="16384"/>
  </cols>
  <sheetData>
    <row r="1" ht="29.25" customFormat="1" customHeight="1" s="18">
      <c r="A1" s="28" t="inlineStr">
        <is>
          <t>End of Year MCSI Club Champion 2026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</row>
    <row r="2" ht="26.25" customFormat="1" customHeight="1" s="18">
      <c r="A2" s="30" t="inlineStr">
        <is>
          <t>Populated from Results using each shooter's best two MCSI adjusted scores at each distance. Single score counts where only one exists.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 ht="34.5" customHeight="1">
      <c r="A3" s="1" t="inlineStr">
        <is>
          <t>Shooter</t>
        </is>
      </c>
      <c r="B3" s="1" t="inlineStr">
        <is>
          <t>500m Best 1</t>
        </is>
      </c>
      <c r="C3" s="1" t="inlineStr">
        <is>
          <t>500m Best 2</t>
        </is>
      </c>
      <c r="D3" s="1" t="inlineStr">
        <is>
          <t>600m Best 1</t>
        </is>
      </c>
      <c r="E3" s="1" t="inlineStr">
        <is>
          <t>600m Best 2</t>
        </is>
      </c>
      <c r="F3" s="1" t="inlineStr">
        <is>
          <t>700m Best 1</t>
        </is>
      </c>
      <c r="G3" s="1" t="inlineStr">
        <is>
          <t>700m Best 2</t>
        </is>
      </c>
      <c r="H3" s="1" t="inlineStr">
        <is>
          <t>800m Best 1</t>
        </is>
      </c>
      <c r="I3" s="1" t="inlineStr">
        <is>
          <t>800m Best 2</t>
        </is>
      </c>
      <c r="J3" s="1" t="inlineStr">
        <is>
          <t>900m Best 1</t>
        </is>
      </c>
      <c r="K3" s="1" t="inlineStr">
        <is>
          <t>900m Best 2</t>
        </is>
      </c>
      <c r="L3" s="1" t="inlineStr">
        <is>
          <t>Grand Total</t>
        </is>
      </c>
      <c r="M3" s="1" t="inlineStr">
        <is>
          <t>Rank</t>
        </is>
      </c>
      <c r="N3" s="1" t="inlineStr">
        <is>
          <t>Range Avg</t>
        </is>
      </c>
    </row>
    <row r="4" ht="13.5" customHeight="1">
      <c r="A4" s="5">
        <f t="array" ref="A4">IFERROR(INDEX(Results!$C$2:$C$1001,MATCH(0,COUNTIF($A$3:A3,Results!$C$2:$C$1001)+(Results!$C$2:$C$1001=""),0)),"")</f>
        <v/>
      </c>
      <c r="B4" s="16">
        <f t="array" ref="B4">IFERROR(LARGE(IF((Results!$C$2:$C$1001=$A4)*(Results!$B$2:$B$1001=500)*(Results!$K$2:$K$1001&gt;0),Results!$K$2:$K$1001),1),"")</f>
        <v/>
      </c>
      <c r="C4" s="16">
        <f t="array" ref="C4">IFERROR(LARGE(IF((Results!$C$2:$C$1001=$A4)*(Results!$B$2:$B$1001=500)*(Results!$K$2:$K$1001&gt;0),Results!$K$2:$K$1001),2),"")</f>
        <v/>
      </c>
      <c r="D4" s="16">
        <f t="array" ref="D4">IFERROR(LARGE(IF((Results!$C$2:$C$1001=$A4)*(Results!$B$2:$B$1001=600)*(Results!$K$2:$K$1001&gt;0),Results!$K$2:$K$1001),1),"")</f>
        <v/>
      </c>
      <c r="E4" s="16">
        <f t="array" ref="E4">IFERROR(LARGE(IF((Results!$C$2:$C$1001=$A4)*(Results!$B$2:$B$1001=600)*(Results!$K$2:$K$1001&gt;0),Results!$K$2:$K$1001),2),"")</f>
        <v/>
      </c>
      <c r="F4" s="16">
        <f t="array" ref="F4">IFERROR(LARGE(IF((Results!$C$2:$C$1001=$A4)*(Results!$B$2:$B$1001=700)*(Results!$K$2:$K$1001&gt;0),Results!$K$2:$K$1001),1),"")</f>
        <v/>
      </c>
      <c r="G4" s="16">
        <f t="array" ref="G4">IFERROR(LARGE(IF((Results!$C$2:$C$1001=$A4)*(Results!$B$2:$B$1001=700)*(Results!$K$2:$K$1001&gt;0),Results!$K$2:$K$1001),2),"")</f>
        <v/>
      </c>
      <c r="H4" s="16">
        <f t="array" ref="H4">IFERROR(LARGE(IF((Results!$C$2:$C$1001=$A4)*(Results!$B$2:$B$1001=800)*(Results!$K$2:$K$1001&gt;0),Results!$K$2:$K$1001),1),"")</f>
        <v/>
      </c>
      <c r="I4" s="16">
        <f t="array" ref="I4">IFERROR(LARGE(IF((Results!$C$2:$C$1001=$A4)*(Results!$B$2:$B$1001=800)*(Results!$K$2:$K$1001&gt;0),Results!$K$2:$K$1001),2),"")</f>
        <v/>
      </c>
      <c r="J4" s="16">
        <f t="array" ref="J4">IFERROR(LARGE(IF((Results!$C$2:$C$1001=$A4)*(Results!$B$2:$B$1001=900)*(Results!$K$2:$K$1001&gt;0),Results!$K$2:$K$1001),1),"")</f>
        <v/>
      </c>
      <c r="K4" s="16">
        <f t="array" ref="K4">IFERROR(LARGE(IF((Results!$C$2:$C$1001=$A4)*(Results!$B$2:$B$1001=900)*(Results!$K$2:$K$1001&gt;0),Results!$K$2:$K$1001),2),"")</f>
        <v/>
      </c>
      <c r="L4" s="16">
        <f t="array" ref="L4">IF($A4="","",IFERROR(LARGE(IF((Results!$C$2:$C$1001=$A4)*(Results!$B$2:$B$1001=500)*(Results!$K$2:$K$1001&gt;0),Results!$K$2:$K$1001),1),0)+IFERROR(LARGE(IF((Results!$C$2:$C$1001=$A4)*(Results!$B$2:$B$1001=500)*(Results!$K$2:$K$1001&gt;0),Results!$K$2:$K$1001),2),0)+IFERROR(LARGE(IF((Results!$C$2:$C$1001=$A4)*(Results!$B$2:$B$1001=600)*(Results!$K$2:$K$1001&gt;0),Results!$K$2:$K$1001),1),0)+IFERROR(LARGE(IF((Results!$C$2:$C$1001=$A4)*(Results!$B$2:$B$1001=600)*(Results!$K$2:$K$1001&gt;0),Results!$K$2:$K$1001),2),0)+IFERROR(LARGE(IF((Results!$C$2:$C$1001=$A4)*(Results!$B$2:$B$1001=700)*(Results!$K$2:$K$1001&gt;0),Results!$K$2:$K$1001),1),0)+IFERROR(LARGE(IF((Results!$C$2:$C$1001=$A4)*(Results!$B$2:$B$1001=700)*(Results!$K$2:$K$1001&gt;0),Results!$K$2:$K$1001),2),0)+IFERROR(LARGE(IF((Results!$C$2:$C$1001=$A4)*(Results!$B$2:$B$1001=800)*(Results!$K$2:$K$1001&gt;0),Results!$K$2:$K$1001),1),0)+IFERROR(LARGE(IF((Results!$C$2:$C$1001=$A4)*(Results!$B$2:$B$1001=800)*(Results!$K$2:$K$1001&gt;0),Results!$K$2:$K$1001),2),0)+IFERROR(LARGE(IF((Results!$C$2:$C$1001=$A4)*(Results!$B$2:$B$1001=900)*(Results!$K$2:$K$1001&gt;0),Results!$K$2:$K$1001),1),0)+IFERROR(LARGE(IF((Results!$C$2:$C$1001=$A4)*(Results!$B$2:$B$1001=900)*(Results!$K$2:$K$1001&gt;0),Results!$K$2:$K$1001),2),0))</f>
        <v/>
      </c>
      <c r="M4" s="32">
        <f>IFERROR(IF(OR(L4=0,L4=""),"",RANK(L4,$L$4:$L$70,0)),"")</f>
        <v/>
      </c>
      <c r="N4" s="16">
        <f>IF($A4="","",IFERROR(AVERAGEIF(B4:K4,"&gt;"&amp;0),0))</f>
        <v/>
      </c>
    </row>
    <row r="5" ht="13.5" customHeight="1">
      <c r="A5" s="2">
        <f t="array" ref="A5">IFERROR(INDEX(Results!$C$2:$C$1001,MATCH(0,COUNTIF($A$3:A4,Results!$C$2:$C$1001)+(Results!$C$2:$C$1001=""),0)),"")</f>
        <v/>
      </c>
      <c r="B5" s="33">
        <f t="array" ref="B5">IFERROR(LARGE(IF((Results!$C$2:$C$1001=$A5)*(Results!$B$2:$B$1001=500)*(Results!$K$2:$K$1001&gt;0),Results!$K$2:$K$1001),1),"")</f>
        <v/>
      </c>
      <c r="C5" s="33">
        <f t="array" ref="C5">IFERROR(LARGE(IF((Results!$C$2:$C$1001=$A5)*(Results!$B$2:$B$1001=500)*(Results!$K$2:$K$1001&gt;0),Results!$K$2:$K$1001),2),"")</f>
        <v/>
      </c>
      <c r="D5" s="33">
        <f t="array" ref="D5">IFERROR(LARGE(IF((Results!$C$2:$C$1001=$A5)*(Results!$B$2:$B$1001=600)*(Results!$K$2:$K$1001&gt;0),Results!$K$2:$K$1001),1),"")</f>
        <v/>
      </c>
      <c r="E5" s="33">
        <f t="array" ref="E5">IFERROR(LARGE(IF((Results!$C$2:$C$1001=$A5)*(Results!$B$2:$B$1001=600)*(Results!$K$2:$K$1001&gt;0),Results!$K$2:$K$1001),2),"")</f>
        <v/>
      </c>
      <c r="F5" s="33">
        <f t="array" ref="F5">IFERROR(LARGE(IF((Results!$C$2:$C$1001=$A5)*(Results!$B$2:$B$1001=700)*(Results!$K$2:$K$1001&gt;0),Results!$K$2:$K$1001),1),"")</f>
        <v/>
      </c>
      <c r="G5" s="33">
        <f t="array" ref="G5">IFERROR(LARGE(IF((Results!$C$2:$C$1001=$A5)*(Results!$B$2:$B$1001=700)*(Results!$K$2:$K$1001&gt;0),Results!$K$2:$K$1001),2),"")</f>
        <v/>
      </c>
      <c r="H5" s="33">
        <f t="array" ref="H5">IFERROR(LARGE(IF((Results!$C$2:$C$1001=$A5)*(Results!$B$2:$B$1001=800)*(Results!$K$2:$K$1001&gt;0),Results!$K$2:$K$1001),1),"")</f>
        <v/>
      </c>
      <c r="I5" s="33">
        <f t="array" ref="I5">IFERROR(LARGE(IF((Results!$C$2:$C$1001=$A5)*(Results!$B$2:$B$1001=800)*(Results!$K$2:$K$1001&gt;0),Results!$K$2:$K$1001),2),"")</f>
        <v/>
      </c>
      <c r="J5" s="33">
        <f t="array" ref="J5">IFERROR(LARGE(IF((Results!$C$2:$C$1001=$A5)*(Results!$B$2:$B$1001=900)*(Results!$K$2:$K$1001&gt;0),Results!$K$2:$K$1001),1),"")</f>
        <v/>
      </c>
      <c r="K5" s="33">
        <f t="array" ref="K5">IFERROR(LARGE(IF((Results!$C$2:$C$1001=$A5)*(Results!$B$2:$B$1001=900)*(Results!$K$2:$K$1001&gt;0),Results!$K$2:$K$1001),2),"")</f>
        <v/>
      </c>
      <c r="L5" s="33">
        <f t="array" ref="L5">IF($A5="","",IFERROR(LARGE(IF((Results!$C$2:$C$1001=$A5)*(Results!$B$2:$B$1001=500)*(Results!$K$2:$K$1001&gt;0),Results!$K$2:$K$1001),1),0)+IFERROR(LARGE(IF((Results!$C$2:$C$1001=$A5)*(Results!$B$2:$B$1001=500)*(Results!$K$2:$K$1001&gt;0),Results!$K$2:$K$1001),2),0)+IFERROR(LARGE(IF((Results!$C$2:$C$1001=$A5)*(Results!$B$2:$B$1001=600)*(Results!$K$2:$K$1001&gt;0),Results!$K$2:$K$1001),1),0)+IFERROR(LARGE(IF((Results!$C$2:$C$1001=$A5)*(Results!$B$2:$B$1001=600)*(Results!$K$2:$K$1001&gt;0),Results!$K$2:$K$1001),2),0)+IFERROR(LARGE(IF((Results!$C$2:$C$1001=$A5)*(Results!$B$2:$B$1001=700)*(Results!$K$2:$K$1001&gt;0),Results!$K$2:$K$1001),1),0)+IFERROR(LARGE(IF((Results!$C$2:$C$1001=$A5)*(Results!$B$2:$B$1001=700)*(Results!$K$2:$K$1001&gt;0),Results!$K$2:$K$1001),2),0)+IFERROR(LARGE(IF((Results!$C$2:$C$1001=$A5)*(Results!$B$2:$B$1001=800)*(Results!$K$2:$K$1001&gt;0),Results!$K$2:$K$1001),1),0)+IFERROR(LARGE(IF((Results!$C$2:$C$1001=$A5)*(Results!$B$2:$B$1001=800)*(Results!$K$2:$K$1001&gt;0),Results!$K$2:$K$1001),2),0)+IFERROR(LARGE(IF((Results!$C$2:$C$1001=$A5)*(Results!$B$2:$B$1001=900)*(Results!$K$2:$K$1001&gt;0),Results!$K$2:$K$1001),1),0)+IFERROR(LARGE(IF((Results!$C$2:$C$1001=$A5)*(Results!$B$2:$B$1001=900)*(Results!$K$2:$K$1001&gt;0),Results!$K$2:$K$1001),2),0))</f>
        <v/>
      </c>
      <c r="M5" s="34">
        <f>IFERROR(IF(OR(L5=0,L5=""),"",RANK(L5,$L$4:$L$70,0)),"")</f>
        <v/>
      </c>
      <c r="N5" s="16">
        <f>IF($A5="","",IFERROR(AVERAGEIF(B5:K5,"&gt;"&amp;0),0))</f>
        <v/>
      </c>
    </row>
    <row r="6" ht="13.5" customHeight="1">
      <c r="A6" s="2">
        <f t="array" ref="A6">IFERROR(INDEX(Results!$C$2:$C$1001,MATCH(0,COUNTIF($A$3:A5,Results!$C$2:$C$1001)+(Results!$C$2:$C$1001=""),0)),"")</f>
        <v/>
      </c>
      <c r="B6" s="33">
        <f t="array" ref="B6">IFERROR(LARGE(IF((Results!$C$2:$C$1001=$A6)*(Results!$B$2:$B$1001=500)*(Results!$K$2:$K$1001&gt;0),Results!$K$2:$K$1001),1),"")</f>
        <v/>
      </c>
      <c r="C6" s="33">
        <f t="array" ref="C6">IFERROR(LARGE(IF((Results!$C$2:$C$1001=$A6)*(Results!$B$2:$B$1001=500)*(Results!$K$2:$K$1001&gt;0),Results!$K$2:$K$1001),2),"")</f>
        <v/>
      </c>
      <c r="D6" s="33">
        <f t="array" ref="D6">IFERROR(LARGE(IF((Results!$C$2:$C$1001=$A6)*(Results!$B$2:$B$1001=600)*(Results!$K$2:$K$1001&gt;0),Results!$K$2:$K$1001),1),"")</f>
        <v/>
      </c>
      <c r="E6" s="33">
        <f t="array" ref="E6">IFERROR(LARGE(IF((Results!$C$2:$C$1001=$A6)*(Results!$B$2:$B$1001=600)*(Results!$K$2:$K$1001&gt;0),Results!$K$2:$K$1001),2),"")</f>
        <v/>
      </c>
      <c r="F6" s="33">
        <f t="array" ref="F6">IFERROR(LARGE(IF((Results!$C$2:$C$1001=$A6)*(Results!$B$2:$B$1001=700)*(Results!$K$2:$K$1001&gt;0),Results!$K$2:$K$1001),1),"")</f>
        <v/>
      </c>
      <c r="G6" s="33">
        <f t="array" ref="G6">IFERROR(LARGE(IF((Results!$C$2:$C$1001=$A6)*(Results!$B$2:$B$1001=700)*(Results!$K$2:$K$1001&gt;0),Results!$K$2:$K$1001),2),"")</f>
        <v/>
      </c>
      <c r="H6" s="33">
        <f t="array" ref="H6">IFERROR(LARGE(IF((Results!$C$2:$C$1001=$A6)*(Results!$B$2:$B$1001=800)*(Results!$K$2:$K$1001&gt;0),Results!$K$2:$K$1001),1),"")</f>
        <v/>
      </c>
      <c r="I6" s="33">
        <f t="array" ref="I6">IFERROR(LARGE(IF((Results!$C$2:$C$1001=$A6)*(Results!$B$2:$B$1001=800)*(Results!$K$2:$K$1001&gt;0),Results!$K$2:$K$1001),2),"")</f>
        <v/>
      </c>
      <c r="J6" s="33">
        <f t="array" ref="J6">IFERROR(LARGE(IF((Results!$C$2:$C$1001=$A6)*(Results!$B$2:$B$1001=900)*(Results!$K$2:$K$1001&gt;0),Results!$K$2:$K$1001),1),"")</f>
        <v/>
      </c>
      <c r="K6" s="33">
        <f t="array" ref="K6">IFERROR(LARGE(IF((Results!$C$2:$C$1001=$A6)*(Results!$B$2:$B$1001=900)*(Results!$K$2:$K$1001&gt;0),Results!$K$2:$K$1001),2),"")</f>
        <v/>
      </c>
      <c r="L6" s="33">
        <f t="array" ref="L6">IF($A6="","",IFERROR(LARGE(IF((Results!$C$2:$C$1001=$A6)*(Results!$B$2:$B$1001=500)*(Results!$K$2:$K$1001&gt;0),Results!$K$2:$K$1001),1),0)+IFERROR(LARGE(IF((Results!$C$2:$C$1001=$A6)*(Results!$B$2:$B$1001=500)*(Results!$K$2:$K$1001&gt;0),Results!$K$2:$K$1001),2),0)+IFERROR(LARGE(IF((Results!$C$2:$C$1001=$A6)*(Results!$B$2:$B$1001=600)*(Results!$K$2:$K$1001&gt;0),Results!$K$2:$K$1001),1),0)+IFERROR(LARGE(IF((Results!$C$2:$C$1001=$A6)*(Results!$B$2:$B$1001=600)*(Results!$K$2:$K$1001&gt;0),Results!$K$2:$K$1001),2),0)+IFERROR(LARGE(IF((Results!$C$2:$C$1001=$A6)*(Results!$B$2:$B$1001=700)*(Results!$K$2:$K$1001&gt;0),Results!$K$2:$K$1001),1),0)+IFERROR(LARGE(IF((Results!$C$2:$C$1001=$A6)*(Results!$B$2:$B$1001=700)*(Results!$K$2:$K$1001&gt;0),Results!$K$2:$K$1001),2),0)+IFERROR(LARGE(IF((Results!$C$2:$C$1001=$A6)*(Results!$B$2:$B$1001=800)*(Results!$K$2:$K$1001&gt;0),Results!$K$2:$K$1001),1),0)+IFERROR(LARGE(IF((Results!$C$2:$C$1001=$A6)*(Results!$B$2:$B$1001=800)*(Results!$K$2:$K$1001&gt;0),Results!$K$2:$K$1001),2),0)+IFERROR(LARGE(IF((Results!$C$2:$C$1001=$A6)*(Results!$B$2:$B$1001=900)*(Results!$K$2:$K$1001&gt;0),Results!$K$2:$K$1001),1),0)+IFERROR(LARGE(IF((Results!$C$2:$C$1001=$A6)*(Results!$B$2:$B$1001=900)*(Results!$K$2:$K$1001&gt;0),Results!$K$2:$K$1001),2),0))</f>
        <v/>
      </c>
      <c r="M6" s="34">
        <f>IFERROR(IF(OR(L6=0,L6=""),"",RANK(L6,$L$4:$L$70,0)),"")</f>
        <v/>
      </c>
      <c r="N6" s="16">
        <f>IF($A6="","",IFERROR(AVERAGEIF(B6:K6,"&gt;"&amp;0),0))</f>
        <v/>
      </c>
    </row>
    <row r="7" ht="13.5" customHeight="1">
      <c r="A7" s="2">
        <f t="array" ref="A7">IFERROR(INDEX(Results!$C$2:$C$1001,MATCH(0,COUNTIF($A$3:A6,Results!$C$2:$C$1001)+(Results!$C$2:$C$1001=""),0)),"")</f>
        <v/>
      </c>
      <c r="B7" s="33">
        <f t="array" ref="B7">IFERROR(LARGE(IF((Results!$C$2:$C$1001=$A7)*(Results!$B$2:$B$1001=500)*(Results!$K$2:$K$1001&gt;0),Results!$K$2:$K$1001),1),"")</f>
        <v/>
      </c>
      <c r="C7" s="33">
        <f t="array" ref="C7">IFERROR(LARGE(IF((Results!$C$2:$C$1001=$A7)*(Results!$B$2:$B$1001=500)*(Results!$K$2:$K$1001&gt;0),Results!$K$2:$K$1001),2),"")</f>
        <v/>
      </c>
      <c r="D7" s="33">
        <f t="array" ref="D7">IFERROR(LARGE(IF((Results!$C$2:$C$1001=$A7)*(Results!$B$2:$B$1001=600)*(Results!$K$2:$K$1001&gt;0),Results!$K$2:$K$1001),1),"")</f>
        <v/>
      </c>
      <c r="E7" s="33">
        <f t="array" ref="E7">IFERROR(LARGE(IF((Results!$C$2:$C$1001=$A7)*(Results!$B$2:$B$1001=600)*(Results!$K$2:$K$1001&gt;0),Results!$K$2:$K$1001),2),"")</f>
        <v/>
      </c>
      <c r="F7" s="33">
        <f t="array" ref="F7">IFERROR(LARGE(IF((Results!$C$2:$C$1001=$A7)*(Results!$B$2:$B$1001=700)*(Results!$K$2:$K$1001&gt;0),Results!$K$2:$K$1001),1),"")</f>
        <v/>
      </c>
      <c r="G7" s="33">
        <f t="array" ref="G7">IFERROR(LARGE(IF((Results!$C$2:$C$1001=$A7)*(Results!$B$2:$B$1001=700)*(Results!$K$2:$K$1001&gt;0),Results!$K$2:$K$1001),2),"")</f>
        <v/>
      </c>
      <c r="H7" s="33">
        <f t="array" ref="H7">IFERROR(LARGE(IF((Results!$C$2:$C$1001=$A7)*(Results!$B$2:$B$1001=800)*(Results!$K$2:$K$1001&gt;0),Results!$K$2:$K$1001),1),"")</f>
        <v/>
      </c>
      <c r="I7" s="33">
        <f t="array" ref="I7">IFERROR(LARGE(IF((Results!$C$2:$C$1001=$A7)*(Results!$B$2:$B$1001=800)*(Results!$K$2:$K$1001&gt;0),Results!$K$2:$K$1001),2),"")</f>
        <v/>
      </c>
      <c r="J7" s="33">
        <f t="array" ref="J7">IFERROR(LARGE(IF((Results!$C$2:$C$1001=$A7)*(Results!$B$2:$B$1001=900)*(Results!$K$2:$K$1001&gt;0),Results!$K$2:$K$1001),1),"")</f>
        <v/>
      </c>
      <c r="K7" s="33">
        <f t="array" ref="K7">IFERROR(LARGE(IF((Results!$C$2:$C$1001=$A7)*(Results!$B$2:$B$1001=900)*(Results!$K$2:$K$1001&gt;0),Results!$K$2:$K$1001),2),"")</f>
        <v/>
      </c>
      <c r="L7" s="33">
        <f t="array" ref="L7">IF($A7="","",IFERROR(LARGE(IF((Results!$C$2:$C$1001=$A7)*(Results!$B$2:$B$1001=500)*(Results!$K$2:$K$1001&gt;0),Results!$K$2:$K$1001),1),0)+IFERROR(LARGE(IF((Results!$C$2:$C$1001=$A7)*(Results!$B$2:$B$1001=500)*(Results!$K$2:$K$1001&gt;0),Results!$K$2:$K$1001),2),0)+IFERROR(LARGE(IF((Results!$C$2:$C$1001=$A7)*(Results!$B$2:$B$1001=600)*(Results!$K$2:$K$1001&gt;0),Results!$K$2:$K$1001),1),0)+IFERROR(LARGE(IF((Results!$C$2:$C$1001=$A7)*(Results!$B$2:$B$1001=600)*(Results!$K$2:$K$1001&gt;0),Results!$K$2:$K$1001),2),0)+IFERROR(LARGE(IF((Results!$C$2:$C$1001=$A7)*(Results!$B$2:$B$1001=700)*(Results!$K$2:$K$1001&gt;0),Results!$K$2:$K$1001),1),0)+IFERROR(LARGE(IF((Results!$C$2:$C$1001=$A7)*(Results!$B$2:$B$1001=700)*(Results!$K$2:$K$1001&gt;0),Results!$K$2:$K$1001),2),0)+IFERROR(LARGE(IF((Results!$C$2:$C$1001=$A7)*(Results!$B$2:$B$1001=800)*(Results!$K$2:$K$1001&gt;0),Results!$K$2:$K$1001),1),0)+IFERROR(LARGE(IF((Results!$C$2:$C$1001=$A7)*(Results!$B$2:$B$1001=800)*(Results!$K$2:$K$1001&gt;0),Results!$K$2:$K$1001),2),0)+IFERROR(LARGE(IF((Results!$C$2:$C$1001=$A7)*(Results!$B$2:$B$1001=900)*(Results!$K$2:$K$1001&gt;0),Results!$K$2:$K$1001),1),0)+IFERROR(LARGE(IF((Results!$C$2:$C$1001=$A7)*(Results!$B$2:$B$1001=900)*(Results!$K$2:$K$1001&gt;0),Results!$K$2:$K$1001),2),0))</f>
        <v/>
      </c>
      <c r="M7" s="34">
        <f>IFERROR(IF(OR(L7=0,L7=""),"",RANK(L7,$L$4:$L$70,0)),"")</f>
        <v/>
      </c>
      <c r="N7" s="16">
        <f>IF($A7="","",IFERROR(AVERAGEIF(B7:K7,"&gt;"&amp;0),0))</f>
        <v/>
      </c>
    </row>
    <row r="8" ht="13.5" customHeight="1">
      <c r="A8" s="2">
        <f t="array" ref="A8">IFERROR(INDEX(Results!$C$2:$C$1001,MATCH(0,COUNTIF($A$3:A7,Results!$C$2:$C$1001)+(Results!$C$2:$C$1001=""),0)),"")</f>
        <v/>
      </c>
      <c r="B8" s="33">
        <f t="array" ref="B8">IFERROR(LARGE(IF((Results!$C$2:$C$1001=$A8)*(Results!$B$2:$B$1001=500)*(Results!$K$2:$K$1001&gt;0),Results!$K$2:$K$1001),1),"")</f>
        <v/>
      </c>
      <c r="C8" s="33">
        <f t="array" ref="C8">IFERROR(LARGE(IF((Results!$C$2:$C$1001=$A8)*(Results!$B$2:$B$1001=500)*(Results!$K$2:$K$1001&gt;0),Results!$K$2:$K$1001),2),"")</f>
        <v/>
      </c>
      <c r="D8" s="33">
        <f t="array" ref="D8">IFERROR(LARGE(IF((Results!$C$2:$C$1001=$A8)*(Results!$B$2:$B$1001=600)*(Results!$K$2:$K$1001&gt;0),Results!$K$2:$K$1001),1),"")</f>
        <v/>
      </c>
      <c r="E8" s="33">
        <f t="array" ref="E8">IFERROR(LARGE(IF((Results!$C$2:$C$1001=$A8)*(Results!$B$2:$B$1001=600)*(Results!$K$2:$K$1001&gt;0),Results!$K$2:$K$1001),2),"")</f>
        <v/>
      </c>
      <c r="F8" s="33">
        <f t="array" ref="F8">IFERROR(LARGE(IF((Results!$C$2:$C$1001=$A8)*(Results!$B$2:$B$1001=700)*(Results!$K$2:$K$1001&gt;0),Results!$K$2:$K$1001),1),"")</f>
        <v/>
      </c>
      <c r="G8" s="33">
        <f t="array" ref="G8">IFERROR(LARGE(IF((Results!$C$2:$C$1001=$A8)*(Results!$B$2:$B$1001=700)*(Results!$K$2:$K$1001&gt;0),Results!$K$2:$K$1001),2),"")</f>
        <v/>
      </c>
      <c r="H8" s="33">
        <f t="array" ref="H8">IFERROR(LARGE(IF((Results!$C$2:$C$1001=$A8)*(Results!$B$2:$B$1001=800)*(Results!$K$2:$K$1001&gt;0),Results!$K$2:$K$1001),1),"")</f>
        <v/>
      </c>
      <c r="I8" s="33">
        <f t="array" ref="I8">IFERROR(LARGE(IF((Results!$C$2:$C$1001=$A8)*(Results!$B$2:$B$1001=800)*(Results!$K$2:$K$1001&gt;0),Results!$K$2:$K$1001),2),"")</f>
        <v/>
      </c>
      <c r="J8" s="33">
        <f t="array" ref="J8">IFERROR(LARGE(IF((Results!$C$2:$C$1001=$A8)*(Results!$B$2:$B$1001=900)*(Results!$K$2:$K$1001&gt;0),Results!$K$2:$K$1001),1),"")</f>
        <v/>
      </c>
      <c r="K8" s="33">
        <f t="array" ref="K8">IFERROR(LARGE(IF((Results!$C$2:$C$1001=$A8)*(Results!$B$2:$B$1001=900)*(Results!$K$2:$K$1001&gt;0),Results!$K$2:$K$1001),2),"")</f>
        <v/>
      </c>
      <c r="L8" s="33">
        <f t="array" ref="L8">IF($A8="","",IFERROR(LARGE(IF((Results!$C$2:$C$1001=$A8)*(Results!$B$2:$B$1001=500)*(Results!$K$2:$K$1001&gt;0),Results!$K$2:$K$1001),1),0)+IFERROR(LARGE(IF((Results!$C$2:$C$1001=$A8)*(Results!$B$2:$B$1001=500)*(Results!$K$2:$K$1001&gt;0),Results!$K$2:$K$1001),2),0)+IFERROR(LARGE(IF((Results!$C$2:$C$1001=$A8)*(Results!$B$2:$B$1001=600)*(Results!$K$2:$K$1001&gt;0),Results!$K$2:$K$1001),1),0)+IFERROR(LARGE(IF((Results!$C$2:$C$1001=$A8)*(Results!$B$2:$B$1001=600)*(Results!$K$2:$K$1001&gt;0),Results!$K$2:$K$1001),2),0)+IFERROR(LARGE(IF((Results!$C$2:$C$1001=$A8)*(Results!$B$2:$B$1001=700)*(Results!$K$2:$K$1001&gt;0),Results!$K$2:$K$1001),1),0)+IFERROR(LARGE(IF((Results!$C$2:$C$1001=$A8)*(Results!$B$2:$B$1001=700)*(Results!$K$2:$K$1001&gt;0),Results!$K$2:$K$1001),2),0)+IFERROR(LARGE(IF((Results!$C$2:$C$1001=$A8)*(Results!$B$2:$B$1001=800)*(Results!$K$2:$K$1001&gt;0),Results!$K$2:$K$1001),1),0)+IFERROR(LARGE(IF((Results!$C$2:$C$1001=$A8)*(Results!$B$2:$B$1001=800)*(Results!$K$2:$K$1001&gt;0),Results!$K$2:$K$1001),2),0)+IFERROR(LARGE(IF((Results!$C$2:$C$1001=$A8)*(Results!$B$2:$B$1001=900)*(Results!$K$2:$K$1001&gt;0),Results!$K$2:$K$1001),1),0)+IFERROR(LARGE(IF((Results!$C$2:$C$1001=$A8)*(Results!$B$2:$B$1001=900)*(Results!$K$2:$K$1001&gt;0),Results!$K$2:$K$1001),2),0))</f>
        <v/>
      </c>
      <c r="M8" s="34">
        <f>IFERROR(IF(OR(L8=0,L8=""),"",RANK(L8,$L$4:$L$70,0)),"")</f>
        <v/>
      </c>
      <c r="N8" s="16">
        <f>IF($A8="","",IFERROR(AVERAGEIF(B8:K8,"&gt;"&amp;0),0))</f>
        <v/>
      </c>
    </row>
    <row r="9" ht="13.5" customHeight="1">
      <c r="A9" s="2">
        <f t="array" ref="A9">IFERROR(INDEX(Results!$C$2:$C$1001,MATCH(0,COUNTIF($A$3:A8,Results!$C$2:$C$1001)+(Results!$C$2:$C$1001=""),0)),"")</f>
        <v/>
      </c>
      <c r="B9" s="33">
        <f t="array" ref="B9">IFERROR(LARGE(IF((Results!$C$2:$C$1001=$A9)*(Results!$B$2:$B$1001=500)*(Results!$K$2:$K$1001&gt;0),Results!$K$2:$K$1001),1),"")</f>
        <v/>
      </c>
      <c r="C9" s="33">
        <f t="array" ref="C9">IFERROR(LARGE(IF((Results!$C$2:$C$1001=$A9)*(Results!$B$2:$B$1001=500)*(Results!$K$2:$K$1001&gt;0),Results!$K$2:$K$1001),2),"")</f>
        <v/>
      </c>
      <c r="D9" s="33">
        <f t="array" ref="D9">IFERROR(LARGE(IF((Results!$C$2:$C$1001=$A9)*(Results!$B$2:$B$1001=600)*(Results!$K$2:$K$1001&gt;0),Results!$K$2:$K$1001),1),"")</f>
        <v/>
      </c>
      <c r="E9" s="33">
        <f t="array" ref="E9">IFERROR(LARGE(IF((Results!$C$2:$C$1001=$A9)*(Results!$B$2:$B$1001=600)*(Results!$K$2:$K$1001&gt;0),Results!$K$2:$K$1001),2),"")</f>
        <v/>
      </c>
      <c r="F9" s="33">
        <f t="array" ref="F9">IFERROR(LARGE(IF((Results!$C$2:$C$1001=$A9)*(Results!$B$2:$B$1001=700)*(Results!$K$2:$K$1001&gt;0),Results!$K$2:$K$1001),1),"")</f>
        <v/>
      </c>
      <c r="G9" s="33">
        <f t="array" ref="G9">IFERROR(LARGE(IF((Results!$C$2:$C$1001=$A9)*(Results!$B$2:$B$1001=700)*(Results!$K$2:$K$1001&gt;0),Results!$K$2:$K$1001),2),"")</f>
        <v/>
      </c>
      <c r="H9" s="33">
        <f t="array" ref="H9">IFERROR(LARGE(IF((Results!$C$2:$C$1001=$A9)*(Results!$B$2:$B$1001=800)*(Results!$K$2:$K$1001&gt;0),Results!$K$2:$K$1001),1),"")</f>
        <v/>
      </c>
      <c r="I9" s="33">
        <f t="array" ref="I9">IFERROR(LARGE(IF((Results!$C$2:$C$1001=$A9)*(Results!$B$2:$B$1001=800)*(Results!$K$2:$K$1001&gt;0),Results!$K$2:$K$1001),2),"")</f>
        <v/>
      </c>
      <c r="J9" s="33">
        <f t="array" ref="J9">IFERROR(LARGE(IF((Results!$C$2:$C$1001=$A9)*(Results!$B$2:$B$1001=900)*(Results!$K$2:$K$1001&gt;0),Results!$K$2:$K$1001),1),"")</f>
        <v/>
      </c>
      <c r="K9" s="33">
        <f t="array" ref="K9">IFERROR(LARGE(IF((Results!$C$2:$C$1001=$A9)*(Results!$B$2:$B$1001=900)*(Results!$K$2:$K$1001&gt;0),Results!$K$2:$K$1001),2),"")</f>
        <v/>
      </c>
      <c r="L9" s="33">
        <f t="array" ref="L9">IF($A9="","",IFERROR(LARGE(IF((Results!$C$2:$C$1001=$A9)*(Results!$B$2:$B$1001=500)*(Results!$K$2:$K$1001&gt;0),Results!$K$2:$K$1001),1),0)+IFERROR(LARGE(IF((Results!$C$2:$C$1001=$A9)*(Results!$B$2:$B$1001=500)*(Results!$K$2:$K$1001&gt;0),Results!$K$2:$K$1001),2),0)+IFERROR(LARGE(IF((Results!$C$2:$C$1001=$A9)*(Results!$B$2:$B$1001=600)*(Results!$K$2:$K$1001&gt;0),Results!$K$2:$K$1001),1),0)+IFERROR(LARGE(IF((Results!$C$2:$C$1001=$A9)*(Results!$B$2:$B$1001=600)*(Results!$K$2:$K$1001&gt;0),Results!$K$2:$K$1001),2),0)+IFERROR(LARGE(IF((Results!$C$2:$C$1001=$A9)*(Results!$B$2:$B$1001=700)*(Results!$K$2:$K$1001&gt;0),Results!$K$2:$K$1001),1),0)+IFERROR(LARGE(IF((Results!$C$2:$C$1001=$A9)*(Results!$B$2:$B$1001=700)*(Results!$K$2:$K$1001&gt;0),Results!$K$2:$K$1001),2),0)+IFERROR(LARGE(IF((Results!$C$2:$C$1001=$A9)*(Results!$B$2:$B$1001=800)*(Results!$K$2:$K$1001&gt;0),Results!$K$2:$K$1001),1),0)+IFERROR(LARGE(IF((Results!$C$2:$C$1001=$A9)*(Results!$B$2:$B$1001=800)*(Results!$K$2:$K$1001&gt;0),Results!$K$2:$K$1001),2),0)+IFERROR(LARGE(IF((Results!$C$2:$C$1001=$A9)*(Results!$B$2:$B$1001=900)*(Results!$K$2:$K$1001&gt;0),Results!$K$2:$K$1001),1),0)+IFERROR(LARGE(IF((Results!$C$2:$C$1001=$A9)*(Results!$B$2:$B$1001=900)*(Results!$K$2:$K$1001&gt;0),Results!$K$2:$K$1001),2),0))</f>
        <v/>
      </c>
      <c r="M9" s="34">
        <f>IFERROR(IF(OR(L9=0,L9=""),"",RANK(L9,$L$4:$L$70,0)),"")</f>
        <v/>
      </c>
      <c r="N9" s="16">
        <f>IF($A9="","",IFERROR(AVERAGEIF(B9:K9,"&gt;"&amp;0),0))</f>
        <v/>
      </c>
    </row>
    <row r="10" ht="13.5" customHeight="1">
      <c r="A10" s="2">
        <f t="array" ref="A10">IFERROR(INDEX(Results!$C$2:$C$1001,MATCH(0,COUNTIF($A$3:A9,Results!$C$2:$C$1001)+(Results!$C$2:$C$1001=""),0)),"")</f>
        <v/>
      </c>
      <c r="B10" s="33">
        <f t="array" ref="B10">IFERROR(LARGE(IF((Results!$C$2:$C$1001=$A10)*(Results!$B$2:$B$1001=500)*(Results!$K$2:$K$1001&gt;0),Results!$K$2:$K$1001),1),"")</f>
        <v/>
      </c>
      <c r="C10" s="33">
        <f t="array" ref="C10">IFERROR(LARGE(IF((Results!$C$2:$C$1001=$A10)*(Results!$B$2:$B$1001=500)*(Results!$K$2:$K$1001&gt;0),Results!$K$2:$K$1001),2),"")</f>
        <v/>
      </c>
      <c r="D10" s="33">
        <f t="array" ref="D10">IFERROR(LARGE(IF((Results!$C$2:$C$1001=$A10)*(Results!$B$2:$B$1001=600)*(Results!$K$2:$K$1001&gt;0),Results!$K$2:$K$1001),1),"")</f>
        <v/>
      </c>
      <c r="E10" s="33">
        <f t="array" ref="E10">IFERROR(LARGE(IF((Results!$C$2:$C$1001=$A10)*(Results!$B$2:$B$1001=600)*(Results!$K$2:$K$1001&gt;0),Results!$K$2:$K$1001),2),"")</f>
        <v/>
      </c>
      <c r="F10" s="33">
        <f t="array" ref="F10">IFERROR(LARGE(IF((Results!$C$2:$C$1001=$A10)*(Results!$B$2:$B$1001=700)*(Results!$K$2:$K$1001&gt;0),Results!$K$2:$K$1001),1),"")</f>
        <v/>
      </c>
      <c r="G10" s="33">
        <f t="array" ref="G10">IFERROR(LARGE(IF((Results!$C$2:$C$1001=$A10)*(Results!$B$2:$B$1001=700)*(Results!$K$2:$K$1001&gt;0),Results!$K$2:$K$1001),2),"")</f>
        <v/>
      </c>
      <c r="H10" s="33">
        <f t="array" ref="H10">IFERROR(LARGE(IF((Results!$C$2:$C$1001=$A10)*(Results!$B$2:$B$1001=800)*(Results!$K$2:$K$1001&gt;0),Results!$K$2:$K$1001),1),"")</f>
        <v/>
      </c>
      <c r="I10" s="33">
        <f t="array" ref="I10">IFERROR(LARGE(IF((Results!$C$2:$C$1001=$A10)*(Results!$B$2:$B$1001=800)*(Results!$K$2:$K$1001&gt;0),Results!$K$2:$K$1001),2),"")</f>
        <v/>
      </c>
      <c r="J10" s="33">
        <f t="array" ref="J10">IFERROR(LARGE(IF((Results!$C$2:$C$1001=$A10)*(Results!$B$2:$B$1001=900)*(Results!$K$2:$K$1001&gt;0),Results!$K$2:$K$1001),1),"")</f>
        <v/>
      </c>
      <c r="K10" s="33">
        <f t="array" ref="K10">IFERROR(LARGE(IF((Results!$C$2:$C$1001=$A10)*(Results!$B$2:$B$1001=900)*(Results!$K$2:$K$1001&gt;0),Results!$K$2:$K$1001),2),"")</f>
        <v/>
      </c>
      <c r="L10" s="33">
        <f t="array" ref="L10">IF($A10="","",IFERROR(LARGE(IF((Results!$C$2:$C$1001=$A10)*(Results!$B$2:$B$1001=500)*(Results!$K$2:$K$1001&gt;0),Results!$K$2:$K$1001),1),0)+IFERROR(LARGE(IF((Results!$C$2:$C$1001=$A10)*(Results!$B$2:$B$1001=500)*(Results!$K$2:$K$1001&gt;0),Results!$K$2:$K$1001),2),0)+IFERROR(LARGE(IF((Results!$C$2:$C$1001=$A10)*(Results!$B$2:$B$1001=600)*(Results!$K$2:$K$1001&gt;0),Results!$K$2:$K$1001),1),0)+IFERROR(LARGE(IF((Results!$C$2:$C$1001=$A10)*(Results!$B$2:$B$1001=600)*(Results!$K$2:$K$1001&gt;0),Results!$K$2:$K$1001),2),0)+IFERROR(LARGE(IF((Results!$C$2:$C$1001=$A10)*(Results!$B$2:$B$1001=700)*(Results!$K$2:$K$1001&gt;0),Results!$K$2:$K$1001),1),0)+IFERROR(LARGE(IF((Results!$C$2:$C$1001=$A10)*(Results!$B$2:$B$1001=700)*(Results!$K$2:$K$1001&gt;0),Results!$K$2:$K$1001),2),0)+IFERROR(LARGE(IF((Results!$C$2:$C$1001=$A10)*(Results!$B$2:$B$1001=800)*(Results!$K$2:$K$1001&gt;0),Results!$K$2:$K$1001),1),0)+IFERROR(LARGE(IF((Results!$C$2:$C$1001=$A10)*(Results!$B$2:$B$1001=800)*(Results!$K$2:$K$1001&gt;0),Results!$K$2:$K$1001),2),0)+IFERROR(LARGE(IF((Results!$C$2:$C$1001=$A10)*(Results!$B$2:$B$1001=900)*(Results!$K$2:$K$1001&gt;0),Results!$K$2:$K$1001),1),0)+IFERROR(LARGE(IF((Results!$C$2:$C$1001=$A10)*(Results!$B$2:$B$1001=900)*(Results!$K$2:$K$1001&gt;0),Results!$K$2:$K$1001),2),0))</f>
        <v/>
      </c>
      <c r="M10" s="34">
        <f>IFERROR(IF(OR(L10=0,L10=""),"",RANK(L10,$L$4:$L$70,0)),"")</f>
        <v/>
      </c>
      <c r="N10" s="16">
        <f>IF($A10="","",IFERROR(AVERAGEIF(B10:K10,"&gt;"&amp;0),0))</f>
        <v/>
      </c>
    </row>
    <row r="11" ht="13.5" customHeight="1">
      <c r="A11" s="2">
        <f t="array" ref="A11">IFERROR(INDEX(Results!$C$2:$C$1001,MATCH(0,COUNTIF($A$3:A10,Results!$C$2:$C$1001)+(Results!$C$2:$C$1001=""),0)),"")</f>
        <v/>
      </c>
      <c r="B11" s="33">
        <f t="array" ref="B11">IFERROR(LARGE(IF((Results!$C$2:$C$1001=$A11)*(Results!$B$2:$B$1001=500)*(Results!$K$2:$K$1001&gt;0),Results!$K$2:$K$1001),1),"")</f>
        <v/>
      </c>
      <c r="C11" s="33">
        <f t="array" ref="C11">IFERROR(LARGE(IF((Results!$C$2:$C$1001=$A11)*(Results!$B$2:$B$1001=500)*(Results!$K$2:$K$1001&gt;0),Results!$K$2:$K$1001),2),"")</f>
        <v/>
      </c>
      <c r="D11" s="33">
        <f t="array" ref="D11">IFERROR(LARGE(IF((Results!$C$2:$C$1001=$A11)*(Results!$B$2:$B$1001=600)*(Results!$K$2:$K$1001&gt;0),Results!$K$2:$K$1001),1),"")</f>
        <v/>
      </c>
      <c r="E11" s="33">
        <f t="array" ref="E11">IFERROR(LARGE(IF((Results!$C$2:$C$1001=$A11)*(Results!$B$2:$B$1001=600)*(Results!$K$2:$K$1001&gt;0),Results!$K$2:$K$1001),2),"")</f>
        <v/>
      </c>
      <c r="F11" s="33">
        <f t="array" ref="F11">IFERROR(LARGE(IF((Results!$C$2:$C$1001=$A11)*(Results!$B$2:$B$1001=700)*(Results!$K$2:$K$1001&gt;0),Results!$K$2:$K$1001),1),"")</f>
        <v/>
      </c>
      <c r="G11" s="33">
        <f t="array" ref="G11">IFERROR(LARGE(IF((Results!$C$2:$C$1001=$A11)*(Results!$B$2:$B$1001=700)*(Results!$K$2:$K$1001&gt;0),Results!$K$2:$K$1001),2),"")</f>
        <v/>
      </c>
      <c r="H11" s="33">
        <f t="array" ref="H11">IFERROR(LARGE(IF((Results!$C$2:$C$1001=$A11)*(Results!$B$2:$B$1001=800)*(Results!$K$2:$K$1001&gt;0),Results!$K$2:$K$1001),1),"")</f>
        <v/>
      </c>
      <c r="I11" s="33">
        <f t="array" ref="I11">IFERROR(LARGE(IF((Results!$C$2:$C$1001=$A11)*(Results!$B$2:$B$1001=800)*(Results!$K$2:$K$1001&gt;0),Results!$K$2:$K$1001),2),"")</f>
        <v/>
      </c>
      <c r="J11" s="33">
        <f t="array" ref="J11">IFERROR(LARGE(IF((Results!$C$2:$C$1001=$A11)*(Results!$B$2:$B$1001=900)*(Results!$K$2:$K$1001&gt;0),Results!$K$2:$K$1001),1),"")</f>
        <v/>
      </c>
      <c r="K11" s="33">
        <f t="array" ref="K11">IFERROR(LARGE(IF((Results!$C$2:$C$1001=$A11)*(Results!$B$2:$B$1001=900)*(Results!$K$2:$K$1001&gt;0),Results!$K$2:$K$1001),2),"")</f>
        <v/>
      </c>
      <c r="L11" s="33">
        <f t="array" ref="L11">IF($A11="","",IFERROR(LARGE(IF((Results!$C$2:$C$1001=$A11)*(Results!$B$2:$B$1001=500)*(Results!$K$2:$K$1001&gt;0),Results!$K$2:$K$1001),1),0)+IFERROR(LARGE(IF((Results!$C$2:$C$1001=$A11)*(Results!$B$2:$B$1001=500)*(Results!$K$2:$K$1001&gt;0),Results!$K$2:$K$1001),2),0)+IFERROR(LARGE(IF((Results!$C$2:$C$1001=$A11)*(Results!$B$2:$B$1001=600)*(Results!$K$2:$K$1001&gt;0),Results!$K$2:$K$1001),1),0)+IFERROR(LARGE(IF((Results!$C$2:$C$1001=$A11)*(Results!$B$2:$B$1001=600)*(Results!$K$2:$K$1001&gt;0),Results!$K$2:$K$1001),2),0)+IFERROR(LARGE(IF((Results!$C$2:$C$1001=$A11)*(Results!$B$2:$B$1001=700)*(Results!$K$2:$K$1001&gt;0),Results!$K$2:$K$1001),1),0)+IFERROR(LARGE(IF((Results!$C$2:$C$1001=$A11)*(Results!$B$2:$B$1001=700)*(Results!$K$2:$K$1001&gt;0),Results!$K$2:$K$1001),2),0)+IFERROR(LARGE(IF((Results!$C$2:$C$1001=$A11)*(Results!$B$2:$B$1001=800)*(Results!$K$2:$K$1001&gt;0),Results!$K$2:$K$1001),1),0)+IFERROR(LARGE(IF((Results!$C$2:$C$1001=$A11)*(Results!$B$2:$B$1001=800)*(Results!$K$2:$K$1001&gt;0),Results!$K$2:$K$1001),2),0)+IFERROR(LARGE(IF((Results!$C$2:$C$1001=$A11)*(Results!$B$2:$B$1001=900)*(Results!$K$2:$K$1001&gt;0),Results!$K$2:$K$1001),1),0)+IFERROR(LARGE(IF((Results!$C$2:$C$1001=$A11)*(Results!$B$2:$B$1001=900)*(Results!$K$2:$K$1001&gt;0),Results!$K$2:$K$1001),2),0))</f>
        <v/>
      </c>
      <c r="M11" s="34">
        <f>IFERROR(IF(OR(L11=0,L11=""),"",RANK(L11,$L$4:$L$70,0)),"")</f>
        <v/>
      </c>
      <c r="N11" s="16">
        <f>IF($A11="","",IFERROR(AVERAGEIF(B11:K11,"&gt;"&amp;0),0))</f>
        <v/>
      </c>
    </row>
    <row r="12" ht="13.5" customHeight="1">
      <c r="A12" s="2">
        <f t="array" ref="A12">IFERROR(INDEX(Results!$C$2:$C$1001,MATCH(0,COUNTIF($A$3:A11,Results!$C$2:$C$1001)+(Results!$C$2:$C$1001=""),0)),"")</f>
        <v/>
      </c>
      <c r="B12" s="33">
        <f t="array" ref="B12">IFERROR(LARGE(IF((Results!$C$2:$C$1001=$A12)*(Results!$B$2:$B$1001=500)*(Results!$K$2:$K$1001&gt;0),Results!$K$2:$K$1001),1),"")</f>
        <v/>
      </c>
      <c r="C12" s="33">
        <f t="array" ref="C12">IFERROR(LARGE(IF((Results!$C$2:$C$1001=$A12)*(Results!$B$2:$B$1001=500)*(Results!$K$2:$K$1001&gt;0),Results!$K$2:$K$1001),2),"")</f>
        <v/>
      </c>
      <c r="D12" s="33">
        <f t="array" ref="D12">IFERROR(LARGE(IF((Results!$C$2:$C$1001=$A12)*(Results!$B$2:$B$1001=600)*(Results!$K$2:$K$1001&gt;0),Results!$K$2:$K$1001),1),"")</f>
        <v/>
      </c>
      <c r="E12" s="33">
        <f t="array" ref="E12">IFERROR(LARGE(IF((Results!$C$2:$C$1001=$A12)*(Results!$B$2:$B$1001=600)*(Results!$K$2:$K$1001&gt;0),Results!$K$2:$K$1001),2),"")</f>
        <v/>
      </c>
      <c r="F12" s="33">
        <f t="array" ref="F12">IFERROR(LARGE(IF((Results!$C$2:$C$1001=$A12)*(Results!$B$2:$B$1001=700)*(Results!$K$2:$K$1001&gt;0),Results!$K$2:$K$1001),1),"")</f>
        <v/>
      </c>
      <c r="G12" s="33">
        <f t="array" ref="G12">IFERROR(LARGE(IF((Results!$C$2:$C$1001=$A12)*(Results!$B$2:$B$1001=700)*(Results!$K$2:$K$1001&gt;0),Results!$K$2:$K$1001),2),"")</f>
        <v/>
      </c>
      <c r="H12" s="33">
        <f t="array" ref="H12">IFERROR(LARGE(IF((Results!$C$2:$C$1001=$A12)*(Results!$B$2:$B$1001=800)*(Results!$K$2:$K$1001&gt;0),Results!$K$2:$K$1001),1),"")</f>
        <v/>
      </c>
      <c r="I12" s="33">
        <f t="array" ref="I12">IFERROR(LARGE(IF((Results!$C$2:$C$1001=$A12)*(Results!$B$2:$B$1001=800)*(Results!$K$2:$K$1001&gt;0),Results!$K$2:$K$1001),2),"")</f>
        <v/>
      </c>
      <c r="J12" s="33">
        <f t="array" ref="J12">IFERROR(LARGE(IF((Results!$C$2:$C$1001=$A12)*(Results!$B$2:$B$1001=900)*(Results!$K$2:$K$1001&gt;0),Results!$K$2:$K$1001),1),"")</f>
        <v/>
      </c>
      <c r="K12" s="33">
        <f t="array" ref="K12">IFERROR(LARGE(IF((Results!$C$2:$C$1001=$A12)*(Results!$B$2:$B$1001=900)*(Results!$K$2:$K$1001&gt;0),Results!$K$2:$K$1001),2),"")</f>
        <v/>
      </c>
      <c r="L12" s="33">
        <f t="array" ref="L12">IF($A12="","",IFERROR(LARGE(IF((Results!$C$2:$C$1001=$A12)*(Results!$B$2:$B$1001=500)*(Results!$K$2:$K$1001&gt;0),Results!$K$2:$K$1001),1),0)+IFERROR(LARGE(IF((Results!$C$2:$C$1001=$A12)*(Results!$B$2:$B$1001=500)*(Results!$K$2:$K$1001&gt;0),Results!$K$2:$K$1001),2),0)+IFERROR(LARGE(IF((Results!$C$2:$C$1001=$A12)*(Results!$B$2:$B$1001=600)*(Results!$K$2:$K$1001&gt;0),Results!$K$2:$K$1001),1),0)+IFERROR(LARGE(IF((Results!$C$2:$C$1001=$A12)*(Results!$B$2:$B$1001=600)*(Results!$K$2:$K$1001&gt;0),Results!$K$2:$K$1001),2),0)+IFERROR(LARGE(IF((Results!$C$2:$C$1001=$A12)*(Results!$B$2:$B$1001=700)*(Results!$K$2:$K$1001&gt;0),Results!$K$2:$K$1001),1),0)+IFERROR(LARGE(IF((Results!$C$2:$C$1001=$A12)*(Results!$B$2:$B$1001=700)*(Results!$K$2:$K$1001&gt;0),Results!$K$2:$K$1001),2),0)+IFERROR(LARGE(IF((Results!$C$2:$C$1001=$A12)*(Results!$B$2:$B$1001=800)*(Results!$K$2:$K$1001&gt;0),Results!$K$2:$K$1001),1),0)+IFERROR(LARGE(IF((Results!$C$2:$C$1001=$A12)*(Results!$B$2:$B$1001=800)*(Results!$K$2:$K$1001&gt;0),Results!$K$2:$K$1001),2),0)+IFERROR(LARGE(IF((Results!$C$2:$C$1001=$A12)*(Results!$B$2:$B$1001=900)*(Results!$K$2:$K$1001&gt;0),Results!$K$2:$K$1001),1),0)+IFERROR(LARGE(IF((Results!$C$2:$C$1001=$A12)*(Results!$B$2:$B$1001=900)*(Results!$K$2:$K$1001&gt;0),Results!$K$2:$K$1001),2),0))</f>
        <v/>
      </c>
      <c r="M12" s="34">
        <f>IFERROR(IF(OR(L12=0,L12=""),"",RANK(L12,$L$4:$L$70,0)),"")</f>
        <v/>
      </c>
      <c r="N12" s="16">
        <f>IF($A12="","",IFERROR(AVERAGEIF(B12:K12,"&gt;"&amp;0),0))</f>
        <v/>
      </c>
    </row>
    <row r="13" ht="13.5" customHeight="1">
      <c r="A13" s="2">
        <f t="array" ref="A13">IFERROR(INDEX(Results!$C$2:$C$1001,MATCH(0,COUNTIF($A$3:A12,Results!$C$2:$C$1001)+(Results!$C$2:$C$1001=""),0)),"")</f>
        <v/>
      </c>
      <c r="B13" s="33">
        <f t="array" ref="B13">IFERROR(LARGE(IF((Results!$C$2:$C$1001=$A13)*(Results!$B$2:$B$1001=500)*(Results!$K$2:$K$1001&gt;0),Results!$K$2:$K$1001),1),"")</f>
        <v/>
      </c>
      <c r="C13" s="33">
        <f t="array" ref="C13">IFERROR(LARGE(IF((Results!$C$2:$C$1001=$A13)*(Results!$B$2:$B$1001=500)*(Results!$K$2:$K$1001&gt;0),Results!$K$2:$K$1001),2),"")</f>
        <v/>
      </c>
      <c r="D13" s="33">
        <f t="array" ref="D13">IFERROR(LARGE(IF((Results!$C$2:$C$1001=$A13)*(Results!$B$2:$B$1001=600)*(Results!$K$2:$K$1001&gt;0),Results!$K$2:$K$1001),1),"")</f>
        <v/>
      </c>
      <c r="E13" s="33">
        <f t="array" ref="E13">IFERROR(LARGE(IF((Results!$C$2:$C$1001=$A13)*(Results!$B$2:$B$1001=600)*(Results!$K$2:$K$1001&gt;0),Results!$K$2:$K$1001),2),"")</f>
        <v/>
      </c>
      <c r="F13" s="33">
        <f t="array" ref="F13">IFERROR(LARGE(IF((Results!$C$2:$C$1001=$A13)*(Results!$B$2:$B$1001=700)*(Results!$K$2:$K$1001&gt;0),Results!$K$2:$K$1001),1),"")</f>
        <v/>
      </c>
      <c r="G13" s="33">
        <f t="array" ref="G13">IFERROR(LARGE(IF((Results!$C$2:$C$1001=$A13)*(Results!$B$2:$B$1001=700)*(Results!$K$2:$K$1001&gt;0),Results!$K$2:$K$1001),2),"")</f>
        <v/>
      </c>
      <c r="H13" s="33">
        <f t="array" ref="H13">IFERROR(LARGE(IF((Results!$C$2:$C$1001=$A13)*(Results!$B$2:$B$1001=800)*(Results!$K$2:$K$1001&gt;0),Results!$K$2:$K$1001),1),"")</f>
        <v/>
      </c>
      <c r="I13" s="33">
        <f t="array" ref="I13">IFERROR(LARGE(IF((Results!$C$2:$C$1001=$A13)*(Results!$B$2:$B$1001=800)*(Results!$K$2:$K$1001&gt;0),Results!$K$2:$K$1001),2),"")</f>
        <v/>
      </c>
      <c r="J13" s="33">
        <f t="array" ref="J13">IFERROR(LARGE(IF((Results!$C$2:$C$1001=$A13)*(Results!$B$2:$B$1001=900)*(Results!$K$2:$K$1001&gt;0),Results!$K$2:$K$1001),1),"")</f>
        <v/>
      </c>
      <c r="K13" s="33">
        <f t="array" ref="K13">IFERROR(LARGE(IF((Results!$C$2:$C$1001=$A13)*(Results!$B$2:$B$1001=900)*(Results!$K$2:$K$1001&gt;0),Results!$K$2:$K$1001),2),"")</f>
        <v/>
      </c>
      <c r="L13" s="33">
        <f t="array" ref="L13">IF($A13="","",IFERROR(LARGE(IF((Results!$C$2:$C$1001=$A13)*(Results!$B$2:$B$1001=500)*(Results!$K$2:$K$1001&gt;0),Results!$K$2:$K$1001),1),0)+IFERROR(LARGE(IF((Results!$C$2:$C$1001=$A13)*(Results!$B$2:$B$1001=500)*(Results!$K$2:$K$1001&gt;0),Results!$K$2:$K$1001),2),0)+IFERROR(LARGE(IF((Results!$C$2:$C$1001=$A13)*(Results!$B$2:$B$1001=600)*(Results!$K$2:$K$1001&gt;0),Results!$K$2:$K$1001),1),0)+IFERROR(LARGE(IF((Results!$C$2:$C$1001=$A13)*(Results!$B$2:$B$1001=600)*(Results!$K$2:$K$1001&gt;0),Results!$K$2:$K$1001),2),0)+IFERROR(LARGE(IF((Results!$C$2:$C$1001=$A13)*(Results!$B$2:$B$1001=700)*(Results!$K$2:$K$1001&gt;0),Results!$K$2:$K$1001),1),0)+IFERROR(LARGE(IF((Results!$C$2:$C$1001=$A13)*(Results!$B$2:$B$1001=700)*(Results!$K$2:$K$1001&gt;0),Results!$K$2:$K$1001),2),0)+IFERROR(LARGE(IF((Results!$C$2:$C$1001=$A13)*(Results!$B$2:$B$1001=800)*(Results!$K$2:$K$1001&gt;0),Results!$K$2:$K$1001),1),0)+IFERROR(LARGE(IF((Results!$C$2:$C$1001=$A13)*(Results!$B$2:$B$1001=800)*(Results!$K$2:$K$1001&gt;0),Results!$K$2:$K$1001),2),0)+IFERROR(LARGE(IF((Results!$C$2:$C$1001=$A13)*(Results!$B$2:$B$1001=900)*(Results!$K$2:$K$1001&gt;0),Results!$K$2:$K$1001),1),0)+IFERROR(LARGE(IF((Results!$C$2:$C$1001=$A13)*(Results!$B$2:$B$1001=900)*(Results!$K$2:$K$1001&gt;0),Results!$K$2:$K$1001),2),0))</f>
        <v/>
      </c>
      <c r="M13" s="34">
        <f>IFERROR(IF(OR(L13=0,L13=""),"",RANK(L13,$L$4:$L$70,0)),"")</f>
        <v/>
      </c>
      <c r="N13" s="16">
        <f>IF($A13="","",IFERROR(AVERAGEIF(B13:K13,"&gt;"&amp;0),0))</f>
        <v/>
      </c>
    </row>
    <row r="14" ht="13.5" customHeight="1">
      <c r="A14" s="2">
        <f t="array" ref="A14">IFERROR(INDEX(Results!$C$2:$C$1001,MATCH(0,COUNTIF($A$3:A13,Results!$C$2:$C$1001)+(Results!$C$2:$C$1001=""),0)),"")</f>
        <v/>
      </c>
      <c r="B14" s="33">
        <f t="array" ref="B14">IFERROR(LARGE(IF((Results!$C$2:$C$1001=$A14)*(Results!$B$2:$B$1001=500)*(Results!$K$2:$K$1001&gt;0),Results!$K$2:$K$1001),1),"")</f>
        <v/>
      </c>
      <c r="C14" s="33">
        <f t="array" ref="C14">IFERROR(LARGE(IF((Results!$C$2:$C$1001=$A14)*(Results!$B$2:$B$1001=500)*(Results!$K$2:$K$1001&gt;0),Results!$K$2:$K$1001),2),"")</f>
        <v/>
      </c>
      <c r="D14" s="33">
        <f t="array" ref="D14">IFERROR(LARGE(IF((Results!$C$2:$C$1001=$A14)*(Results!$B$2:$B$1001=600)*(Results!$K$2:$K$1001&gt;0),Results!$K$2:$K$1001),1),"")</f>
        <v/>
      </c>
      <c r="E14" s="33">
        <f t="array" ref="E14">IFERROR(LARGE(IF((Results!$C$2:$C$1001=$A14)*(Results!$B$2:$B$1001=600)*(Results!$K$2:$K$1001&gt;0),Results!$K$2:$K$1001),2),"")</f>
        <v/>
      </c>
      <c r="F14" s="33">
        <f t="array" ref="F14">IFERROR(LARGE(IF((Results!$C$2:$C$1001=$A14)*(Results!$B$2:$B$1001=700)*(Results!$K$2:$K$1001&gt;0),Results!$K$2:$K$1001),1),"")</f>
        <v/>
      </c>
      <c r="G14" s="33">
        <f t="array" ref="G14">IFERROR(LARGE(IF((Results!$C$2:$C$1001=$A14)*(Results!$B$2:$B$1001=700)*(Results!$K$2:$K$1001&gt;0),Results!$K$2:$K$1001),2),"")</f>
        <v/>
      </c>
      <c r="H14" s="33">
        <f t="array" ref="H14">IFERROR(LARGE(IF((Results!$C$2:$C$1001=$A14)*(Results!$B$2:$B$1001=800)*(Results!$K$2:$K$1001&gt;0),Results!$K$2:$K$1001),1),"")</f>
        <v/>
      </c>
      <c r="I14" s="33">
        <f t="array" ref="I14">IFERROR(LARGE(IF((Results!$C$2:$C$1001=$A14)*(Results!$B$2:$B$1001=800)*(Results!$K$2:$K$1001&gt;0),Results!$K$2:$K$1001),2),"")</f>
        <v/>
      </c>
      <c r="J14" s="33">
        <f t="array" ref="J14">IFERROR(LARGE(IF((Results!$C$2:$C$1001=$A14)*(Results!$B$2:$B$1001=900)*(Results!$K$2:$K$1001&gt;0),Results!$K$2:$K$1001),1),"")</f>
        <v/>
      </c>
      <c r="K14" s="33">
        <f t="array" ref="K14">IFERROR(LARGE(IF((Results!$C$2:$C$1001=$A14)*(Results!$B$2:$B$1001=900)*(Results!$K$2:$K$1001&gt;0),Results!$K$2:$K$1001),2),"")</f>
        <v/>
      </c>
      <c r="L14" s="33">
        <f t="array" ref="L14">IF($A14="","",IFERROR(LARGE(IF((Results!$C$2:$C$1001=$A14)*(Results!$B$2:$B$1001=500)*(Results!$K$2:$K$1001&gt;0),Results!$K$2:$K$1001),1),0)+IFERROR(LARGE(IF((Results!$C$2:$C$1001=$A14)*(Results!$B$2:$B$1001=500)*(Results!$K$2:$K$1001&gt;0),Results!$K$2:$K$1001),2),0)+IFERROR(LARGE(IF((Results!$C$2:$C$1001=$A14)*(Results!$B$2:$B$1001=600)*(Results!$K$2:$K$1001&gt;0),Results!$K$2:$K$1001),1),0)+IFERROR(LARGE(IF((Results!$C$2:$C$1001=$A14)*(Results!$B$2:$B$1001=600)*(Results!$K$2:$K$1001&gt;0),Results!$K$2:$K$1001),2),0)+IFERROR(LARGE(IF((Results!$C$2:$C$1001=$A14)*(Results!$B$2:$B$1001=700)*(Results!$K$2:$K$1001&gt;0),Results!$K$2:$K$1001),1),0)+IFERROR(LARGE(IF((Results!$C$2:$C$1001=$A14)*(Results!$B$2:$B$1001=700)*(Results!$K$2:$K$1001&gt;0),Results!$K$2:$K$1001),2),0)+IFERROR(LARGE(IF((Results!$C$2:$C$1001=$A14)*(Results!$B$2:$B$1001=800)*(Results!$K$2:$K$1001&gt;0),Results!$K$2:$K$1001),1),0)+IFERROR(LARGE(IF((Results!$C$2:$C$1001=$A14)*(Results!$B$2:$B$1001=800)*(Results!$K$2:$K$1001&gt;0),Results!$K$2:$K$1001),2),0)+IFERROR(LARGE(IF((Results!$C$2:$C$1001=$A14)*(Results!$B$2:$B$1001=900)*(Results!$K$2:$K$1001&gt;0),Results!$K$2:$K$1001),1),0)+IFERROR(LARGE(IF((Results!$C$2:$C$1001=$A14)*(Results!$B$2:$B$1001=900)*(Results!$K$2:$K$1001&gt;0),Results!$K$2:$K$1001),2),0))</f>
        <v/>
      </c>
      <c r="M14" s="34">
        <f>IFERROR(IF(OR(L14=0,L14=""),"",RANK(L14,$L$4:$L$70,0)),"")</f>
        <v/>
      </c>
      <c r="N14" s="16">
        <f>IF($A14="","",IFERROR(AVERAGEIF(B14:K14,"&gt;"&amp;0),0))</f>
        <v/>
      </c>
    </row>
    <row r="15" ht="13.5" customHeight="1">
      <c r="A15" s="2">
        <f t="array" ref="A15">IFERROR(INDEX(Results!$C$2:$C$1001,MATCH(0,COUNTIF($A$3:A14,Results!$C$2:$C$1001)+(Results!$C$2:$C$1001=""),0)),"")</f>
        <v/>
      </c>
      <c r="B15" s="33">
        <f t="array" ref="B15">IFERROR(LARGE(IF((Results!$C$2:$C$1001=$A15)*(Results!$B$2:$B$1001=500)*(Results!$K$2:$K$1001&gt;0),Results!$K$2:$K$1001),1),"")</f>
        <v/>
      </c>
      <c r="C15" s="33">
        <f t="array" ref="C15">IFERROR(LARGE(IF((Results!$C$2:$C$1001=$A15)*(Results!$B$2:$B$1001=500)*(Results!$K$2:$K$1001&gt;0),Results!$K$2:$K$1001),2),"")</f>
        <v/>
      </c>
      <c r="D15" s="33">
        <f t="array" ref="D15">IFERROR(LARGE(IF((Results!$C$2:$C$1001=$A15)*(Results!$B$2:$B$1001=600)*(Results!$K$2:$K$1001&gt;0),Results!$K$2:$K$1001),1),"")</f>
        <v/>
      </c>
      <c r="E15" s="33">
        <f t="array" ref="E15">IFERROR(LARGE(IF((Results!$C$2:$C$1001=$A15)*(Results!$B$2:$B$1001=600)*(Results!$K$2:$K$1001&gt;0),Results!$K$2:$K$1001),2),"")</f>
        <v/>
      </c>
      <c r="F15" s="33">
        <f t="array" ref="F15">IFERROR(LARGE(IF((Results!$C$2:$C$1001=$A15)*(Results!$B$2:$B$1001=700)*(Results!$K$2:$K$1001&gt;0),Results!$K$2:$K$1001),1),"")</f>
        <v/>
      </c>
      <c r="G15" s="33">
        <f t="array" ref="G15">IFERROR(LARGE(IF((Results!$C$2:$C$1001=$A15)*(Results!$B$2:$B$1001=700)*(Results!$K$2:$K$1001&gt;0),Results!$K$2:$K$1001),2),"")</f>
        <v/>
      </c>
      <c r="H15" s="33">
        <f t="array" ref="H15">IFERROR(LARGE(IF((Results!$C$2:$C$1001=$A15)*(Results!$B$2:$B$1001=800)*(Results!$K$2:$K$1001&gt;0),Results!$K$2:$K$1001),1),"")</f>
        <v/>
      </c>
      <c r="I15" s="33">
        <f t="array" ref="I15">IFERROR(LARGE(IF((Results!$C$2:$C$1001=$A15)*(Results!$B$2:$B$1001=800)*(Results!$K$2:$K$1001&gt;0),Results!$K$2:$K$1001),2),"")</f>
        <v/>
      </c>
      <c r="J15" s="33">
        <f t="array" ref="J15">IFERROR(LARGE(IF((Results!$C$2:$C$1001=$A15)*(Results!$B$2:$B$1001=900)*(Results!$K$2:$K$1001&gt;0),Results!$K$2:$K$1001),1),"")</f>
        <v/>
      </c>
      <c r="K15" s="33">
        <f t="array" ref="K15">IFERROR(LARGE(IF((Results!$C$2:$C$1001=$A15)*(Results!$B$2:$B$1001=900)*(Results!$K$2:$K$1001&gt;0),Results!$K$2:$K$1001),2),"")</f>
        <v/>
      </c>
      <c r="L15" s="33">
        <f t="array" ref="L15">IF($A15="","",IFERROR(LARGE(IF((Results!$C$2:$C$1001=$A15)*(Results!$B$2:$B$1001=500)*(Results!$K$2:$K$1001&gt;0),Results!$K$2:$K$1001),1),0)+IFERROR(LARGE(IF((Results!$C$2:$C$1001=$A15)*(Results!$B$2:$B$1001=500)*(Results!$K$2:$K$1001&gt;0),Results!$K$2:$K$1001),2),0)+IFERROR(LARGE(IF((Results!$C$2:$C$1001=$A15)*(Results!$B$2:$B$1001=600)*(Results!$K$2:$K$1001&gt;0),Results!$K$2:$K$1001),1),0)+IFERROR(LARGE(IF((Results!$C$2:$C$1001=$A15)*(Results!$B$2:$B$1001=600)*(Results!$K$2:$K$1001&gt;0),Results!$K$2:$K$1001),2),0)+IFERROR(LARGE(IF((Results!$C$2:$C$1001=$A15)*(Results!$B$2:$B$1001=700)*(Results!$K$2:$K$1001&gt;0),Results!$K$2:$K$1001),1),0)+IFERROR(LARGE(IF((Results!$C$2:$C$1001=$A15)*(Results!$B$2:$B$1001=700)*(Results!$K$2:$K$1001&gt;0),Results!$K$2:$K$1001),2),0)+IFERROR(LARGE(IF((Results!$C$2:$C$1001=$A15)*(Results!$B$2:$B$1001=800)*(Results!$K$2:$K$1001&gt;0),Results!$K$2:$K$1001),1),0)+IFERROR(LARGE(IF((Results!$C$2:$C$1001=$A15)*(Results!$B$2:$B$1001=800)*(Results!$K$2:$K$1001&gt;0),Results!$K$2:$K$1001),2),0)+IFERROR(LARGE(IF((Results!$C$2:$C$1001=$A15)*(Results!$B$2:$B$1001=900)*(Results!$K$2:$K$1001&gt;0),Results!$K$2:$K$1001),1),0)+IFERROR(LARGE(IF((Results!$C$2:$C$1001=$A15)*(Results!$B$2:$B$1001=900)*(Results!$K$2:$K$1001&gt;0),Results!$K$2:$K$1001),2),0))</f>
        <v/>
      </c>
      <c r="M15" s="34">
        <f>IFERROR(IF(OR(L15=0,L15=""),"",RANK(L15,$L$4:$L$70,0)),"")</f>
        <v/>
      </c>
      <c r="N15" s="16">
        <f>IF($A15="","",IFERROR(AVERAGEIF(B15:K15,"&gt;"&amp;0),0))</f>
        <v/>
      </c>
    </row>
    <row r="16" ht="13.5" customHeight="1">
      <c r="A16" s="2">
        <f t="array" ref="A16">IFERROR(INDEX(Results!$C$2:$C$1001,MATCH(0,COUNTIF($A$3:A15,Results!$C$2:$C$1001)+(Results!$C$2:$C$1001=""),0)),"")</f>
        <v/>
      </c>
      <c r="B16" s="33">
        <f t="array" ref="B16">IFERROR(LARGE(IF((Results!$C$2:$C$1001=$A16)*(Results!$B$2:$B$1001=500)*(Results!$K$2:$K$1001&gt;0),Results!$K$2:$K$1001),1),"")</f>
        <v/>
      </c>
      <c r="C16" s="33">
        <f t="array" ref="C16">IFERROR(LARGE(IF((Results!$C$2:$C$1001=$A16)*(Results!$B$2:$B$1001=500)*(Results!$K$2:$K$1001&gt;0),Results!$K$2:$K$1001),2),"")</f>
        <v/>
      </c>
      <c r="D16" s="33">
        <f t="array" ref="D16">IFERROR(LARGE(IF((Results!$C$2:$C$1001=$A16)*(Results!$B$2:$B$1001=600)*(Results!$K$2:$K$1001&gt;0),Results!$K$2:$K$1001),1),"")</f>
        <v/>
      </c>
      <c r="E16" s="33">
        <f t="array" ref="E16">IFERROR(LARGE(IF((Results!$C$2:$C$1001=$A16)*(Results!$B$2:$B$1001=600)*(Results!$K$2:$K$1001&gt;0),Results!$K$2:$K$1001),2),"")</f>
        <v/>
      </c>
      <c r="F16" s="33">
        <f t="array" ref="F16">IFERROR(LARGE(IF((Results!$C$2:$C$1001=$A16)*(Results!$B$2:$B$1001=700)*(Results!$K$2:$K$1001&gt;0),Results!$K$2:$K$1001),1),"")</f>
        <v/>
      </c>
      <c r="G16" s="33">
        <f t="array" ref="G16">IFERROR(LARGE(IF((Results!$C$2:$C$1001=$A16)*(Results!$B$2:$B$1001=700)*(Results!$K$2:$K$1001&gt;0),Results!$K$2:$K$1001),2),"")</f>
        <v/>
      </c>
      <c r="H16" s="33">
        <f t="array" ref="H16">IFERROR(LARGE(IF((Results!$C$2:$C$1001=$A16)*(Results!$B$2:$B$1001=800)*(Results!$K$2:$K$1001&gt;0),Results!$K$2:$K$1001),1),"")</f>
        <v/>
      </c>
      <c r="I16" s="33">
        <f t="array" ref="I16">IFERROR(LARGE(IF((Results!$C$2:$C$1001=$A16)*(Results!$B$2:$B$1001=800)*(Results!$K$2:$K$1001&gt;0),Results!$K$2:$K$1001),2),"")</f>
        <v/>
      </c>
      <c r="J16" s="33">
        <f t="array" ref="J16">IFERROR(LARGE(IF((Results!$C$2:$C$1001=$A16)*(Results!$B$2:$B$1001=900)*(Results!$K$2:$K$1001&gt;0),Results!$K$2:$K$1001),1),"")</f>
        <v/>
      </c>
      <c r="K16" s="33">
        <f t="array" ref="K16">IFERROR(LARGE(IF((Results!$C$2:$C$1001=$A16)*(Results!$B$2:$B$1001=900)*(Results!$K$2:$K$1001&gt;0),Results!$K$2:$K$1001),2),"")</f>
        <v/>
      </c>
      <c r="L16" s="33">
        <f t="array" ref="L16">IF($A16="","",IFERROR(LARGE(IF((Results!$C$2:$C$1001=$A16)*(Results!$B$2:$B$1001=500)*(Results!$K$2:$K$1001&gt;0),Results!$K$2:$K$1001),1),0)+IFERROR(LARGE(IF((Results!$C$2:$C$1001=$A16)*(Results!$B$2:$B$1001=500)*(Results!$K$2:$K$1001&gt;0),Results!$K$2:$K$1001),2),0)+IFERROR(LARGE(IF((Results!$C$2:$C$1001=$A16)*(Results!$B$2:$B$1001=600)*(Results!$K$2:$K$1001&gt;0),Results!$K$2:$K$1001),1),0)+IFERROR(LARGE(IF((Results!$C$2:$C$1001=$A16)*(Results!$B$2:$B$1001=600)*(Results!$K$2:$K$1001&gt;0),Results!$K$2:$K$1001),2),0)+IFERROR(LARGE(IF((Results!$C$2:$C$1001=$A16)*(Results!$B$2:$B$1001=700)*(Results!$K$2:$K$1001&gt;0),Results!$K$2:$K$1001),1),0)+IFERROR(LARGE(IF((Results!$C$2:$C$1001=$A16)*(Results!$B$2:$B$1001=700)*(Results!$K$2:$K$1001&gt;0),Results!$K$2:$K$1001),2),0)+IFERROR(LARGE(IF((Results!$C$2:$C$1001=$A16)*(Results!$B$2:$B$1001=800)*(Results!$K$2:$K$1001&gt;0),Results!$K$2:$K$1001),1),0)+IFERROR(LARGE(IF((Results!$C$2:$C$1001=$A16)*(Results!$B$2:$B$1001=800)*(Results!$K$2:$K$1001&gt;0),Results!$K$2:$K$1001),2),0)+IFERROR(LARGE(IF((Results!$C$2:$C$1001=$A16)*(Results!$B$2:$B$1001=900)*(Results!$K$2:$K$1001&gt;0),Results!$K$2:$K$1001),1),0)+IFERROR(LARGE(IF((Results!$C$2:$C$1001=$A16)*(Results!$B$2:$B$1001=900)*(Results!$K$2:$K$1001&gt;0),Results!$K$2:$K$1001),2),0))</f>
        <v/>
      </c>
      <c r="M16" s="34">
        <f>IFERROR(IF(OR(L16=0,L16=""),"",RANK(L16,$L$4:$L$70,0)),"")</f>
        <v/>
      </c>
      <c r="N16" s="16">
        <f>IF($A16="","",IFERROR(AVERAGEIF(B16:K16,"&gt;"&amp;0),0))</f>
        <v/>
      </c>
    </row>
    <row r="17" ht="13.5" customHeight="1">
      <c r="A17" s="2">
        <f t="array" ref="A17">IFERROR(INDEX(Results!$C$2:$C$1001,MATCH(0,COUNTIF($A$3:A16,Results!$C$2:$C$1001)+(Results!$C$2:$C$1001=""),0)),"")</f>
        <v/>
      </c>
      <c r="B17" s="33">
        <f t="array" ref="B17">IFERROR(LARGE(IF((Results!$C$2:$C$1001=$A17)*(Results!$B$2:$B$1001=500)*(Results!$K$2:$K$1001&gt;0),Results!$K$2:$K$1001),1),"")</f>
        <v/>
      </c>
      <c r="C17" s="33">
        <f t="array" ref="C17">IFERROR(LARGE(IF((Results!$C$2:$C$1001=$A17)*(Results!$B$2:$B$1001=500)*(Results!$K$2:$K$1001&gt;0),Results!$K$2:$K$1001),2),"")</f>
        <v/>
      </c>
      <c r="D17" s="33">
        <f t="array" ref="D17">IFERROR(LARGE(IF((Results!$C$2:$C$1001=$A17)*(Results!$B$2:$B$1001=600)*(Results!$K$2:$K$1001&gt;0),Results!$K$2:$K$1001),1),"")</f>
        <v/>
      </c>
      <c r="E17" s="33">
        <f t="array" ref="E17">IFERROR(LARGE(IF((Results!$C$2:$C$1001=$A17)*(Results!$B$2:$B$1001=600)*(Results!$K$2:$K$1001&gt;0),Results!$K$2:$K$1001),2),"")</f>
        <v/>
      </c>
      <c r="F17" s="33">
        <f t="array" ref="F17">IFERROR(LARGE(IF((Results!$C$2:$C$1001=$A17)*(Results!$B$2:$B$1001=700)*(Results!$K$2:$K$1001&gt;0),Results!$K$2:$K$1001),1),"")</f>
        <v/>
      </c>
      <c r="G17" s="33">
        <f t="array" ref="G17">IFERROR(LARGE(IF((Results!$C$2:$C$1001=$A17)*(Results!$B$2:$B$1001=700)*(Results!$K$2:$K$1001&gt;0),Results!$K$2:$K$1001),2),"")</f>
        <v/>
      </c>
      <c r="H17" s="33">
        <f t="array" ref="H17">IFERROR(LARGE(IF((Results!$C$2:$C$1001=$A17)*(Results!$B$2:$B$1001=800)*(Results!$K$2:$K$1001&gt;0),Results!$K$2:$K$1001),1),"")</f>
        <v/>
      </c>
      <c r="I17" s="33">
        <f t="array" ref="I17">IFERROR(LARGE(IF((Results!$C$2:$C$1001=$A17)*(Results!$B$2:$B$1001=800)*(Results!$K$2:$K$1001&gt;0),Results!$K$2:$K$1001),2),"")</f>
        <v/>
      </c>
      <c r="J17" s="33">
        <f t="array" ref="J17">IFERROR(LARGE(IF((Results!$C$2:$C$1001=$A17)*(Results!$B$2:$B$1001=900)*(Results!$K$2:$K$1001&gt;0),Results!$K$2:$K$1001),1),"")</f>
        <v/>
      </c>
      <c r="K17" s="33">
        <f t="array" ref="K17">IFERROR(LARGE(IF((Results!$C$2:$C$1001=$A17)*(Results!$B$2:$B$1001=900)*(Results!$K$2:$K$1001&gt;0),Results!$K$2:$K$1001),2),"")</f>
        <v/>
      </c>
      <c r="L17" s="33">
        <f t="array" ref="L17">IF($A17="","",IFERROR(LARGE(IF((Results!$C$2:$C$1001=$A17)*(Results!$B$2:$B$1001=500)*(Results!$K$2:$K$1001&gt;0),Results!$K$2:$K$1001),1),0)+IFERROR(LARGE(IF((Results!$C$2:$C$1001=$A17)*(Results!$B$2:$B$1001=500)*(Results!$K$2:$K$1001&gt;0),Results!$K$2:$K$1001),2),0)+IFERROR(LARGE(IF((Results!$C$2:$C$1001=$A17)*(Results!$B$2:$B$1001=600)*(Results!$K$2:$K$1001&gt;0),Results!$K$2:$K$1001),1),0)+IFERROR(LARGE(IF((Results!$C$2:$C$1001=$A17)*(Results!$B$2:$B$1001=600)*(Results!$K$2:$K$1001&gt;0),Results!$K$2:$K$1001),2),0)+IFERROR(LARGE(IF((Results!$C$2:$C$1001=$A17)*(Results!$B$2:$B$1001=700)*(Results!$K$2:$K$1001&gt;0),Results!$K$2:$K$1001),1),0)+IFERROR(LARGE(IF((Results!$C$2:$C$1001=$A17)*(Results!$B$2:$B$1001=700)*(Results!$K$2:$K$1001&gt;0),Results!$K$2:$K$1001),2),0)+IFERROR(LARGE(IF((Results!$C$2:$C$1001=$A17)*(Results!$B$2:$B$1001=800)*(Results!$K$2:$K$1001&gt;0),Results!$K$2:$K$1001),1),0)+IFERROR(LARGE(IF((Results!$C$2:$C$1001=$A17)*(Results!$B$2:$B$1001=800)*(Results!$K$2:$K$1001&gt;0),Results!$K$2:$K$1001),2),0)+IFERROR(LARGE(IF((Results!$C$2:$C$1001=$A17)*(Results!$B$2:$B$1001=900)*(Results!$K$2:$K$1001&gt;0),Results!$K$2:$K$1001),1),0)+IFERROR(LARGE(IF((Results!$C$2:$C$1001=$A17)*(Results!$B$2:$B$1001=900)*(Results!$K$2:$K$1001&gt;0),Results!$K$2:$K$1001),2),0))</f>
        <v/>
      </c>
      <c r="M17" s="34">
        <f>IFERROR(IF(OR(L17=0,L17=""),"",RANK(L17,$L$4:$L$70,0)),"")</f>
        <v/>
      </c>
      <c r="N17" s="16">
        <f>IF($A17="","",IFERROR(AVERAGEIF(B17:K17,"&gt;"&amp;0),0))</f>
        <v/>
      </c>
    </row>
    <row r="18" ht="13.5" customHeight="1">
      <c r="A18" s="2">
        <f t="array" ref="A18">IFERROR(INDEX(Results!$C$2:$C$1001,MATCH(0,COUNTIF($A$3:A17,Results!$C$2:$C$1001)+(Results!$C$2:$C$1001=""),0)),"")</f>
        <v/>
      </c>
      <c r="B18" s="33">
        <f t="array" ref="B18">IFERROR(LARGE(IF((Results!$C$2:$C$1001=$A18)*(Results!$B$2:$B$1001=500)*(Results!$K$2:$K$1001&gt;0),Results!$K$2:$K$1001),1),"")</f>
        <v/>
      </c>
      <c r="C18" s="33">
        <f t="array" ref="C18">IFERROR(LARGE(IF((Results!$C$2:$C$1001=$A18)*(Results!$B$2:$B$1001=500)*(Results!$K$2:$K$1001&gt;0),Results!$K$2:$K$1001),2),"")</f>
        <v/>
      </c>
      <c r="D18" s="33">
        <f t="array" ref="D18">IFERROR(LARGE(IF((Results!$C$2:$C$1001=$A18)*(Results!$B$2:$B$1001=600)*(Results!$K$2:$K$1001&gt;0),Results!$K$2:$K$1001),1),"")</f>
        <v/>
      </c>
      <c r="E18" s="33">
        <f t="array" ref="E18">IFERROR(LARGE(IF((Results!$C$2:$C$1001=$A18)*(Results!$B$2:$B$1001=600)*(Results!$K$2:$K$1001&gt;0),Results!$K$2:$K$1001),2),"")</f>
        <v/>
      </c>
      <c r="F18" s="33">
        <f t="array" ref="F18">IFERROR(LARGE(IF((Results!$C$2:$C$1001=$A18)*(Results!$B$2:$B$1001=700)*(Results!$K$2:$K$1001&gt;0),Results!$K$2:$K$1001),1),"")</f>
        <v/>
      </c>
      <c r="G18" s="33">
        <f t="array" ref="G18">IFERROR(LARGE(IF((Results!$C$2:$C$1001=$A18)*(Results!$B$2:$B$1001=700)*(Results!$K$2:$K$1001&gt;0),Results!$K$2:$K$1001),2),"")</f>
        <v/>
      </c>
      <c r="H18" s="33">
        <f t="array" ref="H18">IFERROR(LARGE(IF((Results!$C$2:$C$1001=$A18)*(Results!$B$2:$B$1001=800)*(Results!$K$2:$K$1001&gt;0),Results!$K$2:$K$1001),1),"")</f>
        <v/>
      </c>
      <c r="I18" s="33">
        <f t="array" ref="I18">IFERROR(LARGE(IF((Results!$C$2:$C$1001=$A18)*(Results!$B$2:$B$1001=800)*(Results!$K$2:$K$1001&gt;0),Results!$K$2:$K$1001),2),"")</f>
        <v/>
      </c>
      <c r="J18" s="33">
        <f t="array" ref="J18">IFERROR(LARGE(IF((Results!$C$2:$C$1001=$A18)*(Results!$B$2:$B$1001=900)*(Results!$K$2:$K$1001&gt;0),Results!$K$2:$K$1001),1),"")</f>
        <v/>
      </c>
      <c r="K18" s="33">
        <f t="array" ref="K18">IFERROR(LARGE(IF((Results!$C$2:$C$1001=$A18)*(Results!$B$2:$B$1001=900)*(Results!$K$2:$K$1001&gt;0),Results!$K$2:$K$1001),2),"")</f>
        <v/>
      </c>
      <c r="L18" s="33">
        <f t="array" ref="L18">IF($A18="","",IFERROR(LARGE(IF((Results!$C$2:$C$1001=$A18)*(Results!$B$2:$B$1001=500)*(Results!$K$2:$K$1001&gt;0),Results!$K$2:$K$1001),1),0)+IFERROR(LARGE(IF((Results!$C$2:$C$1001=$A18)*(Results!$B$2:$B$1001=500)*(Results!$K$2:$K$1001&gt;0),Results!$K$2:$K$1001),2),0)+IFERROR(LARGE(IF((Results!$C$2:$C$1001=$A18)*(Results!$B$2:$B$1001=600)*(Results!$K$2:$K$1001&gt;0),Results!$K$2:$K$1001),1),0)+IFERROR(LARGE(IF((Results!$C$2:$C$1001=$A18)*(Results!$B$2:$B$1001=600)*(Results!$K$2:$K$1001&gt;0),Results!$K$2:$K$1001),2),0)+IFERROR(LARGE(IF((Results!$C$2:$C$1001=$A18)*(Results!$B$2:$B$1001=700)*(Results!$K$2:$K$1001&gt;0),Results!$K$2:$K$1001),1),0)+IFERROR(LARGE(IF((Results!$C$2:$C$1001=$A18)*(Results!$B$2:$B$1001=700)*(Results!$K$2:$K$1001&gt;0),Results!$K$2:$K$1001),2),0)+IFERROR(LARGE(IF((Results!$C$2:$C$1001=$A18)*(Results!$B$2:$B$1001=800)*(Results!$K$2:$K$1001&gt;0),Results!$K$2:$K$1001),1),0)+IFERROR(LARGE(IF((Results!$C$2:$C$1001=$A18)*(Results!$B$2:$B$1001=800)*(Results!$K$2:$K$1001&gt;0),Results!$K$2:$K$1001),2),0)+IFERROR(LARGE(IF((Results!$C$2:$C$1001=$A18)*(Results!$B$2:$B$1001=900)*(Results!$K$2:$K$1001&gt;0),Results!$K$2:$K$1001),1),0)+IFERROR(LARGE(IF((Results!$C$2:$C$1001=$A18)*(Results!$B$2:$B$1001=900)*(Results!$K$2:$K$1001&gt;0),Results!$K$2:$K$1001),2),0))</f>
        <v/>
      </c>
      <c r="M18" s="34">
        <f>IFERROR(IF(OR(L18=0,L18=""),"",RANK(L18,$L$4:$L$70,0)),"")</f>
        <v/>
      </c>
      <c r="N18" s="16">
        <f>IF($A18="","",IFERROR(AVERAGEIF(B18:K18,"&gt;"&amp;0),0))</f>
        <v/>
      </c>
    </row>
    <row r="19" ht="13.5" customHeight="1">
      <c r="A19" s="2">
        <f t="array" ref="A19">IFERROR(INDEX(Results!$C$2:$C$1001,MATCH(0,COUNTIF($A$3:A18,Results!$C$2:$C$1001)+(Results!$C$2:$C$1001=""),0)),"")</f>
        <v/>
      </c>
      <c r="B19" s="33">
        <f t="array" ref="B19">IFERROR(LARGE(IF((Results!$C$2:$C$1001=$A19)*(Results!$B$2:$B$1001=500)*(Results!$K$2:$K$1001&gt;0),Results!$K$2:$K$1001),1),"")</f>
        <v/>
      </c>
      <c r="C19" s="33">
        <f t="array" ref="C19">IFERROR(LARGE(IF((Results!$C$2:$C$1001=$A19)*(Results!$B$2:$B$1001=500)*(Results!$K$2:$K$1001&gt;0),Results!$K$2:$K$1001),2),"")</f>
        <v/>
      </c>
      <c r="D19" s="33">
        <f t="array" ref="D19">IFERROR(LARGE(IF((Results!$C$2:$C$1001=$A19)*(Results!$B$2:$B$1001=600)*(Results!$K$2:$K$1001&gt;0),Results!$K$2:$K$1001),1),"")</f>
        <v/>
      </c>
      <c r="E19" s="33">
        <f t="array" ref="E19">IFERROR(LARGE(IF((Results!$C$2:$C$1001=$A19)*(Results!$B$2:$B$1001=600)*(Results!$K$2:$K$1001&gt;0),Results!$K$2:$K$1001),2),"")</f>
        <v/>
      </c>
      <c r="F19" s="33">
        <f t="array" ref="F19">IFERROR(LARGE(IF((Results!$C$2:$C$1001=$A19)*(Results!$B$2:$B$1001=700)*(Results!$K$2:$K$1001&gt;0),Results!$K$2:$K$1001),1),"")</f>
        <v/>
      </c>
      <c r="G19" s="33">
        <f t="array" ref="G19">IFERROR(LARGE(IF((Results!$C$2:$C$1001=$A19)*(Results!$B$2:$B$1001=700)*(Results!$K$2:$K$1001&gt;0),Results!$K$2:$K$1001),2),"")</f>
        <v/>
      </c>
      <c r="H19" s="33">
        <f t="array" ref="H19">IFERROR(LARGE(IF((Results!$C$2:$C$1001=$A19)*(Results!$B$2:$B$1001=800)*(Results!$K$2:$K$1001&gt;0),Results!$K$2:$K$1001),1),"")</f>
        <v/>
      </c>
      <c r="I19" s="33">
        <f t="array" ref="I19">IFERROR(LARGE(IF((Results!$C$2:$C$1001=$A19)*(Results!$B$2:$B$1001=800)*(Results!$K$2:$K$1001&gt;0),Results!$K$2:$K$1001),2),"")</f>
        <v/>
      </c>
      <c r="J19" s="33">
        <f t="array" ref="J19">IFERROR(LARGE(IF((Results!$C$2:$C$1001=$A19)*(Results!$B$2:$B$1001=900)*(Results!$K$2:$K$1001&gt;0),Results!$K$2:$K$1001),1),"")</f>
        <v/>
      </c>
      <c r="K19" s="33">
        <f t="array" ref="K19">IFERROR(LARGE(IF((Results!$C$2:$C$1001=$A19)*(Results!$B$2:$B$1001=900)*(Results!$K$2:$K$1001&gt;0),Results!$K$2:$K$1001),2),"")</f>
        <v/>
      </c>
      <c r="L19" s="33">
        <f t="array" ref="L19">IF($A19="","",IFERROR(LARGE(IF((Results!$C$2:$C$1001=$A19)*(Results!$B$2:$B$1001=500)*(Results!$K$2:$K$1001&gt;0),Results!$K$2:$K$1001),1),0)+IFERROR(LARGE(IF((Results!$C$2:$C$1001=$A19)*(Results!$B$2:$B$1001=500)*(Results!$K$2:$K$1001&gt;0),Results!$K$2:$K$1001),2),0)+IFERROR(LARGE(IF((Results!$C$2:$C$1001=$A19)*(Results!$B$2:$B$1001=600)*(Results!$K$2:$K$1001&gt;0),Results!$K$2:$K$1001),1),0)+IFERROR(LARGE(IF((Results!$C$2:$C$1001=$A19)*(Results!$B$2:$B$1001=600)*(Results!$K$2:$K$1001&gt;0),Results!$K$2:$K$1001),2),0)+IFERROR(LARGE(IF((Results!$C$2:$C$1001=$A19)*(Results!$B$2:$B$1001=700)*(Results!$K$2:$K$1001&gt;0),Results!$K$2:$K$1001),1),0)+IFERROR(LARGE(IF((Results!$C$2:$C$1001=$A19)*(Results!$B$2:$B$1001=700)*(Results!$K$2:$K$1001&gt;0),Results!$K$2:$K$1001),2),0)+IFERROR(LARGE(IF((Results!$C$2:$C$1001=$A19)*(Results!$B$2:$B$1001=800)*(Results!$K$2:$K$1001&gt;0),Results!$K$2:$K$1001),1),0)+IFERROR(LARGE(IF((Results!$C$2:$C$1001=$A19)*(Results!$B$2:$B$1001=800)*(Results!$K$2:$K$1001&gt;0),Results!$K$2:$K$1001),2),0)+IFERROR(LARGE(IF((Results!$C$2:$C$1001=$A19)*(Results!$B$2:$B$1001=900)*(Results!$K$2:$K$1001&gt;0),Results!$K$2:$K$1001),1),0)+IFERROR(LARGE(IF((Results!$C$2:$C$1001=$A19)*(Results!$B$2:$B$1001=900)*(Results!$K$2:$K$1001&gt;0),Results!$K$2:$K$1001),2),0))</f>
        <v/>
      </c>
      <c r="M19" s="34">
        <f>IFERROR(IF(OR(L19=0,L19=""),"",RANK(L19,$L$4:$L$70,0)),"")</f>
        <v/>
      </c>
      <c r="N19" s="16">
        <f>IF($A19="","",IFERROR(AVERAGEIF(B19:K19,"&gt;"&amp;0),0))</f>
        <v/>
      </c>
    </row>
    <row r="20" ht="13.5" customHeight="1">
      <c r="A20" s="2">
        <f t="array" ref="A20">IFERROR(INDEX(Results!$C$2:$C$1001,MATCH(0,COUNTIF($A$3:A19,Results!$C$2:$C$1001)+(Results!$C$2:$C$1001=""),0)),"")</f>
        <v/>
      </c>
      <c r="B20" s="33">
        <f t="array" ref="B20">IFERROR(LARGE(IF((Results!$C$2:$C$1001=$A20)*(Results!$B$2:$B$1001=500)*(Results!$K$2:$K$1001&gt;0),Results!$K$2:$K$1001),1),"")</f>
        <v/>
      </c>
      <c r="C20" s="33">
        <f t="array" ref="C20">IFERROR(LARGE(IF((Results!$C$2:$C$1001=$A20)*(Results!$B$2:$B$1001=500)*(Results!$K$2:$K$1001&gt;0),Results!$K$2:$K$1001),2),"")</f>
        <v/>
      </c>
      <c r="D20" s="33">
        <f t="array" ref="D20">IFERROR(LARGE(IF((Results!$C$2:$C$1001=$A20)*(Results!$B$2:$B$1001=600)*(Results!$K$2:$K$1001&gt;0),Results!$K$2:$K$1001),1),"")</f>
        <v/>
      </c>
      <c r="E20" s="33">
        <f t="array" ref="E20">IFERROR(LARGE(IF((Results!$C$2:$C$1001=$A20)*(Results!$B$2:$B$1001=600)*(Results!$K$2:$K$1001&gt;0),Results!$K$2:$K$1001),2),"")</f>
        <v/>
      </c>
      <c r="F20" s="33">
        <f t="array" ref="F20">IFERROR(LARGE(IF((Results!$C$2:$C$1001=$A20)*(Results!$B$2:$B$1001=700)*(Results!$K$2:$K$1001&gt;0),Results!$K$2:$K$1001),1),"")</f>
        <v/>
      </c>
      <c r="G20" s="33">
        <f t="array" ref="G20">IFERROR(LARGE(IF((Results!$C$2:$C$1001=$A20)*(Results!$B$2:$B$1001=700)*(Results!$K$2:$K$1001&gt;0),Results!$K$2:$K$1001),2),"")</f>
        <v/>
      </c>
      <c r="H20" s="33">
        <f t="array" ref="H20">IFERROR(LARGE(IF((Results!$C$2:$C$1001=$A20)*(Results!$B$2:$B$1001=800)*(Results!$K$2:$K$1001&gt;0),Results!$K$2:$K$1001),1),"")</f>
        <v/>
      </c>
      <c r="I20" s="33">
        <f t="array" ref="I20">IFERROR(LARGE(IF((Results!$C$2:$C$1001=$A20)*(Results!$B$2:$B$1001=800)*(Results!$K$2:$K$1001&gt;0),Results!$K$2:$K$1001),2),"")</f>
        <v/>
      </c>
      <c r="J20" s="33">
        <f t="array" ref="J20">IFERROR(LARGE(IF((Results!$C$2:$C$1001=$A20)*(Results!$B$2:$B$1001=900)*(Results!$K$2:$K$1001&gt;0),Results!$K$2:$K$1001),1),"")</f>
        <v/>
      </c>
      <c r="K20" s="33">
        <f t="array" ref="K20">IFERROR(LARGE(IF((Results!$C$2:$C$1001=$A20)*(Results!$B$2:$B$1001=900)*(Results!$K$2:$K$1001&gt;0),Results!$K$2:$K$1001),2),"")</f>
        <v/>
      </c>
      <c r="L20" s="33">
        <f t="array" ref="L20">IF($A20="","",IFERROR(LARGE(IF((Results!$C$2:$C$1001=$A20)*(Results!$B$2:$B$1001=500)*(Results!$K$2:$K$1001&gt;0),Results!$K$2:$K$1001),1),0)+IFERROR(LARGE(IF((Results!$C$2:$C$1001=$A20)*(Results!$B$2:$B$1001=500)*(Results!$K$2:$K$1001&gt;0),Results!$K$2:$K$1001),2),0)+IFERROR(LARGE(IF((Results!$C$2:$C$1001=$A20)*(Results!$B$2:$B$1001=600)*(Results!$K$2:$K$1001&gt;0),Results!$K$2:$K$1001),1),0)+IFERROR(LARGE(IF((Results!$C$2:$C$1001=$A20)*(Results!$B$2:$B$1001=600)*(Results!$K$2:$K$1001&gt;0),Results!$K$2:$K$1001),2),0)+IFERROR(LARGE(IF((Results!$C$2:$C$1001=$A20)*(Results!$B$2:$B$1001=700)*(Results!$K$2:$K$1001&gt;0),Results!$K$2:$K$1001),1),0)+IFERROR(LARGE(IF((Results!$C$2:$C$1001=$A20)*(Results!$B$2:$B$1001=700)*(Results!$K$2:$K$1001&gt;0),Results!$K$2:$K$1001),2),0)+IFERROR(LARGE(IF((Results!$C$2:$C$1001=$A20)*(Results!$B$2:$B$1001=800)*(Results!$K$2:$K$1001&gt;0),Results!$K$2:$K$1001),1),0)+IFERROR(LARGE(IF((Results!$C$2:$C$1001=$A20)*(Results!$B$2:$B$1001=800)*(Results!$K$2:$K$1001&gt;0),Results!$K$2:$K$1001),2),0)+IFERROR(LARGE(IF((Results!$C$2:$C$1001=$A20)*(Results!$B$2:$B$1001=900)*(Results!$K$2:$K$1001&gt;0),Results!$K$2:$K$1001),1),0)+IFERROR(LARGE(IF((Results!$C$2:$C$1001=$A20)*(Results!$B$2:$B$1001=900)*(Results!$K$2:$K$1001&gt;0),Results!$K$2:$K$1001),2),0))</f>
        <v/>
      </c>
      <c r="M20" s="34">
        <f>IFERROR(IF(OR(L20=0,L20=""),"",RANK(L20,$L$4:$L$70,0)),"")</f>
        <v/>
      </c>
      <c r="N20" s="16">
        <f>IF($A20="","",IFERROR(AVERAGEIF(B20:K20,"&gt;"&amp;0),0))</f>
        <v/>
      </c>
    </row>
    <row r="21" ht="13.5" customHeight="1">
      <c r="A21" s="2">
        <f t="array" ref="A21">IFERROR(INDEX(Results!$C$2:$C$1001,MATCH(0,COUNTIF($A$3:A20,Results!$C$2:$C$1001)+(Results!$C$2:$C$1001=""),0)),"")</f>
        <v/>
      </c>
      <c r="B21" s="33">
        <f t="array" ref="B21">IFERROR(LARGE(IF((Results!$C$2:$C$1001=$A21)*(Results!$B$2:$B$1001=500)*(Results!$K$2:$K$1001&gt;0),Results!$K$2:$K$1001),1),"")</f>
        <v/>
      </c>
      <c r="C21" s="33">
        <f t="array" ref="C21">IFERROR(LARGE(IF((Results!$C$2:$C$1001=$A21)*(Results!$B$2:$B$1001=500)*(Results!$K$2:$K$1001&gt;0),Results!$K$2:$K$1001),2),"")</f>
        <v/>
      </c>
      <c r="D21" s="33">
        <f t="array" ref="D21">IFERROR(LARGE(IF((Results!$C$2:$C$1001=$A21)*(Results!$B$2:$B$1001=600)*(Results!$K$2:$K$1001&gt;0),Results!$K$2:$K$1001),1),"")</f>
        <v/>
      </c>
      <c r="E21" s="33">
        <f t="array" ref="E21">IFERROR(LARGE(IF((Results!$C$2:$C$1001=$A21)*(Results!$B$2:$B$1001=600)*(Results!$K$2:$K$1001&gt;0),Results!$K$2:$K$1001),2),"")</f>
        <v/>
      </c>
      <c r="F21" s="33">
        <f t="array" ref="F21">IFERROR(LARGE(IF((Results!$C$2:$C$1001=$A21)*(Results!$B$2:$B$1001=700)*(Results!$K$2:$K$1001&gt;0),Results!$K$2:$K$1001),1),"")</f>
        <v/>
      </c>
      <c r="G21" s="33">
        <f t="array" ref="G21">IFERROR(LARGE(IF((Results!$C$2:$C$1001=$A21)*(Results!$B$2:$B$1001=700)*(Results!$K$2:$K$1001&gt;0),Results!$K$2:$K$1001),2),"")</f>
        <v/>
      </c>
      <c r="H21" s="33">
        <f t="array" ref="H21">IFERROR(LARGE(IF((Results!$C$2:$C$1001=$A21)*(Results!$B$2:$B$1001=800)*(Results!$K$2:$K$1001&gt;0),Results!$K$2:$K$1001),1),"")</f>
        <v/>
      </c>
      <c r="I21" s="33">
        <f t="array" ref="I21">IFERROR(LARGE(IF((Results!$C$2:$C$1001=$A21)*(Results!$B$2:$B$1001=800)*(Results!$K$2:$K$1001&gt;0),Results!$K$2:$K$1001),2),"")</f>
        <v/>
      </c>
      <c r="J21" s="33">
        <f t="array" ref="J21">IFERROR(LARGE(IF((Results!$C$2:$C$1001=$A21)*(Results!$B$2:$B$1001=900)*(Results!$K$2:$K$1001&gt;0),Results!$K$2:$K$1001),1),"")</f>
        <v/>
      </c>
      <c r="K21" s="33">
        <f t="array" ref="K21">IFERROR(LARGE(IF((Results!$C$2:$C$1001=$A21)*(Results!$B$2:$B$1001=900)*(Results!$K$2:$K$1001&gt;0),Results!$K$2:$K$1001),2),"")</f>
        <v/>
      </c>
      <c r="L21" s="33">
        <f t="array" ref="L21">IF($A21="","",IFERROR(LARGE(IF((Results!$C$2:$C$1001=$A21)*(Results!$B$2:$B$1001=500)*(Results!$K$2:$K$1001&gt;0),Results!$K$2:$K$1001),1),0)+IFERROR(LARGE(IF((Results!$C$2:$C$1001=$A21)*(Results!$B$2:$B$1001=500)*(Results!$K$2:$K$1001&gt;0),Results!$K$2:$K$1001),2),0)+IFERROR(LARGE(IF((Results!$C$2:$C$1001=$A21)*(Results!$B$2:$B$1001=600)*(Results!$K$2:$K$1001&gt;0),Results!$K$2:$K$1001),1),0)+IFERROR(LARGE(IF((Results!$C$2:$C$1001=$A21)*(Results!$B$2:$B$1001=600)*(Results!$K$2:$K$1001&gt;0),Results!$K$2:$K$1001),2),0)+IFERROR(LARGE(IF((Results!$C$2:$C$1001=$A21)*(Results!$B$2:$B$1001=700)*(Results!$K$2:$K$1001&gt;0),Results!$K$2:$K$1001),1),0)+IFERROR(LARGE(IF((Results!$C$2:$C$1001=$A21)*(Results!$B$2:$B$1001=700)*(Results!$K$2:$K$1001&gt;0),Results!$K$2:$K$1001),2),0)+IFERROR(LARGE(IF((Results!$C$2:$C$1001=$A21)*(Results!$B$2:$B$1001=800)*(Results!$K$2:$K$1001&gt;0),Results!$K$2:$K$1001),1),0)+IFERROR(LARGE(IF((Results!$C$2:$C$1001=$A21)*(Results!$B$2:$B$1001=800)*(Results!$K$2:$K$1001&gt;0),Results!$K$2:$K$1001),2),0)+IFERROR(LARGE(IF((Results!$C$2:$C$1001=$A21)*(Results!$B$2:$B$1001=900)*(Results!$K$2:$K$1001&gt;0),Results!$K$2:$K$1001),1),0)+IFERROR(LARGE(IF((Results!$C$2:$C$1001=$A21)*(Results!$B$2:$B$1001=900)*(Results!$K$2:$K$1001&gt;0),Results!$K$2:$K$1001),2),0))</f>
        <v/>
      </c>
      <c r="M21" s="34">
        <f>IFERROR(IF(OR(L21=0,L21=""),"",RANK(L21,$L$4:$L$70,0)),"")</f>
        <v/>
      </c>
      <c r="N21" s="16">
        <f>IF($A21="","",IFERROR(AVERAGEIF(B21:K21,"&gt;"&amp;0),0))</f>
        <v/>
      </c>
    </row>
    <row r="22" ht="13.5" customHeight="1">
      <c r="A22" s="2">
        <f t="array" ref="A22">IFERROR(INDEX(Results!$C$2:$C$1001,MATCH(0,COUNTIF($A$3:A21,Results!$C$2:$C$1001)+(Results!$C$2:$C$1001=""),0)),"")</f>
        <v/>
      </c>
      <c r="B22" s="33">
        <f t="array" ref="B22">IFERROR(LARGE(IF((Results!$C$2:$C$1001=$A22)*(Results!$B$2:$B$1001=500)*(Results!$K$2:$K$1001&gt;0),Results!$K$2:$K$1001),1),"")</f>
        <v/>
      </c>
      <c r="C22" s="33">
        <f t="array" ref="C22">IFERROR(LARGE(IF((Results!$C$2:$C$1001=$A22)*(Results!$B$2:$B$1001=500)*(Results!$K$2:$K$1001&gt;0),Results!$K$2:$K$1001),2),"")</f>
        <v/>
      </c>
      <c r="D22" s="33">
        <f t="array" ref="D22">IFERROR(LARGE(IF((Results!$C$2:$C$1001=$A22)*(Results!$B$2:$B$1001=600)*(Results!$K$2:$K$1001&gt;0),Results!$K$2:$K$1001),1),"")</f>
        <v/>
      </c>
      <c r="E22" s="33">
        <f t="array" ref="E22">IFERROR(LARGE(IF((Results!$C$2:$C$1001=$A22)*(Results!$B$2:$B$1001=600)*(Results!$K$2:$K$1001&gt;0),Results!$K$2:$K$1001),2),"")</f>
        <v/>
      </c>
      <c r="F22" s="33">
        <f t="array" ref="F22">IFERROR(LARGE(IF((Results!$C$2:$C$1001=$A22)*(Results!$B$2:$B$1001=700)*(Results!$K$2:$K$1001&gt;0),Results!$K$2:$K$1001),1),"")</f>
        <v/>
      </c>
      <c r="G22" s="33">
        <f t="array" ref="G22">IFERROR(LARGE(IF((Results!$C$2:$C$1001=$A22)*(Results!$B$2:$B$1001=700)*(Results!$K$2:$K$1001&gt;0),Results!$K$2:$K$1001),2),"")</f>
        <v/>
      </c>
      <c r="H22" s="33">
        <f t="array" ref="H22">IFERROR(LARGE(IF((Results!$C$2:$C$1001=$A22)*(Results!$B$2:$B$1001=800)*(Results!$K$2:$K$1001&gt;0),Results!$K$2:$K$1001),1),"")</f>
        <v/>
      </c>
      <c r="I22" s="33">
        <f t="array" ref="I22">IFERROR(LARGE(IF((Results!$C$2:$C$1001=$A22)*(Results!$B$2:$B$1001=800)*(Results!$K$2:$K$1001&gt;0),Results!$K$2:$K$1001),2),"")</f>
        <v/>
      </c>
      <c r="J22" s="33">
        <f t="array" ref="J22">IFERROR(LARGE(IF((Results!$C$2:$C$1001=$A22)*(Results!$B$2:$B$1001=900)*(Results!$K$2:$K$1001&gt;0),Results!$K$2:$K$1001),1),"")</f>
        <v/>
      </c>
      <c r="K22" s="33">
        <f t="array" ref="K22">IFERROR(LARGE(IF((Results!$C$2:$C$1001=$A22)*(Results!$B$2:$B$1001=900)*(Results!$K$2:$K$1001&gt;0),Results!$K$2:$K$1001),2),"")</f>
        <v/>
      </c>
      <c r="L22" s="33">
        <f t="array" ref="L22">IF($A22="","",IFERROR(LARGE(IF((Results!$C$2:$C$1001=$A22)*(Results!$B$2:$B$1001=500)*(Results!$K$2:$K$1001&gt;0),Results!$K$2:$K$1001),1),0)+IFERROR(LARGE(IF((Results!$C$2:$C$1001=$A22)*(Results!$B$2:$B$1001=500)*(Results!$K$2:$K$1001&gt;0),Results!$K$2:$K$1001),2),0)+IFERROR(LARGE(IF((Results!$C$2:$C$1001=$A22)*(Results!$B$2:$B$1001=600)*(Results!$K$2:$K$1001&gt;0),Results!$K$2:$K$1001),1),0)+IFERROR(LARGE(IF((Results!$C$2:$C$1001=$A22)*(Results!$B$2:$B$1001=600)*(Results!$K$2:$K$1001&gt;0),Results!$K$2:$K$1001),2),0)+IFERROR(LARGE(IF((Results!$C$2:$C$1001=$A22)*(Results!$B$2:$B$1001=700)*(Results!$K$2:$K$1001&gt;0),Results!$K$2:$K$1001),1),0)+IFERROR(LARGE(IF((Results!$C$2:$C$1001=$A22)*(Results!$B$2:$B$1001=700)*(Results!$K$2:$K$1001&gt;0),Results!$K$2:$K$1001),2),0)+IFERROR(LARGE(IF((Results!$C$2:$C$1001=$A22)*(Results!$B$2:$B$1001=800)*(Results!$K$2:$K$1001&gt;0),Results!$K$2:$K$1001),1),0)+IFERROR(LARGE(IF((Results!$C$2:$C$1001=$A22)*(Results!$B$2:$B$1001=800)*(Results!$K$2:$K$1001&gt;0),Results!$K$2:$K$1001),2),0)+IFERROR(LARGE(IF((Results!$C$2:$C$1001=$A22)*(Results!$B$2:$B$1001=900)*(Results!$K$2:$K$1001&gt;0),Results!$K$2:$K$1001),1),0)+IFERROR(LARGE(IF((Results!$C$2:$C$1001=$A22)*(Results!$B$2:$B$1001=900)*(Results!$K$2:$K$1001&gt;0),Results!$K$2:$K$1001),2),0))</f>
        <v/>
      </c>
      <c r="M22" s="34">
        <f>IFERROR(IF(OR(L22=0,L22=""),"",RANK(L22,$L$4:$L$70,0)),"")</f>
        <v/>
      </c>
      <c r="N22" s="16">
        <f>IF($A22="","",IFERROR(AVERAGEIF(B22:K22,"&gt;"&amp;0),0))</f>
        <v/>
      </c>
    </row>
    <row r="23" ht="13.5" customHeight="1">
      <c r="A23" s="2">
        <f t="array" ref="A23">IFERROR(INDEX(Results!$C$2:$C$1001,MATCH(0,COUNTIF($A$3:A22,Results!$C$2:$C$1001)+(Results!$C$2:$C$1001=""),0)),"")</f>
        <v/>
      </c>
      <c r="B23" s="33">
        <f t="array" ref="B23">IFERROR(LARGE(IF((Results!$C$2:$C$1001=$A23)*(Results!$B$2:$B$1001=500)*(Results!$K$2:$K$1001&gt;0),Results!$K$2:$K$1001),1),"")</f>
        <v/>
      </c>
      <c r="C23" s="33">
        <f t="array" ref="C23">IFERROR(LARGE(IF((Results!$C$2:$C$1001=$A23)*(Results!$B$2:$B$1001=500)*(Results!$K$2:$K$1001&gt;0),Results!$K$2:$K$1001),2),"")</f>
        <v/>
      </c>
      <c r="D23" s="33">
        <f t="array" ref="D23">IFERROR(LARGE(IF((Results!$C$2:$C$1001=$A23)*(Results!$B$2:$B$1001=600)*(Results!$K$2:$K$1001&gt;0),Results!$K$2:$K$1001),1),"")</f>
        <v/>
      </c>
      <c r="E23" s="33">
        <f t="array" ref="E23">IFERROR(LARGE(IF((Results!$C$2:$C$1001=$A23)*(Results!$B$2:$B$1001=600)*(Results!$K$2:$K$1001&gt;0),Results!$K$2:$K$1001),2),"")</f>
        <v/>
      </c>
      <c r="F23" s="33">
        <f t="array" ref="F23">IFERROR(LARGE(IF((Results!$C$2:$C$1001=$A23)*(Results!$B$2:$B$1001=700)*(Results!$K$2:$K$1001&gt;0),Results!$K$2:$K$1001),1),"")</f>
        <v/>
      </c>
      <c r="G23" s="33">
        <f t="array" ref="G23">IFERROR(LARGE(IF((Results!$C$2:$C$1001=$A23)*(Results!$B$2:$B$1001=700)*(Results!$K$2:$K$1001&gt;0),Results!$K$2:$K$1001),2),"")</f>
        <v/>
      </c>
      <c r="H23" s="33">
        <f t="array" ref="H23">IFERROR(LARGE(IF((Results!$C$2:$C$1001=$A23)*(Results!$B$2:$B$1001=800)*(Results!$K$2:$K$1001&gt;0),Results!$K$2:$K$1001),1),"")</f>
        <v/>
      </c>
      <c r="I23" s="33">
        <f t="array" ref="I23">IFERROR(LARGE(IF((Results!$C$2:$C$1001=$A23)*(Results!$B$2:$B$1001=800)*(Results!$K$2:$K$1001&gt;0),Results!$K$2:$K$1001),2),"")</f>
        <v/>
      </c>
      <c r="J23" s="33">
        <f t="array" ref="J23">IFERROR(LARGE(IF((Results!$C$2:$C$1001=$A23)*(Results!$B$2:$B$1001=900)*(Results!$K$2:$K$1001&gt;0),Results!$K$2:$K$1001),1),"")</f>
        <v/>
      </c>
      <c r="K23" s="33">
        <f t="array" ref="K23">IFERROR(LARGE(IF((Results!$C$2:$C$1001=$A23)*(Results!$B$2:$B$1001=900)*(Results!$K$2:$K$1001&gt;0),Results!$K$2:$K$1001),2),"")</f>
        <v/>
      </c>
      <c r="L23" s="33">
        <f t="array" ref="L23">IF($A23="","",IFERROR(LARGE(IF((Results!$C$2:$C$1001=$A23)*(Results!$B$2:$B$1001=500)*(Results!$K$2:$K$1001&gt;0),Results!$K$2:$K$1001),1),0)+IFERROR(LARGE(IF((Results!$C$2:$C$1001=$A23)*(Results!$B$2:$B$1001=500)*(Results!$K$2:$K$1001&gt;0),Results!$K$2:$K$1001),2),0)+IFERROR(LARGE(IF((Results!$C$2:$C$1001=$A23)*(Results!$B$2:$B$1001=600)*(Results!$K$2:$K$1001&gt;0),Results!$K$2:$K$1001),1),0)+IFERROR(LARGE(IF((Results!$C$2:$C$1001=$A23)*(Results!$B$2:$B$1001=600)*(Results!$K$2:$K$1001&gt;0),Results!$K$2:$K$1001),2),0)+IFERROR(LARGE(IF((Results!$C$2:$C$1001=$A23)*(Results!$B$2:$B$1001=700)*(Results!$K$2:$K$1001&gt;0),Results!$K$2:$K$1001),1),0)+IFERROR(LARGE(IF((Results!$C$2:$C$1001=$A23)*(Results!$B$2:$B$1001=700)*(Results!$K$2:$K$1001&gt;0),Results!$K$2:$K$1001),2),0)+IFERROR(LARGE(IF((Results!$C$2:$C$1001=$A23)*(Results!$B$2:$B$1001=800)*(Results!$K$2:$K$1001&gt;0),Results!$K$2:$K$1001),1),0)+IFERROR(LARGE(IF((Results!$C$2:$C$1001=$A23)*(Results!$B$2:$B$1001=800)*(Results!$K$2:$K$1001&gt;0),Results!$K$2:$K$1001),2),0)+IFERROR(LARGE(IF((Results!$C$2:$C$1001=$A23)*(Results!$B$2:$B$1001=900)*(Results!$K$2:$K$1001&gt;0),Results!$K$2:$K$1001),1),0)+IFERROR(LARGE(IF((Results!$C$2:$C$1001=$A23)*(Results!$B$2:$B$1001=900)*(Results!$K$2:$K$1001&gt;0),Results!$K$2:$K$1001),2),0))</f>
        <v/>
      </c>
      <c r="M23" s="34">
        <f>IFERROR(IF(OR(L23=0,L23=""),"",RANK(L23,$L$4:$L$70,0)),"")</f>
        <v/>
      </c>
      <c r="N23" s="16">
        <f>IF($A23="","",IFERROR(AVERAGEIF(B23:K23,"&gt;"&amp;0),0))</f>
        <v/>
      </c>
    </row>
    <row r="24" ht="13.5" customHeight="1">
      <c r="A24" s="2">
        <f t="array" ref="A24">IFERROR(INDEX(Results!$C$2:$C$1001,MATCH(0,COUNTIF($A$3:A23,Results!$C$2:$C$1001)+(Results!$C$2:$C$1001=""),0)),"")</f>
        <v/>
      </c>
      <c r="B24" s="33">
        <f t="array" ref="B24">IFERROR(LARGE(IF((Results!$C$2:$C$1001=$A24)*(Results!$B$2:$B$1001=500)*(Results!$K$2:$K$1001&gt;0),Results!$K$2:$K$1001),1),"")</f>
        <v/>
      </c>
      <c r="C24" s="33">
        <f t="array" ref="C24">IFERROR(LARGE(IF((Results!$C$2:$C$1001=$A24)*(Results!$B$2:$B$1001=500)*(Results!$K$2:$K$1001&gt;0),Results!$K$2:$K$1001),2),"")</f>
        <v/>
      </c>
      <c r="D24" s="33">
        <f t="array" ref="D24">IFERROR(LARGE(IF((Results!$C$2:$C$1001=$A24)*(Results!$B$2:$B$1001=600)*(Results!$K$2:$K$1001&gt;0),Results!$K$2:$K$1001),1),"")</f>
        <v/>
      </c>
      <c r="E24" s="33">
        <f t="array" ref="E24">IFERROR(LARGE(IF((Results!$C$2:$C$1001=$A24)*(Results!$B$2:$B$1001=600)*(Results!$K$2:$K$1001&gt;0),Results!$K$2:$K$1001),2),"")</f>
        <v/>
      </c>
      <c r="F24" s="33">
        <f t="array" ref="F24">IFERROR(LARGE(IF((Results!$C$2:$C$1001=$A24)*(Results!$B$2:$B$1001=700)*(Results!$K$2:$K$1001&gt;0),Results!$K$2:$K$1001),1),"")</f>
        <v/>
      </c>
      <c r="G24" s="33">
        <f t="array" ref="G24">IFERROR(LARGE(IF((Results!$C$2:$C$1001=$A24)*(Results!$B$2:$B$1001=700)*(Results!$K$2:$K$1001&gt;0),Results!$K$2:$K$1001),2),"")</f>
        <v/>
      </c>
      <c r="H24" s="33">
        <f t="array" ref="H24">IFERROR(LARGE(IF((Results!$C$2:$C$1001=$A24)*(Results!$B$2:$B$1001=800)*(Results!$K$2:$K$1001&gt;0),Results!$K$2:$K$1001),1),"")</f>
        <v/>
      </c>
      <c r="I24" s="33">
        <f t="array" ref="I24">IFERROR(LARGE(IF((Results!$C$2:$C$1001=$A24)*(Results!$B$2:$B$1001=800)*(Results!$K$2:$K$1001&gt;0),Results!$K$2:$K$1001),2),"")</f>
        <v/>
      </c>
      <c r="J24" s="33">
        <f t="array" ref="J24">IFERROR(LARGE(IF((Results!$C$2:$C$1001=$A24)*(Results!$B$2:$B$1001=900)*(Results!$K$2:$K$1001&gt;0),Results!$K$2:$K$1001),1),"")</f>
        <v/>
      </c>
      <c r="K24" s="33">
        <f t="array" ref="K24">IFERROR(LARGE(IF((Results!$C$2:$C$1001=$A24)*(Results!$B$2:$B$1001=900)*(Results!$K$2:$K$1001&gt;0),Results!$K$2:$K$1001),2),"")</f>
        <v/>
      </c>
      <c r="L24" s="33">
        <f t="array" ref="L24">IF($A24="","",IFERROR(LARGE(IF((Results!$C$2:$C$1001=$A24)*(Results!$B$2:$B$1001=500)*(Results!$K$2:$K$1001&gt;0),Results!$K$2:$K$1001),1),0)+IFERROR(LARGE(IF((Results!$C$2:$C$1001=$A24)*(Results!$B$2:$B$1001=500)*(Results!$K$2:$K$1001&gt;0),Results!$K$2:$K$1001),2),0)+IFERROR(LARGE(IF((Results!$C$2:$C$1001=$A24)*(Results!$B$2:$B$1001=600)*(Results!$K$2:$K$1001&gt;0),Results!$K$2:$K$1001),1),0)+IFERROR(LARGE(IF((Results!$C$2:$C$1001=$A24)*(Results!$B$2:$B$1001=600)*(Results!$K$2:$K$1001&gt;0),Results!$K$2:$K$1001),2),0)+IFERROR(LARGE(IF((Results!$C$2:$C$1001=$A24)*(Results!$B$2:$B$1001=700)*(Results!$K$2:$K$1001&gt;0),Results!$K$2:$K$1001),1),0)+IFERROR(LARGE(IF((Results!$C$2:$C$1001=$A24)*(Results!$B$2:$B$1001=700)*(Results!$K$2:$K$1001&gt;0),Results!$K$2:$K$1001),2),0)+IFERROR(LARGE(IF((Results!$C$2:$C$1001=$A24)*(Results!$B$2:$B$1001=800)*(Results!$K$2:$K$1001&gt;0),Results!$K$2:$K$1001),1),0)+IFERROR(LARGE(IF((Results!$C$2:$C$1001=$A24)*(Results!$B$2:$B$1001=800)*(Results!$K$2:$K$1001&gt;0),Results!$K$2:$K$1001),2),0)+IFERROR(LARGE(IF((Results!$C$2:$C$1001=$A24)*(Results!$B$2:$B$1001=900)*(Results!$K$2:$K$1001&gt;0),Results!$K$2:$K$1001),1),0)+IFERROR(LARGE(IF((Results!$C$2:$C$1001=$A24)*(Results!$B$2:$B$1001=900)*(Results!$K$2:$K$1001&gt;0),Results!$K$2:$K$1001),2),0))</f>
        <v/>
      </c>
      <c r="M24" s="34">
        <f>IFERROR(IF(OR(L24=0,L24=""),"",RANK(L24,$L$4:$L$70,0)),"")</f>
        <v/>
      </c>
      <c r="N24" s="16">
        <f>IF($A24="","",IFERROR(AVERAGEIF(B24:K24,"&gt;"&amp;0),0))</f>
        <v/>
      </c>
    </row>
    <row r="25" ht="13.5" customHeight="1">
      <c r="A25" s="2">
        <f t="array" ref="A25">IFERROR(INDEX(Results!$C$2:$C$1001,MATCH(0,COUNTIF($A$3:A24,Results!$C$2:$C$1001)+(Results!$C$2:$C$1001=""),0)),"")</f>
        <v/>
      </c>
      <c r="B25" s="33">
        <f t="array" ref="B25">IFERROR(LARGE(IF((Results!$C$2:$C$1001=$A25)*(Results!$B$2:$B$1001=500)*(Results!$K$2:$K$1001&gt;0),Results!$K$2:$K$1001),1),"")</f>
        <v/>
      </c>
      <c r="C25" s="33">
        <f t="array" ref="C25">IFERROR(LARGE(IF((Results!$C$2:$C$1001=$A25)*(Results!$B$2:$B$1001=500)*(Results!$K$2:$K$1001&gt;0),Results!$K$2:$K$1001),2),"")</f>
        <v/>
      </c>
      <c r="D25" s="33">
        <f t="array" ref="D25">IFERROR(LARGE(IF((Results!$C$2:$C$1001=$A25)*(Results!$B$2:$B$1001=600)*(Results!$K$2:$K$1001&gt;0),Results!$K$2:$K$1001),1),"")</f>
        <v/>
      </c>
      <c r="E25" s="33">
        <f t="array" ref="E25">IFERROR(LARGE(IF((Results!$C$2:$C$1001=$A25)*(Results!$B$2:$B$1001=600)*(Results!$K$2:$K$1001&gt;0),Results!$K$2:$K$1001),2),"")</f>
        <v/>
      </c>
      <c r="F25" s="33">
        <f t="array" ref="F25">IFERROR(LARGE(IF((Results!$C$2:$C$1001=$A25)*(Results!$B$2:$B$1001=700)*(Results!$K$2:$K$1001&gt;0),Results!$K$2:$K$1001),1),"")</f>
        <v/>
      </c>
      <c r="G25" s="33">
        <f t="array" ref="G25">IFERROR(LARGE(IF((Results!$C$2:$C$1001=$A25)*(Results!$B$2:$B$1001=700)*(Results!$K$2:$K$1001&gt;0),Results!$K$2:$K$1001),2),"")</f>
        <v/>
      </c>
      <c r="H25" s="33">
        <f t="array" ref="H25">IFERROR(LARGE(IF((Results!$C$2:$C$1001=$A25)*(Results!$B$2:$B$1001=800)*(Results!$K$2:$K$1001&gt;0),Results!$K$2:$K$1001),1),"")</f>
        <v/>
      </c>
      <c r="I25" s="33">
        <f t="array" ref="I25">IFERROR(LARGE(IF((Results!$C$2:$C$1001=$A25)*(Results!$B$2:$B$1001=800)*(Results!$K$2:$K$1001&gt;0),Results!$K$2:$K$1001),2),"")</f>
        <v/>
      </c>
      <c r="J25" s="33">
        <f t="array" ref="J25">IFERROR(LARGE(IF((Results!$C$2:$C$1001=$A25)*(Results!$B$2:$B$1001=900)*(Results!$K$2:$K$1001&gt;0),Results!$K$2:$K$1001),1),"")</f>
        <v/>
      </c>
      <c r="K25" s="33">
        <f t="array" ref="K25">IFERROR(LARGE(IF((Results!$C$2:$C$1001=$A25)*(Results!$B$2:$B$1001=900)*(Results!$K$2:$K$1001&gt;0),Results!$K$2:$K$1001),2),"")</f>
        <v/>
      </c>
      <c r="L25" s="33">
        <f t="array" ref="L25">IF($A25="","",IFERROR(LARGE(IF((Results!$C$2:$C$1001=$A25)*(Results!$B$2:$B$1001=500)*(Results!$K$2:$K$1001&gt;0),Results!$K$2:$K$1001),1),0)+IFERROR(LARGE(IF((Results!$C$2:$C$1001=$A25)*(Results!$B$2:$B$1001=500)*(Results!$K$2:$K$1001&gt;0),Results!$K$2:$K$1001),2),0)+IFERROR(LARGE(IF((Results!$C$2:$C$1001=$A25)*(Results!$B$2:$B$1001=600)*(Results!$K$2:$K$1001&gt;0),Results!$K$2:$K$1001),1),0)+IFERROR(LARGE(IF((Results!$C$2:$C$1001=$A25)*(Results!$B$2:$B$1001=600)*(Results!$K$2:$K$1001&gt;0),Results!$K$2:$K$1001),2),0)+IFERROR(LARGE(IF((Results!$C$2:$C$1001=$A25)*(Results!$B$2:$B$1001=700)*(Results!$K$2:$K$1001&gt;0),Results!$K$2:$K$1001),1),0)+IFERROR(LARGE(IF((Results!$C$2:$C$1001=$A25)*(Results!$B$2:$B$1001=700)*(Results!$K$2:$K$1001&gt;0),Results!$K$2:$K$1001),2),0)+IFERROR(LARGE(IF((Results!$C$2:$C$1001=$A25)*(Results!$B$2:$B$1001=800)*(Results!$K$2:$K$1001&gt;0),Results!$K$2:$K$1001),1),0)+IFERROR(LARGE(IF((Results!$C$2:$C$1001=$A25)*(Results!$B$2:$B$1001=800)*(Results!$K$2:$K$1001&gt;0),Results!$K$2:$K$1001),2),0)+IFERROR(LARGE(IF((Results!$C$2:$C$1001=$A25)*(Results!$B$2:$B$1001=900)*(Results!$K$2:$K$1001&gt;0),Results!$K$2:$K$1001),1),0)+IFERROR(LARGE(IF((Results!$C$2:$C$1001=$A25)*(Results!$B$2:$B$1001=900)*(Results!$K$2:$K$1001&gt;0),Results!$K$2:$K$1001),2),0))</f>
        <v/>
      </c>
      <c r="M25" s="34">
        <f>IFERROR(IF(OR(L25=0,L25=""),"",RANK(L25,$L$4:$L$70,0)),"")</f>
        <v/>
      </c>
      <c r="N25" s="16">
        <f>IF($A25="","",IFERROR(AVERAGEIF(B25:K25,"&gt;"&amp;0),0))</f>
        <v/>
      </c>
    </row>
    <row r="26" ht="13.5" customHeight="1">
      <c r="A26" s="2">
        <f t="array" ref="A26">IFERROR(INDEX(Results!$C$2:$C$1001,MATCH(0,COUNTIF($A$3:A25,Results!$C$2:$C$1001)+(Results!$C$2:$C$1001=""),0)),"")</f>
        <v/>
      </c>
      <c r="B26" s="33">
        <f t="array" ref="B26">IFERROR(LARGE(IF((Results!$C$2:$C$1001=$A26)*(Results!$B$2:$B$1001=500)*(Results!$K$2:$K$1001&gt;0),Results!$K$2:$K$1001),1),"")</f>
        <v/>
      </c>
      <c r="C26" s="33">
        <f t="array" ref="C26">IFERROR(LARGE(IF((Results!$C$2:$C$1001=$A26)*(Results!$B$2:$B$1001=500)*(Results!$K$2:$K$1001&gt;0),Results!$K$2:$K$1001),2),"")</f>
        <v/>
      </c>
      <c r="D26" s="33">
        <f t="array" ref="D26">IFERROR(LARGE(IF((Results!$C$2:$C$1001=$A26)*(Results!$B$2:$B$1001=600)*(Results!$K$2:$K$1001&gt;0),Results!$K$2:$K$1001),1),"")</f>
        <v/>
      </c>
      <c r="E26" s="33">
        <f t="array" ref="E26">IFERROR(LARGE(IF((Results!$C$2:$C$1001=$A26)*(Results!$B$2:$B$1001=600)*(Results!$K$2:$K$1001&gt;0),Results!$K$2:$K$1001),2),"")</f>
        <v/>
      </c>
      <c r="F26" s="33">
        <f t="array" ref="F26">IFERROR(LARGE(IF((Results!$C$2:$C$1001=$A26)*(Results!$B$2:$B$1001=700)*(Results!$K$2:$K$1001&gt;0),Results!$K$2:$K$1001),1),"")</f>
        <v/>
      </c>
      <c r="G26" s="33">
        <f t="array" ref="G26">IFERROR(LARGE(IF((Results!$C$2:$C$1001=$A26)*(Results!$B$2:$B$1001=700)*(Results!$K$2:$K$1001&gt;0),Results!$K$2:$K$1001),2),"")</f>
        <v/>
      </c>
      <c r="H26" s="33">
        <f t="array" ref="H26">IFERROR(LARGE(IF((Results!$C$2:$C$1001=$A26)*(Results!$B$2:$B$1001=800)*(Results!$K$2:$K$1001&gt;0),Results!$K$2:$K$1001),1),"")</f>
        <v/>
      </c>
      <c r="I26" s="33">
        <f t="array" ref="I26">IFERROR(LARGE(IF((Results!$C$2:$C$1001=$A26)*(Results!$B$2:$B$1001=800)*(Results!$K$2:$K$1001&gt;0),Results!$K$2:$K$1001),2),"")</f>
        <v/>
      </c>
      <c r="J26" s="33">
        <f t="array" ref="J26">IFERROR(LARGE(IF((Results!$C$2:$C$1001=$A26)*(Results!$B$2:$B$1001=900)*(Results!$K$2:$K$1001&gt;0),Results!$K$2:$K$1001),1),"")</f>
        <v/>
      </c>
      <c r="K26" s="33">
        <f t="array" ref="K26">IFERROR(LARGE(IF((Results!$C$2:$C$1001=$A26)*(Results!$B$2:$B$1001=900)*(Results!$K$2:$K$1001&gt;0),Results!$K$2:$K$1001),2),"")</f>
        <v/>
      </c>
      <c r="L26" s="33">
        <f t="array" ref="L26">IF($A26="","",IFERROR(LARGE(IF((Results!$C$2:$C$1001=$A26)*(Results!$B$2:$B$1001=500)*(Results!$K$2:$K$1001&gt;0),Results!$K$2:$K$1001),1),0)+IFERROR(LARGE(IF((Results!$C$2:$C$1001=$A26)*(Results!$B$2:$B$1001=500)*(Results!$K$2:$K$1001&gt;0),Results!$K$2:$K$1001),2),0)+IFERROR(LARGE(IF((Results!$C$2:$C$1001=$A26)*(Results!$B$2:$B$1001=600)*(Results!$K$2:$K$1001&gt;0),Results!$K$2:$K$1001),1),0)+IFERROR(LARGE(IF((Results!$C$2:$C$1001=$A26)*(Results!$B$2:$B$1001=600)*(Results!$K$2:$K$1001&gt;0),Results!$K$2:$K$1001),2),0)+IFERROR(LARGE(IF((Results!$C$2:$C$1001=$A26)*(Results!$B$2:$B$1001=700)*(Results!$K$2:$K$1001&gt;0),Results!$K$2:$K$1001),1),0)+IFERROR(LARGE(IF((Results!$C$2:$C$1001=$A26)*(Results!$B$2:$B$1001=700)*(Results!$K$2:$K$1001&gt;0),Results!$K$2:$K$1001),2),0)+IFERROR(LARGE(IF((Results!$C$2:$C$1001=$A26)*(Results!$B$2:$B$1001=800)*(Results!$K$2:$K$1001&gt;0),Results!$K$2:$K$1001),1),0)+IFERROR(LARGE(IF((Results!$C$2:$C$1001=$A26)*(Results!$B$2:$B$1001=800)*(Results!$K$2:$K$1001&gt;0),Results!$K$2:$K$1001),2),0)+IFERROR(LARGE(IF((Results!$C$2:$C$1001=$A26)*(Results!$B$2:$B$1001=900)*(Results!$K$2:$K$1001&gt;0),Results!$K$2:$K$1001),1),0)+IFERROR(LARGE(IF((Results!$C$2:$C$1001=$A26)*(Results!$B$2:$B$1001=900)*(Results!$K$2:$K$1001&gt;0),Results!$K$2:$K$1001),2),0))</f>
        <v/>
      </c>
      <c r="M26" s="34">
        <f>IFERROR(IF(OR(L26=0,L26=""),"",RANK(L26,$L$4:$L$70,0)),"")</f>
        <v/>
      </c>
      <c r="N26" s="16">
        <f>IF($A26="","",IFERROR(AVERAGEIF(B26:K26,"&gt;"&amp;0),0))</f>
        <v/>
      </c>
    </row>
    <row r="27" ht="13.5" customHeight="1">
      <c r="A27" s="2">
        <f t="array" ref="A27">IFERROR(INDEX(Results!$C$2:$C$1001,MATCH(0,COUNTIF($A$3:A26,Results!$C$2:$C$1001)+(Results!$C$2:$C$1001=""),0)),"")</f>
        <v/>
      </c>
      <c r="B27" s="33">
        <f t="array" ref="B27">IFERROR(LARGE(IF((Results!$C$2:$C$1001=$A27)*(Results!$B$2:$B$1001=500)*(Results!$K$2:$K$1001&gt;0),Results!$K$2:$K$1001),1),"")</f>
        <v/>
      </c>
      <c r="C27" s="33">
        <f t="array" ref="C27">IFERROR(LARGE(IF((Results!$C$2:$C$1001=$A27)*(Results!$B$2:$B$1001=500)*(Results!$K$2:$K$1001&gt;0),Results!$K$2:$K$1001),2),"")</f>
        <v/>
      </c>
      <c r="D27" s="33">
        <f t="array" ref="D27">IFERROR(LARGE(IF((Results!$C$2:$C$1001=$A27)*(Results!$B$2:$B$1001=600)*(Results!$K$2:$K$1001&gt;0),Results!$K$2:$K$1001),1),"")</f>
        <v/>
      </c>
      <c r="E27" s="33">
        <f t="array" ref="E27">IFERROR(LARGE(IF((Results!$C$2:$C$1001=$A27)*(Results!$B$2:$B$1001=600)*(Results!$K$2:$K$1001&gt;0),Results!$K$2:$K$1001),2),"")</f>
        <v/>
      </c>
      <c r="F27" s="33">
        <f t="array" ref="F27">IFERROR(LARGE(IF((Results!$C$2:$C$1001=$A27)*(Results!$B$2:$B$1001=700)*(Results!$K$2:$K$1001&gt;0),Results!$K$2:$K$1001),1),"")</f>
        <v/>
      </c>
      <c r="G27" s="33">
        <f t="array" ref="G27">IFERROR(LARGE(IF((Results!$C$2:$C$1001=$A27)*(Results!$B$2:$B$1001=700)*(Results!$K$2:$K$1001&gt;0),Results!$K$2:$K$1001),2),"")</f>
        <v/>
      </c>
      <c r="H27" s="33">
        <f t="array" ref="H27">IFERROR(LARGE(IF((Results!$C$2:$C$1001=$A27)*(Results!$B$2:$B$1001=800)*(Results!$K$2:$K$1001&gt;0),Results!$K$2:$K$1001),1),"")</f>
        <v/>
      </c>
      <c r="I27" s="33">
        <f t="array" ref="I27">IFERROR(LARGE(IF((Results!$C$2:$C$1001=$A27)*(Results!$B$2:$B$1001=800)*(Results!$K$2:$K$1001&gt;0),Results!$K$2:$K$1001),2),"")</f>
        <v/>
      </c>
      <c r="J27" s="33">
        <f t="array" ref="J27">IFERROR(LARGE(IF((Results!$C$2:$C$1001=$A27)*(Results!$B$2:$B$1001=900)*(Results!$K$2:$K$1001&gt;0),Results!$K$2:$K$1001),1),"")</f>
        <v/>
      </c>
      <c r="K27" s="33">
        <f t="array" ref="K27">IFERROR(LARGE(IF((Results!$C$2:$C$1001=$A27)*(Results!$B$2:$B$1001=900)*(Results!$K$2:$K$1001&gt;0),Results!$K$2:$K$1001),2),"")</f>
        <v/>
      </c>
      <c r="L27" s="33">
        <f t="array" ref="L27">IF($A27="","",IFERROR(LARGE(IF((Results!$C$2:$C$1001=$A27)*(Results!$B$2:$B$1001=500)*(Results!$K$2:$K$1001&gt;0),Results!$K$2:$K$1001),1),0)+IFERROR(LARGE(IF((Results!$C$2:$C$1001=$A27)*(Results!$B$2:$B$1001=500)*(Results!$K$2:$K$1001&gt;0),Results!$K$2:$K$1001),2),0)+IFERROR(LARGE(IF((Results!$C$2:$C$1001=$A27)*(Results!$B$2:$B$1001=600)*(Results!$K$2:$K$1001&gt;0),Results!$K$2:$K$1001),1),0)+IFERROR(LARGE(IF((Results!$C$2:$C$1001=$A27)*(Results!$B$2:$B$1001=600)*(Results!$K$2:$K$1001&gt;0),Results!$K$2:$K$1001),2),0)+IFERROR(LARGE(IF((Results!$C$2:$C$1001=$A27)*(Results!$B$2:$B$1001=700)*(Results!$K$2:$K$1001&gt;0),Results!$K$2:$K$1001),1),0)+IFERROR(LARGE(IF((Results!$C$2:$C$1001=$A27)*(Results!$B$2:$B$1001=700)*(Results!$K$2:$K$1001&gt;0),Results!$K$2:$K$1001),2),0)+IFERROR(LARGE(IF((Results!$C$2:$C$1001=$A27)*(Results!$B$2:$B$1001=800)*(Results!$K$2:$K$1001&gt;0),Results!$K$2:$K$1001),1),0)+IFERROR(LARGE(IF((Results!$C$2:$C$1001=$A27)*(Results!$B$2:$B$1001=800)*(Results!$K$2:$K$1001&gt;0),Results!$K$2:$K$1001),2),0)+IFERROR(LARGE(IF((Results!$C$2:$C$1001=$A27)*(Results!$B$2:$B$1001=900)*(Results!$K$2:$K$1001&gt;0),Results!$K$2:$K$1001),1),0)+IFERROR(LARGE(IF((Results!$C$2:$C$1001=$A27)*(Results!$B$2:$B$1001=900)*(Results!$K$2:$K$1001&gt;0),Results!$K$2:$K$1001),2),0))</f>
        <v/>
      </c>
      <c r="M27" s="34">
        <f>IFERROR(IF(OR(L27=0,L27=""),"",RANK(L27,$L$4:$L$70,0)),"")</f>
        <v/>
      </c>
      <c r="N27" s="16">
        <f>IF($A27="","",IFERROR(AVERAGEIF(B27:K27,"&gt;"&amp;0),0))</f>
        <v/>
      </c>
    </row>
    <row r="28" ht="13.5" customHeight="1">
      <c r="A28" s="2">
        <f t="array" ref="A28">IFERROR(INDEX(Results!$C$2:$C$1001,MATCH(0,COUNTIF($A$3:A27,Results!$C$2:$C$1001)+(Results!$C$2:$C$1001=""),0)),"")</f>
        <v/>
      </c>
      <c r="B28" s="33">
        <f t="array" ref="B28">IFERROR(LARGE(IF((Results!$C$2:$C$1001=$A28)*(Results!$B$2:$B$1001=500)*(Results!$K$2:$K$1001&gt;0),Results!$K$2:$K$1001),1),"")</f>
        <v/>
      </c>
      <c r="C28" s="33">
        <f t="array" ref="C28">IFERROR(LARGE(IF((Results!$C$2:$C$1001=$A28)*(Results!$B$2:$B$1001=500)*(Results!$K$2:$K$1001&gt;0),Results!$K$2:$K$1001),2),"")</f>
        <v/>
      </c>
      <c r="D28" s="33">
        <f t="array" ref="D28">IFERROR(LARGE(IF((Results!$C$2:$C$1001=$A28)*(Results!$B$2:$B$1001=600)*(Results!$K$2:$K$1001&gt;0),Results!$K$2:$K$1001),1),"")</f>
        <v/>
      </c>
      <c r="E28" s="33">
        <f t="array" ref="E28">IFERROR(LARGE(IF((Results!$C$2:$C$1001=$A28)*(Results!$B$2:$B$1001=600)*(Results!$K$2:$K$1001&gt;0),Results!$K$2:$K$1001),2),"")</f>
        <v/>
      </c>
      <c r="F28" s="33">
        <f t="array" ref="F28">IFERROR(LARGE(IF((Results!$C$2:$C$1001=$A28)*(Results!$B$2:$B$1001=700)*(Results!$K$2:$K$1001&gt;0),Results!$K$2:$K$1001),1),"")</f>
        <v/>
      </c>
      <c r="G28" s="33">
        <f t="array" ref="G28">IFERROR(LARGE(IF((Results!$C$2:$C$1001=$A28)*(Results!$B$2:$B$1001=700)*(Results!$K$2:$K$1001&gt;0),Results!$K$2:$K$1001),2),"")</f>
        <v/>
      </c>
      <c r="H28" s="33">
        <f t="array" ref="H28">IFERROR(LARGE(IF((Results!$C$2:$C$1001=$A28)*(Results!$B$2:$B$1001=800)*(Results!$K$2:$K$1001&gt;0),Results!$K$2:$K$1001),1),"")</f>
        <v/>
      </c>
      <c r="I28" s="33">
        <f t="array" ref="I28">IFERROR(LARGE(IF((Results!$C$2:$C$1001=$A28)*(Results!$B$2:$B$1001=800)*(Results!$K$2:$K$1001&gt;0),Results!$K$2:$K$1001),2),"")</f>
        <v/>
      </c>
      <c r="J28" s="33">
        <f t="array" ref="J28">IFERROR(LARGE(IF((Results!$C$2:$C$1001=$A28)*(Results!$B$2:$B$1001=900)*(Results!$K$2:$K$1001&gt;0),Results!$K$2:$K$1001),1),"")</f>
        <v/>
      </c>
      <c r="K28" s="33">
        <f t="array" ref="K28">IFERROR(LARGE(IF((Results!$C$2:$C$1001=$A28)*(Results!$B$2:$B$1001=900)*(Results!$K$2:$K$1001&gt;0),Results!$K$2:$K$1001),2),"")</f>
        <v/>
      </c>
      <c r="L28" s="33">
        <f t="array" ref="L28">IF($A28="","",IFERROR(LARGE(IF((Results!$C$2:$C$1001=$A28)*(Results!$B$2:$B$1001=500)*(Results!$K$2:$K$1001&gt;0),Results!$K$2:$K$1001),1),0)+IFERROR(LARGE(IF((Results!$C$2:$C$1001=$A28)*(Results!$B$2:$B$1001=500)*(Results!$K$2:$K$1001&gt;0),Results!$K$2:$K$1001),2),0)+IFERROR(LARGE(IF((Results!$C$2:$C$1001=$A28)*(Results!$B$2:$B$1001=600)*(Results!$K$2:$K$1001&gt;0),Results!$K$2:$K$1001),1),0)+IFERROR(LARGE(IF((Results!$C$2:$C$1001=$A28)*(Results!$B$2:$B$1001=600)*(Results!$K$2:$K$1001&gt;0),Results!$K$2:$K$1001),2),0)+IFERROR(LARGE(IF((Results!$C$2:$C$1001=$A28)*(Results!$B$2:$B$1001=700)*(Results!$K$2:$K$1001&gt;0),Results!$K$2:$K$1001),1),0)+IFERROR(LARGE(IF((Results!$C$2:$C$1001=$A28)*(Results!$B$2:$B$1001=700)*(Results!$K$2:$K$1001&gt;0),Results!$K$2:$K$1001),2),0)+IFERROR(LARGE(IF((Results!$C$2:$C$1001=$A28)*(Results!$B$2:$B$1001=800)*(Results!$K$2:$K$1001&gt;0),Results!$K$2:$K$1001),1),0)+IFERROR(LARGE(IF((Results!$C$2:$C$1001=$A28)*(Results!$B$2:$B$1001=800)*(Results!$K$2:$K$1001&gt;0),Results!$K$2:$K$1001),2),0)+IFERROR(LARGE(IF((Results!$C$2:$C$1001=$A28)*(Results!$B$2:$B$1001=900)*(Results!$K$2:$K$1001&gt;0),Results!$K$2:$K$1001),1),0)+IFERROR(LARGE(IF((Results!$C$2:$C$1001=$A28)*(Results!$B$2:$B$1001=900)*(Results!$K$2:$K$1001&gt;0),Results!$K$2:$K$1001),2),0))</f>
        <v/>
      </c>
      <c r="M28" s="34">
        <f>IFERROR(IF(OR(L28=0,L28=""),"",RANK(L28,$L$4:$L$70,0)),"")</f>
        <v/>
      </c>
      <c r="N28" s="16">
        <f>IF($A28="","",IFERROR(AVERAGEIF(B28:K28,"&gt;"&amp;0),0))</f>
        <v/>
      </c>
    </row>
    <row r="29" ht="13.5" customHeight="1">
      <c r="A29" s="2">
        <f t="array" ref="A29">IFERROR(INDEX(Results!$C$2:$C$1001,MATCH(0,COUNTIF($A$3:A28,Results!$C$2:$C$1001)+(Results!$C$2:$C$1001=""),0)),"")</f>
        <v/>
      </c>
      <c r="B29" s="33">
        <f t="array" ref="B29">IFERROR(LARGE(IF((Results!$C$2:$C$1001=$A29)*(Results!$B$2:$B$1001=500)*(Results!$K$2:$K$1001&gt;0),Results!$K$2:$K$1001),1),"")</f>
        <v/>
      </c>
      <c r="C29" s="33">
        <f t="array" ref="C29">IFERROR(LARGE(IF((Results!$C$2:$C$1001=$A29)*(Results!$B$2:$B$1001=500)*(Results!$K$2:$K$1001&gt;0),Results!$K$2:$K$1001),2),"")</f>
        <v/>
      </c>
      <c r="D29" s="33">
        <f t="array" ref="D29">IFERROR(LARGE(IF((Results!$C$2:$C$1001=$A29)*(Results!$B$2:$B$1001=600)*(Results!$K$2:$K$1001&gt;0),Results!$K$2:$K$1001),1),"")</f>
        <v/>
      </c>
      <c r="E29" s="33">
        <f t="array" ref="E29">IFERROR(LARGE(IF((Results!$C$2:$C$1001=$A29)*(Results!$B$2:$B$1001=600)*(Results!$K$2:$K$1001&gt;0),Results!$K$2:$K$1001),2),"")</f>
        <v/>
      </c>
      <c r="F29" s="33">
        <f t="array" ref="F29">IFERROR(LARGE(IF((Results!$C$2:$C$1001=$A29)*(Results!$B$2:$B$1001=700)*(Results!$K$2:$K$1001&gt;0),Results!$K$2:$K$1001),1),"")</f>
        <v/>
      </c>
      <c r="G29" s="33">
        <f t="array" ref="G29">IFERROR(LARGE(IF((Results!$C$2:$C$1001=$A29)*(Results!$B$2:$B$1001=700)*(Results!$K$2:$K$1001&gt;0),Results!$K$2:$K$1001),2),"")</f>
        <v/>
      </c>
      <c r="H29" s="33">
        <f t="array" ref="H29">IFERROR(LARGE(IF((Results!$C$2:$C$1001=$A29)*(Results!$B$2:$B$1001=800)*(Results!$K$2:$K$1001&gt;0),Results!$K$2:$K$1001),1),"")</f>
        <v/>
      </c>
      <c r="I29" s="33">
        <f t="array" ref="I29">IFERROR(LARGE(IF((Results!$C$2:$C$1001=$A29)*(Results!$B$2:$B$1001=800)*(Results!$K$2:$K$1001&gt;0),Results!$K$2:$K$1001),2),"")</f>
        <v/>
      </c>
      <c r="J29" s="33">
        <f t="array" ref="J29">IFERROR(LARGE(IF((Results!$C$2:$C$1001=$A29)*(Results!$B$2:$B$1001=900)*(Results!$K$2:$K$1001&gt;0),Results!$K$2:$K$1001),1),"")</f>
        <v/>
      </c>
      <c r="K29" s="33">
        <f t="array" ref="K29">IFERROR(LARGE(IF((Results!$C$2:$C$1001=$A29)*(Results!$B$2:$B$1001=900)*(Results!$K$2:$K$1001&gt;0),Results!$K$2:$K$1001),2),"")</f>
        <v/>
      </c>
      <c r="L29" s="33">
        <f t="array" ref="L29">IF($A29="","",IFERROR(LARGE(IF((Results!$C$2:$C$1001=$A29)*(Results!$B$2:$B$1001=500)*(Results!$K$2:$K$1001&gt;0),Results!$K$2:$K$1001),1),0)+IFERROR(LARGE(IF((Results!$C$2:$C$1001=$A29)*(Results!$B$2:$B$1001=500)*(Results!$K$2:$K$1001&gt;0),Results!$K$2:$K$1001),2),0)+IFERROR(LARGE(IF((Results!$C$2:$C$1001=$A29)*(Results!$B$2:$B$1001=600)*(Results!$K$2:$K$1001&gt;0),Results!$K$2:$K$1001),1),0)+IFERROR(LARGE(IF((Results!$C$2:$C$1001=$A29)*(Results!$B$2:$B$1001=600)*(Results!$K$2:$K$1001&gt;0),Results!$K$2:$K$1001),2),0)+IFERROR(LARGE(IF((Results!$C$2:$C$1001=$A29)*(Results!$B$2:$B$1001=700)*(Results!$K$2:$K$1001&gt;0),Results!$K$2:$K$1001),1),0)+IFERROR(LARGE(IF((Results!$C$2:$C$1001=$A29)*(Results!$B$2:$B$1001=700)*(Results!$K$2:$K$1001&gt;0),Results!$K$2:$K$1001),2),0)+IFERROR(LARGE(IF((Results!$C$2:$C$1001=$A29)*(Results!$B$2:$B$1001=800)*(Results!$K$2:$K$1001&gt;0),Results!$K$2:$K$1001),1),0)+IFERROR(LARGE(IF((Results!$C$2:$C$1001=$A29)*(Results!$B$2:$B$1001=800)*(Results!$K$2:$K$1001&gt;0),Results!$K$2:$K$1001),2),0)+IFERROR(LARGE(IF((Results!$C$2:$C$1001=$A29)*(Results!$B$2:$B$1001=900)*(Results!$K$2:$K$1001&gt;0),Results!$K$2:$K$1001),1),0)+IFERROR(LARGE(IF((Results!$C$2:$C$1001=$A29)*(Results!$B$2:$B$1001=900)*(Results!$K$2:$K$1001&gt;0),Results!$K$2:$K$1001),2),0))</f>
        <v/>
      </c>
      <c r="M29" s="34">
        <f>IFERROR(IF(OR(L29=0,L29=""),"",RANK(L29,$L$4:$L$70,0)),"")</f>
        <v/>
      </c>
      <c r="N29" s="16">
        <f>IF($A29="","",IFERROR(AVERAGEIF(B29:K29,"&gt;"&amp;0),0))</f>
        <v/>
      </c>
    </row>
    <row r="30" ht="13.5" customHeight="1">
      <c r="A30" s="2">
        <f t="array" ref="A30">IFERROR(INDEX(Results!$C$2:$C$1001,MATCH(0,COUNTIF($A$3:A29,Results!$C$2:$C$1001)+(Results!$C$2:$C$1001=""),0)),"")</f>
        <v/>
      </c>
      <c r="B30" s="33">
        <f t="array" ref="B30">IFERROR(LARGE(IF((Results!$C$2:$C$1001=$A30)*(Results!$B$2:$B$1001=500)*(Results!$K$2:$K$1001&gt;0),Results!$K$2:$K$1001),1),"")</f>
        <v/>
      </c>
      <c r="C30" s="33">
        <f t="array" ref="C30">IFERROR(LARGE(IF((Results!$C$2:$C$1001=$A30)*(Results!$B$2:$B$1001=500)*(Results!$K$2:$K$1001&gt;0),Results!$K$2:$K$1001),2),"")</f>
        <v/>
      </c>
      <c r="D30" s="33">
        <f t="array" ref="D30">IFERROR(LARGE(IF((Results!$C$2:$C$1001=$A30)*(Results!$B$2:$B$1001=600)*(Results!$K$2:$K$1001&gt;0),Results!$K$2:$K$1001),1),"")</f>
        <v/>
      </c>
      <c r="E30" s="33">
        <f t="array" ref="E30">IFERROR(LARGE(IF((Results!$C$2:$C$1001=$A30)*(Results!$B$2:$B$1001=600)*(Results!$K$2:$K$1001&gt;0),Results!$K$2:$K$1001),2),"")</f>
        <v/>
      </c>
      <c r="F30" s="33">
        <f t="array" ref="F30">IFERROR(LARGE(IF((Results!$C$2:$C$1001=$A30)*(Results!$B$2:$B$1001=700)*(Results!$K$2:$K$1001&gt;0),Results!$K$2:$K$1001),1),"")</f>
        <v/>
      </c>
      <c r="G30" s="33">
        <f t="array" ref="G30">IFERROR(LARGE(IF((Results!$C$2:$C$1001=$A30)*(Results!$B$2:$B$1001=700)*(Results!$K$2:$K$1001&gt;0),Results!$K$2:$K$1001),2),"")</f>
        <v/>
      </c>
      <c r="H30" s="33">
        <f t="array" ref="H30">IFERROR(LARGE(IF((Results!$C$2:$C$1001=$A30)*(Results!$B$2:$B$1001=800)*(Results!$K$2:$K$1001&gt;0),Results!$K$2:$K$1001),1),"")</f>
        <v/>
      </c>
      <c r="I30" s="33">
        <f t="array" ref="I30">IFERROR(LARGE(IF((Results!$C$2:$C$1001=$A30)*(Results!$B$2:$B$1001=800)*(Results!$K$2:$K$1001&gt;0),Results!$K$2:$K$1001),2),"")</f>
        <v/>
      </c>
      <c r="J30" s="33">
        <f t="array" ref="J30">IFERROR(LARGE(IF((Results!$C$2:$C$1001=$A30)*(Results!$B$2:$B$1001=900)*(Results!$K$2:$K$1001&gt;0),Results!$K$2:$K$1001),1),"")</f>
        <v/>
      </c>
      <c r="K30" s="33">
        <f t="array" ref="K30">IFERROR(LARGE(IF((Results!$C$2:$C$1001=$A30)*(Results!$B$2:$B$1001=900)*(Results!$K$2:$K$1001&gt;0),Results!$K$2:$K$1001),2),"")</f>
        <v/>
      </c>
      <c r="L30" s="33">
        <f t="array" ref="L30">IF($A30="","",IFERROR(LARGE(IF((Results!$C$2:$C$1001=$A30)*(Results!$B$2:$B$1001=500)*(Results!$K$2:$K$1001&gt;0),Results!$K$2:$K$1001),1),0)+IFERROR(LARGE(IF((Results!$C$2:$C$1001=$A30)*(Results!$B$2:$B$1001=500)*(Results!$K$2:$K$1001&gt;0),Results!$K$2:$K$1001),2),0)+IFERROR(LARGE(IF((Results!$C$2:$C$1001=$A30)*(Results!$B$2:$B$1001=600)*(Results!$K$2:$K$1001&gt;0),Results!$K$2:$K$1001),1),0)+IFERROR(LARGE(IF((Results!$C$2:$C$1001=$A30)*(Results!$B$2:$B$1001=600)*(Results!$K$2:$K$1001&gt;0),Results!$K$2:$K$1001),2),0)+IFERROR(LARGE(IF((Results!$C$2:$C$1001=$A30)*(Results!$B$2:$B$1001=700)*(Results!$K$2:$K$1001&gt;0),Results!$K$2:$K$1001),1),0)+IFERROR(LARGE(IF((Results!$C$2:$C$1001=$A30)*(Results!$B$2:$B$1001=700)*(Results!$K$2:$K$1001&gt;0),Results!$K$2:$K$1001),2),0)+IFERROR(LARGE(IF((Results!$C$2:$C$1001=$A30)*(Results!$B$2:$B$1001=800)*(Results!$K$2:$K$1001&gt;0),Results!$K$2:$K$1001),1),0)+IFERROR(LARGE(IF((Results!$C$2:$C$1001=$A30)*(Results!$B$2:$B$1001=800)*(Results!$K$2:$K$1001&gt;0),Results!$K$2:$K$1001),2),0)+IFERROR(LARGE(IF((Results!$C$2:$C$1001=$A30)*(Results!$B$2:$B$1001=900)*(Results!$K$2:$K$1001&gt;0),Results!$K$2:$K$1001),1),0)+IFERROR(LARGE(IF((Results!$C$2:$C$1001=$A30)*(Results!$B$2:$B$1001=900)*(Results!$K$2:$K$1001&gt;0),Results!$K$2:$K$1001),2),0))</f>
        <v/>
      </c>
      <c r="M30" s="34">
        <f>IFERROR(IF(OR(L30=0,L30=""),"",RANK(L30,$L$4:$L$70,0)),"")</f>
        <v/>
      </c>
      <c r="N30" s="16">
        <f>IF($A30="","",IFERROR(AVERAGEIF(B30:K30,"&gt;"&amp;0),0))</f>
        <v/>
      </c>
    </row>
    <row r="31" ht="13.5" customHeight="1">
      <c r="A31" s="2">
        <f t="array" ref="A31">IFERROR(INDEX(Results!$C$2:$C$1001,MATCH(0,COUNTIF($A$3:A30,Results!$C$2:$C$1001)+(Results!$C$2:$C$1001=""),0)),"")</f>
        <v/>
      </c>
      <c r="B31" s="33">
        <f t="array" ref="B31">IFERROR(LARGE(IF((Results!$C$2:$C$1001=$A31)*(Results!$B$2:$B$1001=500)*(Results!$K$2:$K$1001&gt;0),Results!$K$2:$K$1001),1),"")</f>
        <v/>
      </c>
      <c r="C31" s="33">
        <f t="array" ref="C31">IFERROR(LARGE(IF((Results!$C$2:$C$1001=$A31)*(Results!$B$2:$B$1001=500)*(Results!$K$2:$K$1001&gt;0),Results!$K$2:$K$1001),2),"")</f>
        <v/>
      </c>
      <c r="D31" s="33">
        <f t="array" ref="D31">IFERROR(LARGE(IF((Results!$C$2:$C$1001=$A31)*(Results!$B$2:$B$1001=600)*(Results!$K$2:$K$1001&gt;0),Results!$K$2:$K$1001),1),"")</f>
        <v/>
      </c>
      <c r="E31" s="33">
        <f t="array" ref="E31">IFERROR(LARGE(IF((Results!$C$2:$C$1001=$A31)*(Results!$B$2:$B$1001=600)*(Results!$K$2:$K$1001&gt;0),Results!$K$2:$K$1001),2),"")</f>
        <v/>
      </c>
      <c r="F31" s="33">
        <f t="array" ref="F31">IFERROR(LARGE(IF((Results!$C$2:$C$1001=$A31)*(Results!$B$2:$B$1001=700)*(Results!$K$2:$K$1001&gt;0),Results!$K$2:$K$1001),1),"")</f>
        <v/>
      </c>
      <c r="G31" s="33">
        <f t="array" ref="G31">IFERROR(LARGE(IF((Results!$C$2:$C$1001=$A31)*(Results!$B$2:$B$1001=700)*(Results!$K$2:$K$1001&gt;0),Results!$K$2:$K$1001),2),"")</f>
        <v/>
      </c>
      <c r="H31" s="33">
        <f t="array" ref="H31">IFERROR(LARGE(IF((Results!$C$2:$C$1001=$A31)*(Results!$B$2:$B$1001=800)*(Results!$K$2:$K$1001&gt;0),Results!$K$2:$K$1001),1),"")</f>
        <v/>
      </c>
      <c r="I31" s="33">
        <f t="array" ref="I31">IFERROR(LARGE(IF((Results!$C$2:$C$1001=$A31)*(Results!$B$2:$B$1001=800)*(Results!$K$2:$K$1001&gt;0),Results!$K$2:$K$1001),2),"")</f>
        <v/>
      </c>
      <c r="J31" s="33">
        <f t="array" ref="J31">IFERROR(LARGE(IF((Results!$C$2:$C$1001=$A31)*(Results!$B$2:$B$1001=900)*(Results!$K$2:$K$1001&gt;0),Results!$K$2:$K$1001),1),"")</f>
        <v/>
      </c>
      <c r="K31" s="33">
        <f t="array" ref="K31">IFERROR(LARGE(IF((Results!$C$2:$C$1001=$A31)*(Results!$B$2:$B$1001=900)*(Results!$K$2:$K$1001&gt;0),Results!$K$2:$K$1001),2),"")</f>
        <v/>
      </c>
      <c r="L31" s="33">
        <f t="array" ref="L31">IF($A31="","",IFERROR(LARGE(IF((Results!$C$2:$C$1001=$A31)*(Results!$B$2:$B$1001=500)*(Results!$K$2:$K$1001&gt;0),Results!$K$2:$K$1001),1),0)+IFERROR(LARGE(IF((Results!$C$2:$C$1001=$A31)*(Results!$B$2:$B$1001=500)*(Results!$K$2:$K$1001&gt;0),Results!$K$2:$K$1001),2),0)+IFERROR(LARGE(IF((Results!$C$2:$C$1001=$A31)*(Results!$B$2:$B$1001=600)*(Results!$K$2:$K$1001&gt;0),Results!$K$2:$K$1001),1),0)+IFERROR(LARGE(IF((Results!$C$2:$C$1001=$A31)*(Results!$B$2:$B$1001=600)*(Results!$K$2:$K$1001&gt;0),Results!$K$2:$K$1001),2),0)+IFERROR(LARGE(IF((Results!$C$2:$C$1001=$A31)*(Results!$B$2:$B$1001=700)*(Results!$K$2:$K$1001&gt;0),Results!$K$2:$K$1001),1),0)+IFERROR(LARGE(IF((Results!$C$2:$C$1001=$A31)*(Results!$B$2:$B$1001=700)*(Results!$K$2:$K$1001&gt;0),Results!$K$2:$K$1001),2),0)+IFERROR(LARGE(IF((Results!$C$2:$C$1001=$A31)*(Results!$B$2:$B$1001=800)*(Results!$K$2:$K$1001&gt;0),Results!$K$2:$K$1001),1),0)+IFERROR(LARGE(IF((Results!$C$2:$C$1001=$A31)*(Results!$B$2:$B$1001=800)*(Results!$K$2:$K$1001&gt;0),Results!$K$2:$K$1001),2),0)+IFERROR(LARGE(IF((Results!$C$2:$C$1001=$A31)*(Results!$B$2:$B$1001=900)*(Results!$K$2:$K$1001&gt;0),Results!$K$2:$K$1001),1),0)+IFERROR(LARGE(IF((Results!$C$2:$C$1001=$A31)*(Results!$B$2:$B$1001=900)*(Results!$K$2:$K$1001&gt;0),Results!$K$2:$K$1001),2),0))</f>
        <v/>
      </c>
      <c r="M31" s="34">
        <f>IFERROR(IF(OR(L31=0,L31=""),"",RANK(L31,$L$4:$L$70,0)),"")</f>
        <v/>
      </c>
      <c r="N31" s="16">
        <f>IF($A31="","",IFERROR(AVERAGEIF(B31:K31,"&gt;"&amp;0),0))</f>
        <v/>
      </c>
    </row>
    <row r="32" ht="13.5" customHeight="1">
      <c r="A32" s="2">
        <f t="array" ref="A32">IFERROR(INDEX(Results!$C$2:$C$1001,MATCH(0,COUNTIF($A$3:A31,Results!$C$2:$C$1001)+(Results!$C$2:$C$1001=""),0)),"")</f>
        <v/>
      </c>
      <c r="B32" s="33">
        <f t="array" ref="B32">IFERROR(LARGE(IF((Results!$C$2:$C$1001=$A32)*(Results!$B$2:$B$1001=500)*(Results!$K$2:$K$1001&gt;0),Results!$K$2:$K$1001),1),"")</f>
        <v/>
      </c>
      <c r="C32" s="33">
        <f t="array" ref="C32">IFERROR(LARGE(IF((Results!$C$2:$C$1001=$A32)*(Results!$B$2:$B$1001=500)*(Results!$K$2:$K$1001&gt;0),Results!$K$2:$K$1001),2),"")</f>
        <v/>
      </c>
      <c r="D32" s="33">
        <f t="array" ref="D32">IFERROR(LARGE(IF((Results!$C$2:$C$1001=$A32)*(Results!$B$2:$B$1001=600)*(Results!$K$2:$K$1001&gt;0),Results!$K$2:$K$1001),1),"")</f>
        <v/>
      </c>
      <c r="E32" s="33">
        <f t="array" ref="E32">IFERROR(LARGE(IF((Results!$C$2:$C$1001=$A32)*(Results!$B$2:$B$1001=600)*(Results!$K$2:$K$1001&gt;0),Results!$K$2:$K$1001),2),"")</f>
        <v/>
      </c>
      <c r="F32" s="33">
        <f t="array" ref="F32">IFERROR(LARGE(IF((Results!$C$2:$C$1001=$A32)*(Results!$B$2:$B$1001=700)*(Results!$K$2:$K$1001&gt;0),Results!$K$2:$K$1001),1),"")</f>
        <v/>
      </c>
      <c r="G32" s="33">
        <f t="array" ref="G32">IFERROR(LARGE(IF((Results!$C$2:$C$1001=$A32)*(Results!$B$2:$B$1001=700)*(Results!$K$2:$K$1001&gt;0),Results!$K$2:$K$1001),2),"")</f>
        <v/>
      </c>
      <c r="H32" s="33">
        <f t="array" ref="H32">IFERROR(LARGE(IF((Results!$C$2:$C$1001=$A32)*(Results!$B$2:$B$1001=800)*(Results!$K$2:$K$1001&gt;0),Results!$K$2:$K$1001),1),"")</f>
        <v/>
      </c>
      <c r="I32" s="33">
        <f t="array" ref="I32">IFERROR(LARGE(IF((Results!$C$2:$C$1001=$A32)*(Results!$B$2:$B$1001=800)*(Results!$K$2:$K$1001&gt;0),Results!$K$2:$K$1001),2),"")</f>
        <v/>
      </c>
      <c r="J32" s="33">
        <f t="array" ref="J32">IFERROR(LARGE(IF((Results!$C$2:$C$1001=$A32)*(Results!$B$2:$B$1001=900)*(Results!$K$2:$K$1001&gt;0),Results!$K$2:$K$1001),1),"")</f>
        <v/>
      </c>
      <c r="K32" s="33">
        <f t="array" ref="K32">IFERROR(LARGE(IF((Results!$C$2:$C$1001=$A32)*(Results!$B$2:$B$1001=900)*(Results!$K$2:$K$1001&gt;0),Results!$K$2:$K$1001),2),"")</f>
        <v/>
      </c>
      <c r="L32" s="33">
        <f t="array" ref="L32">IF($A32="","",IFERROR(LARGE(IF((Results!$C$2:$C$1001=$A32)*(Results!$B$2:$B$1001=500)*(Results!$K$2:$K$1001&gt;0),Results!$K$2:$K$1001),1),0)+IFERROR(LARGE(IF((Results!$C$2:$C$1001=$A32)*(Results!$B$2:$B$1001=500)*(Results!$K$2:$K$1001&gt;0),Results!$K$2:$K$1001),2),0)+IFERROR(LARGE(IF((Results!$C$2:$C$1001=$A32)*(Results!$B$2:$B$1001=600)*(Results!$K$2:$K$1001&gt;0),Results!$K$2:$K$1001),1),0)+IFERROR(LARGE(IF((Results!$C$2:$C$1001=$A32)*(Results!$B$2:$B$1001=600)*(Results!$K$2:$K$1001&gt;0),Results!$K$2:$K$1001),2),0)+IFERROR(LARGE(IF((Results!$C$2:$C$1001=$A32)*(Results!$B$2:$B$1001=700)*(Results!$K$2:$K$1001&gt;0),Results!$K$2:$K$1001),1),0)+IFERROR(LARGE(IF((Results!$C$2:$C$1001=$A32)*(Results!$B$2:$B$1001=700)*(Results!$K$2:$K$1001&gt;0),Results!$K$2:$K$1001),2),0)+IFERROR(LARGE(IF((Results!$C$2:$C$1001=$A32)*(Results!$B$2:$B$1001=800)*(Results!$K$2:$K$1001&gt;0),Results!$K$2:$K$1001),1),0)+IFERROR(LARGE(IF((Results!$C$2:$C$1001=$A32)*(Results!$B$2:$B$1001=800)*(Results!$K$2:$K$1001&gt;0),Results!$K$2:$K$1001),2),0)+IFERROR(LARGE(IF((Results!$C$2:$C$1001=$A32)*(Results!$B$2:$B$1001=900)*(Results!$K$2:$K$1001&gt;0),Results!$K$2:$K$1001),1),0)+IFERROR(LARGE(IF((Results!$C$2:$C$1001=$A32)*(Results!$B$2:$B$1001=900)*(Results!$K$2:$K$1001&gt;0),Results!$K$2:$K$1001),2),0))</f>
        <v/>
      </c>
      <c r="M32" s="34">
        <f>IFERROR(IF(OR(L32=0,L32=""),"",RANK(L32,$L$4:$L$70,0)),"")</f>
        <v/>
      </c>
      <c r="N32" s="16">
        <f>IF($A32="","",IFERROR(AVERAGEIF(B32:K32,"&gt;"&amp;0),0))</f>
        <v/>
      </c>
    </row>
    <row r="33" ht="13.5" customHeight="1">
      <c r="A33" s="2">
        <f t="array" ref="A33">IFERROR(INDEX(Results!$C$2:$C$1001,MATCH(0,COUNTIF($A$3:A32,Results!$C$2:$C$1001)+(Results!$C$2:$C$1001=""),0)),"")</f>
        <v/>
      </c>
      <c r="B33" s="33">
        <f t="array" ref="B33">IFERROR(LARGE(IF((Results!$C$2:$C$1001=$A33)*(Results!$B$2:$B$1001=500)*(Results!$K$2:$K$1001&gt;0),Results!$K$2:$K$1001),1),"")</f>
        <v/>
      </c>
      <c r="C33" s="33">
        <f t="array" ref="C33">IFERROR(LARGE(IF((Results!$C$2:$C$1001=$A33)*(Results!$B$2:$B$1001=500)*(Results!$K$2:$K$1001&gt;0),Results!$K$2:$K$1001),2),"")</f>
        <v/>
      </c>
      <c r="D33" s="33">
        <f t="array" ref="D33">IFERROR(LARGE(IF((Results!$C$2:$C$1001=$A33)*(Results!$B$2:$B$1001=600)*(Results!$K$2:$K$1001&gt;0),Results!$K$2:$K$1001),1),"")</f>
        <v/>
      </c>
      <c r="E33" s="33">
        <f t="array" ref="E33">IFERROR(LARGE(IF((Results!$C$2:$C$1001=$A33)*(Results!$B$2:$B$1001=600)*(Results!$K$2:$K$1001&gt;0),Results!$K$2:$K$1001),2),"")</f>
        <v/>
      </c>
      <c r="F33" s="33">
        <f t="array" ref="F33">IFERROR(LARGE(IF((Results!$C$2:$C$1001=$A33)*(Results!$B$2:$B$1001=700)*(Results!$K$2:$K$1001&gt;0),Results!$K$2:$K$1001),1),"")</f>
        <v/>
      </c>
      <c r="G33" s="33">
        <f t="array" ref="G33">IFERROR(LARGE(IF((Results!$C$2:$C$1001=$A33)*(Results!$B$2:$B$1001=700)*(Results!$K$2:$K$1001&gt;0),Results!$K$2:$K$1001),2),"")</f>
        <v/>
      </c>
      <c r="H33" s="33">
        <f t="array" ref="H33">IFERROR(LARGE(IF((Results!$C$2:$C$1001=$A33)*(Results!$B$2:$B$1001=800)*(Results!$K$2:$K$1001&gt;0),Results!$K$2:$K$1001),1),"")</f>
        <v/>
      </c>
      <c r="I33" s="33">
        <f t="array" ref="I33">IFERROR(LARGE(IF((Results!$C$2:$C$1001=$A33)*(Results!$B$2:$B$1001=800)*(Results!$K$2:$K$1001&gt;0),Results!$K$2:$K$1001),2),"")</f>
        <v/>
      </c>
      <c r="J33" s="33">
        <f t="array" ref="J33">IFERROR(LARGE(IF((Results!$C$2:$C$1001=$A33)*(Results!$B$2:$B$1001=900)*(Results!$K$2:$K$1001&gt;0),Results!$K$2:$K$1001),1),"")</f>
        <v/>
      </c>
      <c r="K33" s="33">
        <f t="array" ref="K33">IFERROR(LARGE(IF((Results!$C$2:$C$1001=$A33)*(Results!$B$2:$B$1001=900)*(Results!$K$2:$K$1001&gt;0),Results!$K$2:$K$1001),2),"")</f>
        <v/>
      </c>
      <c r="L33" s="33">
        <f t="array" ref="L33">IF($A33="","",IFERROR(LARGE(IF((Results!$C$2:$C$1001=$A33)*(Results!$B$2:$B$1001=500)*(Results!$K$2:$K$1001&gt;0),Results!$K$2:$K$1001),1),0)+IFERROR(LARGE(IF((Results!$C$2:$C$1001=$A33)*(Results!$B$2:$B$1001=500)*(Results!$K$2:$K$1001&gt;0),Results!$K$2:$K$1001),2),0)+IFERROR(LARGE(IF((Results!$C$2:$C$1001=$A33)*(Results!$B$2:$B$1001=600)*(Results!$K$2:$K$1001&gt;0),Results!$K$2:$K$1001),1),0)+IFERROR(LARGE(IF((Results!$C$2:$C$1001=$A33)*(Results!$B$2:$B$1001=600)*(Results!$K$2:$K$1001&gt;0),Results!$K$2:$K$1001),2),0)+IFERROR(LARGE(IF((Results!$C$2:$C$1001=$A33)*(Results!$B$2:$B$1001=700)*(Results!$K$2:$K$1001&gt;0),Results!$K$2:$K$1001),1),0)+IFERROR(LARGE(IF((Results!$C$2:$C$1001=$A33)*(Results!$B$2:$B$1001=700)*(Results!$K$2:$K$1001&gt;0),Results!$K$2:$K$1001),2),0)+IFERROR(LARGE(IF((Results!$C$2:$C$1001=$A33)*(Results!$B$2:$B$1001=800)*(Results!$K$2:$K$1001&gt;0),Results!$K$2:$K$1001),1),0)+IFERROR(LARGE(IF((Results!$C$2:$C$1001=$A33)*(Results!$B$2:$B$1001=800)*(Results!$K$2:$K$1001&gt;0),Results!$K$2:$K$1001),2),0)+IFERROR(LARGE(IF((Results!$C$2:$C$1001=$A33)*(Results!$B$2:$B$1001=900)*(Results!$K$2:$K$1001&gt;0),Results!$K$2:$K$1001),1),0)+IFERROR(LARGE(IF((Results!$C$2:$C$1001=$A33)*(Results!$B$2:$B$1001=900)*(Results!$K$2:$K$1001&gt;0),Results!$K$2:$K$1001),2),0))</f>
        <v/>
      </c>
      <c r="M33" s="34">
        <f>IFERROR(IF(OR(L33=0,L33=""),"",RANK(L33,$L$4:$L$70,0)),"")</f>
        <v/>
      </c>
      <c r="N33" s="16">
        <f>IF($A33="","",IFERROR(AVERAGEIF(B33:K33,"&gt;"&amp;0),0))</f>
        <v/>
      </c>
    </row>
    <row r="34" ht="13.5" customHeight="1">
      <c r="A34" s="2">
        <f t="array" ref="A34">IFERROR(INDEX(Results!$C$2:$C$1001,MATCH(0,COUNTIF($A$3:A33,Results!$C$2:$C$1001)+(Results!$C$2:$C$1001=""),0)),"")</f>
        <v/>
      </c>
      <c r="B34" s="33">
        <f t="array" ref="B34">IFERROR(LARGE(IF((Results!$C$2:$C$1001=$A34)*(Results!$B$2:$B$1001=500)*(Results!$K$2:$K$1001&gt;0),Results!$K$2:$K$1001),1),"")</f>
        <v/>
      </c>
      <c r="C34" s="33">
        <f t="array" ref="C34">IFERROR(LARGE(IF((Results!$C$2:$C$1001=$A34)*(Results!$B$2:$B$1001=500)*(Results!$K$2:$K$1001&gt;0),Results!$K$2:$K$1001),2),"")</f>
        <v/>
      </c>
      <c r="D34" s="33">
        <f t="array" ref="D34">IFERROR(LARGE(IF((Results!$C$2:$C$1001=$A34)*(Results!$B$2:$B$1001=600)*(Results!$K$2:$K$1001&gt;0),Results!$K$2:$K$1001),1),"")</f>
        <v/>
      </c>
      <c r="E34" s="33">
        <f t="array" ref="E34">IFERROR(LARGE(IF((Results!$C$2:$C$1001=$A34)*(Results!$B$2:$B$1001=600)*(Results!$K$2:$K$1001&gt;0),Results!$K$2:$K$1001),2),"")</f>
        <v/>
      </c>
      <c r="F34" s="33">
        <f t="array" ref="F34">IFERROR(LARGE(IF((Results!$C$2:$C$1001=$A34)*(Results!$B$2:$B$1001=700)*(Results!$K$2:$K$1001&gt;0),Results!$K$2:$K$1001),1),"")</f>
        <v/>
      </c>
      <c r="G34" s="33">
        <f t="array" ref="G34">IFERROR(LARGE(IF((Results!$C$2:$C$1001=$A34)*(Results!$B$2:$B$1001=700)*(Results!$K$2:$K$1001&gt;0),Results!$K$2:$K$1001),2),"")</f>
        <v/>
      </c>
      <c r="H34" s="33">
        <f t="array" ref="H34">IFERROR(LARGE(IF((Results!$C$2:$C$1001=$A34)*(Results!$B$2:$B$1001=800)*(Results!$K$2:$K$1001&gt;0),Results!$K$2:$K$1001),1),"")</f>
        <v/>
      </c>
      <c r="I34" s="33">
        <f t="array" ref="I34">IFERROR(LARGE(IF((Results!$C$2:$C$1001=$A34)*(Results!$B$2:$B$1001=800)*(Results!$K$2:$K$1001&gt;0),Results!$K$2:$K$1001),2),"")</f>
        <v/>
      </c>
      <c r="J34" s="33">
        <f t="array" ref="J34">IFERROR(LARGE(IF((Results!$C$2:$C$1001=$A34)*(Results!$B$2:$B$1001=900)*(Results!$K$2:$K$1001&gt;0),Results!$K$2:$K$1001),1),"")</f>
        <v/>
      </c>
      <c r="K34" s="33">
        <f t="array" ref="K34">IFERROR(LARGE(IF((Results!$C$2:$C$1001=$A34)*(Results!$B$2:$B$1001=900)*(Results!$K$2:$K$1001&gt;0),Results!$K$2:$K$1001),2),"")</f>
        <v/>
      </c>
      <c r="L34" s="33">
        <f t="array" ref="L34">IF($A34="","",IFERROR(LARGE(IF((Results!$C$2:$C$1001=$A34)*(Results!$B$2:$B$1001=500)*(Results!$K$2:$K$1001&gt;0),Results!$K$2:$K$1001),1),0)+IFERROR(LARGE(IF((Results!$C$2:$C$1001=$A34)*(Results!$B$2:$B$1001=500)*(Results!$K$2:$K$1001&gt;0),Results!$K$2:$K$1001),2),0)+IFERROR(LARGE(IF((Results!$C$2:$C$1001=$A34)*(Results!$B$2:$B$1001=600)*(Results!$K$2:$K$1001&gt;0),Results!$K$2:$K$1001),1),0)+IFERROR(LARGE(IF((Results!$C$2:$C$1001=$A34)*(Results!$B$2:$B$1001=600)*(Results!$K$2:$K$1001&gt;0),Results!$K$2:$K$1001),2),0)+IFERROR(LARGE(IF((Results!$C$2:$C$1001=$A34)*(Results!$B$2:$B$1001=700)*(Results!$K$2:$K$1001&gt;0),Results!$K$2:$K$1001),1),0)+IFERROR(LARGE(IF((Results!$C$2:$C$1001=$A34)*(Results!$B$2:$B$1001=700)*(Results!$K$2:$K$1001&gt;0),Results!$K$2:$K$1001),2),0)+IFERROR(LARGE(IF((Results!$C$2:$C$1001=$A34)*(Results!$B$2:$B$1001=800)*(Results!$K$2:$K$1001&gt;0),Results!$K$2:$K$1001),1),0)+IFERROR(LARGE(IF((Results!$C$2:$C$1001=$A34)*(Results!$B$2:$B$1001=800)*(Results!$K$2:$K$1001&gt;0),Results!$K$2:$K$1001),2),0)+IFERROR(LARGE(IF((Results!$C$2:$C$1001=$A34)*(Results!$B$2:$B$1001=900)*(Results!$K$2:$K$1001&gt;0),Results!$K$2:$K$1001),1),0)+IFERROR(LARGE(IF((Results!$C$2:$C$1001=$A34)*(Results!$B$2:$B$1001=900)*(Results!$K$2:$K$1001&gt;0),Results!$K$2:$K$1001),2),0))</f>
        <v/>
      </c>
      <c r="M34" s="34">
        <f>IFERROR(IF(OR(L34=0,L34=""),"",RANK(L34,$L$4:$L$70,0)),"")</f>
        <v/>
      </c>
      <c r="N34" s="16">
        <f>IF($A34="","",IFERROR(AVERAGEIF(B34:K34,"&gt;"&amp;0),0))</f>
        <v/>
      </c>
    </row>
    <row r="35" ht="13.5" customHeight="1">
      <c r="A35" s="5">
        <f t="array" ref="A35">IFERROR(INDEX(Results!$C$2:$C$1001,MATCH(0,COUNTIF($A$3:A34,Results!$C$2:$C$1001)+(Results!$C$2:$C$1001=""),0)),"")</f>
        <v/>
      </c>
      <c r="B35" s="16">
        <f t="array" ref="B35">IFERROR(LARGE(IF((Results!$C$2:$C$1001=$A35)*(Results!$B$2:$B$1001=500)*(Results!$K$2:$K$1001&gt;0),Results!$K$2:$K$1001),1),"")</f>
        <v/>
      </c>
      <c r="C35" s="16">
        <f t="array" ref="C35">IFERROR(LARGE(IF((Results!$C$2:$C$1001=$A35)*(Results!$B$2:$B$1001=500)*(Results!$K$2:$K$1001&gt;0),Results!$K$2:$K$1001),2),"")</f>
        <v/>
      </c>
      <c r="D35" s="16">
        <f t="array" ref="D35">IFERROR(LARGE(IF((Results!$C$2:$C$1001=$A35)*(Results!$B$2:$B$1001=600)*(Results!$K$2:$K$1001&gt;0),Results!$K$2:$K$1001),1),"")</f>
        <v/>
      </c>
      <c r="E35" s="16">
        <f t="array" ref="E35">IFERROR(LARGE(IF((Results!$C$2:$C$1001=$A35)*(Results!$B$2:$B$1001=600)*(Results!$K$2:$K$1001&gt;0),Results!$K$2:$K$1001),2),"")</f>
        <v/>
      </c>
      <c r="F35" s="16">
        <f t="array" ref="F35">IFERROR(LARGE(IF((Results!$C$2:$C$1001=$A35)*(Results!$B$2:$B$1001=700)*(Results!$K$2:$K$1001&gt;0),Results!$K$2:$K$1001),1),"")</f>
        <v/>
      </c>
      <c r="G35" s="16">
        <f t="array" ref="G35">IFERROR(LARGE(IF((Results!$C$2:$C$1001=$A35)*(Results!$B$2:$B$1001=700)*(Results!$K$2:$K$1001&gt;0),Results!$K$2:$K$1001),2),"")</f>
        <v/>
      </c>
      <c r="H35" s="16">
        <f t="array" ref="H35">IFERROR(LARGE(IF((Results!$C$2:$C$1001=$A35)*(Results!$B$2:$B$1001=800)*(Results!$K$2:$K$1001&gt;0),Results!$K$2:$K$1001),1),"")</f>
        <v/>
      </c>
      <c r="I35" s="16">
        <f t="array" ref="I35">IFERROR(LARGE(IF((Results!$C$2:$C$1001=$A35)*(Results!$B$2:$B$1001=800)*(Results!$K$2:$K$1001&gt;0),Results!$K$2:$K$1001),2),"")</f>
        <v/>
      </c>
      <c r="J35" s="16">
        <f t="array" ref="J35">IFERROR(LARGE(IF((Results!$C$2:$C$1001=$A35)*(Results!$B$2:$B$1001=900)*(Results!$K$2:$K$1001&gt;0),Results!$K$2:$K$1001),1),"")</f>
        <v/>
      </c>
      <c r="K35" s="16">
        <f t="array" ref="K35">IFERROR(LARGE(IF((Results!$C$2:$C$1001=$A35)*(Results!$B$2:$B$1001=900)*(Results!$K$2:$K$1001&gt;0),Results!$K$2:$K$1001),2),"")</f>
        <v/>
      </c>
      <c r="L35" s="16">
        <f t="array" ref="L35">IF($A35="","",IFERROR(LARGE(IF((Results!$C$2:$C$1001=$A35)*(Results!$B$2:$B$1001=500)*(Results!$K$2:$K$1001&gt;0),Results!$K$2:$K$1001),1),0)+IFERROR(LARGE(IF((Results!$C$2:$C$1001=$A35)*(Results!$B$2:$B$1001=500)*(Results!$K$2:$K$1001&gt;0),Results!$K$2:$K$1001),2),0)+IFERROR(LARGE(IF((Results!$C$2:$C$1001=$A35)*(Results!$B$2:$B$1001=600)*(Results!$K$2:$K$1001&gt;0),Results!$K$2:$K$1001),1),0)+IFERROR(LARGE(IF((Results!$C$2:$C$1001=$A35)*(Results!$B$2:$B$1001=600)*(Results!$K$2:$K$1001&gt;0),Results!$K$2:$K$1001),2),0)+IFERROR(LARGE(IF((Results!$C$2:$C$1001=$A35)*(Results!$B$2:$B$1001=700)*(Results!$K$2:$K$1001&gt;0),Results!$K$2:$K$1001),1),0)+IFERROR(LARGE(IF((Results!$C$2:$C$1001=$A35)*(Results!$B$2:$B$1001=700)*(Results!$K$2:$K$1001&gt;0),Results!$K$2:$K$1001),2),0)+IFERROR(LARGE(IF((Results!$C$2:$C$1001=$A35)*(Results!$B$2:$B$1001=800)*(Results!$K$2:$K$1001&gt;0),Results!$K$2:$K$1001),1),0)+IFERROR(LARGE(IF((Results!$C$2:$C$1001=$A35)*(Results!$B$2:$B$1001=800)*(Results!$K$2:$K$1001&gt;0),Results!$K$2:$K$1001),2),0)+IFERROR(LARGE(IF((Results!$C$2:$C$1001=$A35)*(Results!$B$2:$B$1001=900)*(Results!$K$2:$K$1001&gt;0),Results!$K$2:$K$1001),1),0)+IFERROR(LARGE(IF((Results!$C$2:$C$1001=$A35)*(Results!$B$2:$B$1001=900)*(Results!$K$2:$K$1001&gt;0),Results!$K$2:$K$1001),2),0))</f>
        <v/>
      </c>
      <c r="M35" s="32">
        <f>IFERROR(IF(OR(L35=0,L35=""),"",RANK(L35,$L$4:$L$70,0)),"")</f>
        <v/>
      </c>
      <c r="N35" s="16">
        <f>IF($A35="","",IFERROR(AVERAGEIF(B35:K35,"&gt;"&amp;0),0))</f>
        <v/>
      </c>
    </row>
    <row r="36" ht="13.5" customHeight="1">
      <c r="A36" s="5">
        <f t="array" ref="A36">IFERROR(INDEX(Results!$C$2:$C$1001,MATCH(0,COUNTIF($A$3:A35,Results!$C$2:$C$1001)+(Results!$C$2:$C$1001=""),0)),"")</f>
        <v/>
      </c>
      <c r="B36" s="16">
        <f t="array" ref="B36">IFERROR(LARGE(IF((Results!$C$2:$C$1001=$A36)*(Results!$B$2:$B$1001=500)*(Results!$K$2:$K$1001&gt;0),Results!$K$2:$K$1001),1),"")</f>
        <v/>
      </c>
      <c r="C36" s="16">
        <f t="array" ref="C36">IFERROR(LARGE(IF((Results!$C$2:$C$1001=$A36)*(Results!$B$2:$B$1001=500)*(Results!$K$2:$K$1001&gt;0),Results!$K$2:$K$1001),2),"")</f>
        <v/>
      </c>
      <c r="D36" s="16">
        <f t="array" ref="D36">IFERROR(LARGE(IF((Results!$C$2:$C$1001=$A36)*(Results!$B$2:$B$1001=600)*(Results!$K$2:$K$1001&gt;0),Results!$K$2:$K$1001),1),"")</f>
        <v/>
      </c>
      <c r="E36" s="16">
        <f t="array" ref="E36">IFERROR(LARGE(IF((Results!$C$2:$C$1001=$A36)*(Results!$B$2:$B$1001=600)*(Results!$K$2:$K$1001&gt;0),Results!$K$2:$K$1001),2),"")</f>
        <v/>
      </c>
      <c r="F36" s="16">
        <f t="array" ref="F36">IFERROR(LARGE(IF((Results!$C$2:$C$1001=$A36)*(Results!$B$2:$B$1001=700)*(Results!$K$2:$K$1001&gt;0),Results!$K$2:$K$1001),1),"")</f>
        <v/>
      </c>
      <c r="G36" s="16">
        <f t="array" ref="G36">IFERROR(LARGE(IF((Results!$C$2:$C$1001=$A36)*(Results!$B$2:$B$1001=700)*(Results!$K$2:$K$1001&gt;0),Results!$K$2:$K$1001),2),"")</f>
        <v/>
      </c>
      <c r="H36" s="16">
        <f t="array" ref="H36">IFERROR(LARGE(IF((Results!$C$2:$C$1001=$A36)*(Results!$B$2:$B$1001=800)*(Results!$K$2:$K$1001&gt;0),Results!$K$2:$K$1001),1),"")</f>
        <v/>
      </c>
      <c r="I36" s="16">
        <f t="array" ref="I36">IFERROR(LARGE(IF((Results!$C$2:$C$1001=$A36)*(Results!$B$2:$B$1001=800)*(Results!$K$2:$K$1001&gt;0),Results!$K$2:$K$1001),2),"")</f>
        <v/>
      </c>
      <c r="J36" s="16">
        <f t="array" ref="J36">IFERROR(LARGE(IF((Results!$C$2:$C$1001=$A36)*(Results!$B$2:$B$1001=900)*(Results!$K$2:$K$1001&gt;0),Results!$K$2:$K$1001),1),"")</f>
        <v/>
      </c>
      <c r="K36" s="16">
        <f t="array" ref="K36">IFERROR(LARGE(IF((Results!$C$2:$C$1001=$A36)*(Results!$B$2:$B$1001=900)*(Results!$K$2:$K$1001&gt;0),Results!$K$2:$K$1001),2),"")</f>
        <v/>
      </c>
      <c r="L36" s="16">
        <f t="array" ref="L36">IF($A36="","",IFERROR(LARGE(IF((Results!$C$2:$C$1001=$A36)*(Results!$B$2:$B$1001=500)*(Results!$K$2:$K$1001&gt;0),Results!$K$2:$K$1001),1),0)+IFERROR(LARGE(IF((Results!$C$2:$C$1001=$A36)*(Results!$B$2:$B$1001=500)*(Results!$K$2:$K$1001&gt;0),Results!$K$2:$K$1001),2),0)+IFERROR(LARGE(IF((Results!$C$2:$C$1001=$A36)*(Results!$B$2:$B$1001=600)*(Results!$K$2:$K$1001&gt;0),Results!$K$2:$K$1001),1),0)+IFERROR(LARGE(IF((Results!$C$2:$C$1001=$A36)*(Results!$B$2:$B$1001=600)*(Results!$K$2:$K$1001&gt;0),Results!$K$2:$K$1001),2),0)+IFERROR(LARGE(IF((Results!$C$2:$C$1001=$A36)*(Results!$B$2:$B$1001=700)*(Results!$K$2:$K$1001&gt;0),Results!$K$2:$K$1001),1),0)+IFERROR(LARGE(IF((Results!$C$2:$C$1001=$A36)*(Results!$B$2:$B$1001=700)*(Results!$K$2:$K$1001&gt;0),Results!$K$2:$K$1001),2),0)+IFERROR(LARGE(IF((Results!$C$2:$C$1001=$A36)*(Results!$B$2:$B$1001=800)*(Results!$K$2:$K$1001&gt;0),Results!$K$2:$K$1001),1),0)+IFERROR(LARGE(IF((Results!$C$2:$C$1001=$A36)*(Results!$B$2:$B$1001=800)*(Results!$K$2:$K$1001&gt;0),Results!$K$2:$K$1001),2),0)+IFERROR(LARGE(IF((Results!$C$2:$C$1001=$A36)*(Results!$B$2:$B$1001=900)*(Results!$K$2:$K$1001&gt;0),Results!$K$2:$K$1001),1),0)+IFERROR(LARGE(IF((Results!$C$2:$C$1001=$A36)*(Results!$B$2:$B$1001=900)*(Results!$K$2:$K$1001&gt;0),Results!$K$2:$K$1001),2),0))</f>
        <v/>
      </c>
      <c r="M36" s="32">
        <f>IFERROR(IF(OR(L36=0,L36=""),"",RANK(L36,$L$4:$L$70,0)),"")</f>
        <v/>
      </c>
      <c r="N36" s="16">
        <f>IF($A36="","",IFERROR(AVERAGEIF(B36:K36,"&gt;"&amp;0),0))</f>
        <v/>
      </c>
    </row>
    <row r="37" ht="13.5" customHeight="1">
      <c r="A37" s="5">
        <f t="array" ref="A37">IFERROR(INDEX(Results!$C$2:$C$1001,MATCH(0,COUNTIF($A$3:A36,Results!$C$2:$C$1001)+(Results!$C$2:$C$1001=""),0)),"")</f>
        <v/>
      </c>
      <c r="B37" s="16">
        <f t="array" ref="B37">IFERROR(LARGE(IF((Results!$C$2:$C$1001=$A37)*(Results!$B$2:$B$1001=500)*(Results!$K$2:$K$1001&gt;0),Results!$K$2:$K$1001),1),"")</f>
        <v/>
      </c>
      <c r="C37" s="16">
        <f t="array" ref="C37">IFERROR(LARGE(IF((Results!$C$2:$C$1001=$A37)*(Results!$B$2:$B$1001=500)*(Results!$K$2:$K$1001&gt;0),Results!$K$2:$K$1001),2),"")</f>
        <v/>
      </c>
      <c r="D37" s="16">
        <f t="array" ref="D37">IFERROR(LARGE(IF((Results!$C$2:$C$1001=$A37)*(Results!$B$2:$B$1001=600)*(Results!$K$2:$K$1001&gt;0),Results!$K$2:$K$1001),1),"")</f>
        <v/>
      </c>
      <c r="E37" s="16">
        <f t="array" ref="E37">IFERROR(LARGE(IF((Results!$C$2:$C$1001=$A37)*(Results!$B$2:$B$1001=600)*(Results!$K$2:$K$1001&gt;0),Results!$K$2:$K$1001),2),"")</f>
        <v/>
      </c>
      <c r="F37" s="16">
        <f t="array" ref="F37">IFERROR(LARGE(IF((Results!$C$2:$C$1001=$A37)*(Results!$B$2:$B$1001=700)*(Results!$K$2:$K$1001&gt;0),Results!$K$2:$K$1001),1),"")</f>
        <v/>
      </c>
      <c r="G37" s="16">
        <f t="array" ref="G37">IFERROR(LARGE(IF((Results!$C$2:$C$1001=$A37)*(Results!$B$2:$B$1001=700)*(Results!$K$2:$K$1001&gt;0),Results!$K$2:$K$1001),2),"")</f>
        <v/>
      </c>
      <c r="H37" s="16">
        <f t="array" ref="H37">IFERROR(LARGE(IF((Results!$C$2:$C$1001=$A37)*(Results!$B$2:$B$1001=800)*(Results!$K$2:$K$1001&gt;0),Results!$K$2:$K$1001),1),"")</f>
        <v/>
      </c>
      <c r="I37" s="16">
        <f t="array" ref="I37">IFERROR(LARGE(IF((Results!$C$2:$C$1001=$A37)*(Results!$B$2:$B$1001=800)*(Results!$K$2:$K$1001&gt;0),Results!$K$2:$K$1001),2),"")</f>
        <v/>
      </c>
      <c r="J37" s="16">
        <f t="array" ref="J37">IFERROR(LARGE(IF((Results!$C$2:$C$1001=$A37)*(Results!$B$2:$B$1001=900)*(Results!$K$2:$K$1001&gt;0),Results!$K$2:$K$1001),1),"")</f>
        <v/>
      </c>
      <c r="K37" s="16">
        <f t="array" ref="K37">IFERROR(LARGE(IF((Results!$C$2:$C$1001=$A37)*(Results!$B$2:$B$1001=900)*(Results!$K$2:$K$1001&gt;0),Results!$K$2:$K$1001),2),"")</f>
        <v/>
      </c>
      <c r="L37" s="16">
        <f t="array" ref="L37">IF($A37="","",IFERROR(LARGE(IF((Results!$C$2:$C$1001=$A37)*(Results!$B$2:$B$1001=500)*(Results!$K$2:$K$1001&gt;0),Results!$K$2:$K$1001),1),0)+IFERROR(LARGE(IF((Results!$C$2:$C$1001=$A37)*(Results!$B$2:$B$1001=500)*(Results!$K$2:$K$1001&gt;0),Results!$K$2:$K$1001),2),0)+IFERROR(LARGE(IF((Results!$C$2:$C$1001=$A37)*(Results!$B$2:$B$1001=600)*(Results!$K$2:$K$1001&gt;0),Results!$K$2:$K$1001),1),0)+IFERROR(LARGE(IF((Results!$C$2:$C$1001=$A37)*(Results!$B$2:$B$1001=600)*(Results!$K$2:$K$1001&gt;0),Results!$K$2:$K$1001),2),0)+IFERROR(LARGE(IF((Results!$C$2:$C$1001=$A37)*(Results!$B$2:$B$1001=700)*(Results!$K$2:$K$1001&gt;0),Results!$K$2:$K$1001),1),0)+IFERROR(LARGE(IF((Results!$C$2:$C$1001=$A37)*(Results!$B$2:$B$1001=700)*(Results!$K$2:$K$1001&gt;0),Results!$K$2:$K$1001),2),0)+IFERROR(LARGE(IF((Results!$C$2:$C$1001=$A37)*(Results!$B$2:$B$1001=800)*(Results!$K$2:$K$1001&gt;0),Results!$K$2:$K$1001),1),0)+IFERROR(LARGE(IF((Results!$C$2:$C$1001=$A37)*(Results!$B$2:$B$1001=800)*(Results!$K$2:$K$1001&gt;0),Results!$K$2:$K$1001),2),0)+IFERROR(LARGE(IF((Results!$C$2:$C$1001=$A37)*(Results!$B$2:$B$1001=900)*(Results!$K$2:$K$1001&gt;0),Results!$K$2:$K$1001),1),0)+IFERROR(LARGE(IF((Results!$C$2:$C$1001=$A37)*(Results!$B$2:$B$1001=900)*(Results!$K$2:$K$1001&gt;0),Results!$K$2:$K$1001),2),0))</f>
        <v/>
      </c>
      <c r="M37" s="32">
        <f>IFERROR(IF(OR(L37=0,L37=""),"",RANK(L37,$L$4:$L$70,0)),"")</f>
        <v/>
      </c>
      <c r="N37" s="16">
        <f>IF($A37="","",IFERROR(AVERAGEIF(B37:K37,"&gt;"&amp;0),0))</f>
        <v/>
      </c>
    </row>
    <row r="38" ht="13.5" customHeight="1">
      <c r="A38" s="5">
        <f t="array" ref="A38">IFERROR(INDEX(Results!$C$2:$C$1001,MATCH(0,COUNTIF($A$3:A37,Results!$C$2:$C$1001)+(Results!$C$2:$C$1001=""),0)),"")</f>
        <v/>
      </c>
      <c r="B38" s="16">
        <f t="array" ref="B38">IFERROR(LARGE(IF((Results!$C$2:$C$1001=$A38)*(Results!$B$2:$B$1001=500)*(Results!$K$2:$K$1001&gt;0),Results!$K$2:$K$1001),1),"")</f>
        <v/>
      </c>
      <c r="C38" s="16">
        <f t="array" ref="C38">IFERROR(LARGE(IF((Results!$C$2:$C$1001=$A38)*(Results!$B$2:$B$1001=500)*(Results!$K$2:$K$1001&gt;0),Results!$K$2:$K$1001),2),"")</f>
        <v/>
      </c>
      <c r="D38" s="16">
        <f t="array" ref="D38">IFERROR(LARGE(IF((Results!$C$2:$C$1001=$A38)*(Results!$B$2:$B$1001=600)*(Results!$K$2:$K$1001&gt;0),Results!$K$2:$K$1001),1),"")</f>
        <v/>
      </c>
      <c r="E38" s="16">
        <f t="array" ref="E38">IFERROR(LARGE(IF((Results!$C$2:$C$1001=$A38)*(Results!$B$2:$B$1001=600)*(Results!$K$2:$K$1001&gt;0),Results!$K$2:$K$1001),2),"")</f>
        <v/>
      </c>
      <c r="F38" s="16">
        <f t="array" ref="F38">IFERROR(LARGE(IF((Results!$C$2:$C$1001=$A38)*(Results!$B$2:$B$1001=700)*(Results!$K$2:$K$1001&gt;0),Results!$K$2:$K$1001),1),"")</f>
        <v/>
      </c>
      <c r="G38" s="16">
        <f t="array" ref="G38">IFERROR(LARGE(IF((Results!$C$2:$C$1001=$A38)*(Results!$B$2:$B$1001=700)*(Results!$K$2:$K$1001&gt;0),Results!$K$2:$K$1001),2),"")</f>
        <v/>
      </c>
      <c r="H38" s="16">
        <f t="array" ref="H38">IFERROR(LARGE(IF((Results!$C$2:$C$1001=$A38)*(Results!$B$2:$B$1001=800)*(Results!$K$2:$K$1001&gt;0),Results!$K$2:$K$1001),1),"")</f>
        <v/>
      </c>
      <c r="I38" s="16">
        <f t="array" ref="I38">IFERROR(LARGE(IF((Results!$C$2:$C$1001=$A38)*(Results!$B$2:$B$1001=800)*(Results!$K$2:$K$1001&gt;0),Results!$K$2:$K$1001),2),"")</f>
        <v/>
      </c>
      <c r="J38" s="16">
        <f t="array" ref="J38">IFERROR(LARGE(IF((Results!$C$2:$C$1001=$A38)*(Results!$B$2:$B$1001=900)*(Results!$K$2:$K$1001&gt;0),Results!$K$2:$K$1001),1),"")</f>
        <v/>
      </c>
      <c r="K38" s="16">
        <f t="array" ref="K38">IFERROR(LARGE(IF((Results!$C$2:$C$1001=$A38)*(Results!$B$2:$B$1001=900)*(Results!$K$2:$K$1001&gt;0),Results!$K$2:$K$1001),2),"")</f>
        <v/>
      </c>
      <c r="L38" s="16">
        <f t="array" ref="L38">IF($A38="","",IFERROR(LARGE(IF((Results!$C$2:$C$1001=$A38)*(Results!$B$2:$B$1001=500)*(Results!$K$2:$K$1001&gt;0),Results!$K$2:$K$1001),1),0)+IFERROR(LARGE(IF((Results!$C$2:$C$1001=$A38)*(Results!$B$2:$B$1001=500)*(Results!$K$2:$K$1001&gt;0),Results!$K$2:$K$1001),2),0)+IFERROR(LARGE(IF((Results!$C$2:$C$1001=$A38)*(Results!$B$2:$B$1001=600)*(Results!$K$2:$K$1001&gt;0),Results!$K$2:$K$1001),1),0)+IFERROR(LARGE(IF((Results!$C$2:$C$1001=$A38)*(Results!$B$2:$B$1001=600)*(Results!$K$2:$K$1001&gt;0),Results!$K$2:$K$1001),2),0)+IFERROR(LARGE(IF((Results!$C$2:$C$1001=$A38)*(Results!$B$2:$B$1001=700)*(Results!$K$2:$K$1001&gt;0),Results!$K$2:$K$1001),1),0)+IFERROR(LARGE(IF((Results!$C$2:$C$1001=$A38)*(Results!$B$2:$B$1001=700)*(Results!$K$2:$K$1001&gt;0),Results!$K$2:$K$1001),2),0)+IFERROR(LARGE(IF((Results!$C$2:$C$1001=$A38)*(Results!$B$2:$B$1001=800)*(Results!$K$2:$K$1001&gt;0),Results!$K$2:$K$1001),1),0)+IFERROR(LARGE(IF((Results!$C$2:$C$1001=$A38)*(Results!$B$2:$B$1001=800)*(Results!$K$2:$K$1001&gt;0),Results!$K$2:$K$1001),2),0)+IFERROR(LARGE(IF((Results!$C$2:$C$1001=$A38)*(Results!$B$2:$B$1001=900)*(Results!$K$2:$K$1001&gt;0),Results!$K$2:$K$1001),1),0)+IFERROR(LARGE(IF((Results!$C$2:$C$1001=$A38)*(Results!$B$2:$B$1001=900)*(Results!$K$2:$K$1001&gt;0),Results!$K$2:$K$1001),2),0))</f>
        <v/>
      </c>
      <c r="M38" s="32">
        <f>IFERROR(IF(OR(L38=0,L38=""),"",RANK(L38,$L$4:$L$70,0)),"")</f>
        <v/>
      </c>
      <c r="N38" s="16">
        <f>IF($A38="","",IFERROR(AVERAGEIF(B38:K38,"&gt;"&amp;0),0))</f>
        <v/>
      </c>
    </row>
    <row r="39" ht="13.5" customHeight="1">
      <c r="A39" s="5">
        <f t="array" ref="A39">IFERROR(INDEX(Results!$C$2:$C$1001,MATCH(0,COUNTIF($A$3:A38,Results!$C$2:$C$1001)+(Results!$C$2:$C$1001=""),0)),"")</f>
        <v/>
      </c>
      <c r="B39" s="16">
        <f t="array" ref="B39">IFERROR(LARGE(IF((Results!$C$2:$C$1001=$A39)*(Results!$B$2:$B$1001=500)*(Results!$K$2:$K$1001&gt;0),Results!$K$2:$K$1001),1),"")</f>
        <v/>
      </c>
      <c r="C39" s="16">
        <f t="array" ref="C39">IFERROR(LARGE(IF((Results!$C$2:$C$1001=$A39)*(Results!$B$2:$B$1001=500)*(Results!$K$2:$K$1001&gt;0),Results!$K$2:$K$1001),2),"")</f>
        <v/>
      </c>
      <c r="D39" s="16">
        <f t="array" ref="D39">IFERROR(LARGE(IF((Results!$C$2:$C$1001=$A39)*(Results!$B$2:$B$1001=600)*(Results!$K$2:$K$1001&gt;0),Results!$K$2:$K$1001),1),"")</f>
        <v/>
      </c>
      <c r="E39" s="16">
        <f t="array" ref="E39">IFERROR(LARGE(IF((Results!$C$2:$C$1001=$A39)*(Results!$B$2:$B$1001=600)*(Results!$K$2:$K$1001&gt;0),Results!$K$2:$K$1001),2),"")</f>
        <v/>
      </c>
      <c r="F39" s="16">
        <f t="array" ref="F39">IFERROR(LARGE(IF((Results!$C$2:$C$1001=$A39)*(Results!$B$2:$B$1001=700)*(Results!$K$2:$K$1001&gt;0),Results!$K$2:$K$1001),1),"")</f>
        <v/>
      </c>
      <c r="G39" s="16">
        <f t="array" ref="G39">IFERROR(LARGE(IF((Results!$C$2:$C$1001=$A39)*(Results!$B$2:$B$1001=700)*(Results!$K$2:$K$1001&gt;0),Results!$K$2:$K$1001),2),"")</f>
        <v/>
      </c>
      <c r="H39" s="16">
        <f t="array" ref="H39">IFERROR(LARGE(IF((Results!$C$2:$C$1001=$A39)*(Results!$B$2:$B$1001=800)*(Results!$K$2:$K$1001&gt;0),Results!$K$2:$K$1001),1),"")</f>
        <v/>
      </c>
      <c r="I39" s="16">
        <f t="array" ref="I39">IFERROR(LARGE(IF((Results!$C$2:$C$1001=$A39)*(Results!$B$2:$B$1001=800)*(Results!$K$2:$K$1001&gt;0),Results!$K$2:$K$1001),2),"")</f>
        <v/>
      </c>
      <c r="J39" s="16">
        <f t="array" ref="J39">IFERROR(LARGE(IF((Results!$C$2:$C$1001=$A39)*(Results!$B$2:$B$1001=900)*(Results!$K$2:$K$1001&gt;0),Results!$K$2:$K$1001),1),"")</f>
        <v/>
      </c>
      <c r="K39" s="16">
        <f t="array" ref="K39">IFERROR(LARGE(IF((Results!$C$2:$C$1001=$A39)*(Results!$B$2:$B$1001=900)*(Results!$K$2:$K$1001&gt;0),Results!$K$2:$K$1001),2),"")</f>
        <v/>
      </c>
      <c r="L39" s="16">
        <f t="array" ref="L39">IF($A39="","",IFERROR(LARGE(IF((Results!$C$2:$C$1001=$A39)*(Results!$B$2:$B$1001=500)*(Results!$K$2:$K$1001&gt;0),Results!$K$2:$K$1001),1),0)+IFERROR(LARGE(IF((Results!$C$2:$C$1001=$A39)*(Results!$B$2:$B$1001=500)*(Results!$K$2:$K$1001&gt;0),Results!$K$2:$K$1001),2),0)+IFERROR(LARGE(IF((Results!$C$2:$C$1001=$A39)*(Results!$B$2:$B$1001=600)*(Results!$K$2:$K$1001&gt;0),Results!$K$2:$K$1001),1),0)+IFERROR(LARGE(IF((Results!$C$2:$C$1001=$A39)*(Results!$B$2:$B$1001=600)*(Results!$K$2:$K$1001&gt;0),Results!$K$2:$K$1001),2),0)+IFERROR(LARGE(IF((Results!$C$2:$C$1001=$A39)*(Results!$B$2:$B$1001=700)*(Results!$K$2:$K$1001&gt;0),Results!$K$2:$K$1001),1),0)+IFERROR(LARGE(IF((Results!$C$2:$C$1001=$A39)*(Results!$B$2:$B$1001=700)*(Results!$K$2:$K$1001&gt;0),Results!$K$2:$K$1001),2),0)+IFERROR(LARGE(IF((Results!$C$2:$C$1001=$A39)*(Results!$B$2:$B$1001=800)*(Results!$K$2:$K$1001&gt;0),Results!$K$2:$K$1001),1),0)+IFERROR(LARGE(IF((Results!$C$2:$C$1001=$A39)*(Results!$B$2:$B$1001=800)*(Results!$K$2:$K$1001&gt;0),Results!$K$2:$K$1001),2),0)+IFERROR(LARGE(IF((Results!$C$2:$C$1001=$A39)*(Results!$B$2:$B$1001=900)*(Results!$K$2:$K$1001&gt;0),Results!$K$2:$K$1001),1),0)+IFERROR(LARGE(IF((Results!$C$2:$C$1001=$A39)*(Results!$B$2:$B$1001=900)*(Results!$K$2:$K$1001&gt;0),Results!$K$2:$K$1001),2),0))</f>
        <v/>
      </c>
      <c r="M39" s="32">
        <f>IFERROR(IF(OR(L39=0,L39=""),"",RANK(L39,$L$4:$L$70,0)),"")</f>
        <v/>
      </c>
      <c r="N39" s="16">
        <f>IF($A39="","",IFERROR(AVERAGEIF(B39:K39,"&gt;"&amp;0),0))</f>
        <v/>
      </c>
    </row>
    <row r="40" ht="13.5" customHeight="1">
      <c r="A40" s="5">
        <f t="array" ref="A40">IFERROR(INDEX(Results!$C$2:$C$1001,MATCH(0,COUNTIF($A$3:A39,Results!$C$2:$C$1001)+(Results!$C$2:$C$1001=""),0)),"")</f>
        <v/>
      </c>
      <c r="B40" s="16">
        <f t="array" ref="B40">IFERROR(LARGE(IF((Results!$C$2:$C$1001=$A40)*(Results!$B$2:$B$1001=500)*(Results!$K$2:$K$1001&gt;0),Results!$K$2:$K$1001),1),"")</f>
        <v/>
      </c>
      <c r="C40" s="16">
        <f t="array" ref="C40">IFERROR(LARGE(IF((Results!$C$2:$C$1001=$A40)*(Results!$B$2:$B$1001=500)*(Results!$K$2:$K$1001&gt;0),Results!$K$2:$K$1001),2),"")</f>
        <v/>
      </c>
      <c r="D40" s="16">
        <f t="array" ref="D40">IFERROR(LARGE(IF((Results!$C$2:$C$1001=$A40)*(Results!$B$2:$B$1001=600)*(Results!$K$2:$K$1001&gt;0),Results!$K$2:$K$1001),1),"")</f>
        <v/>
      </c>
      <c r="E40" s="16">
        <f t="array" ref="E40">IFERROR(LARGE(IF((Results!$C$2:$C$1001=$A40)*(Results!$B$2:$B$1001=600)*(Results!$K$2:$K$1001&gt;0),Results!$K$2:$K$1001),2),"")</f>
        <v/>
      </c>
      <c r="F40" s="16">
        <f t="array" ref="F40">IFERROR(LARGE(IF((Results!$C$2:$C$1001=$A40)*(Results!$B$2:$B$1001=700)*(Results!$K$2:$K$1001&gt;0),Results!$K$2:$K$1001),1),"")</f>
        <v/>
      </c>
      <c r="G40" s="16">
        <f t="array" ref="G40">IFERROR(LARGE(IF((Results!$C$2:$C$1001=$A40)*(Results!$B$2:$B$1001=700)*(Results!$K$2:$K$1001&gt;0),Results!$K$2:$K$1001),2),"")</f>
        <v/>
      </c>
      <c r="H40" s="16">
        <f t="array" ref="H40">IFERROR(LARGE(IF((Results!$C$2:$C$1001=$A40)*(Results!$B$2:$B$1001=800)*(Results!$K$2:$K$1001&gt;0),Results!$K$2:$K$1001),1),"")</f>
        <v/>
      </c>
      <c r="I40" s="16">
        <f t="array" ref="I40">IFERROR(LARGE(IF((Results!$C$2:$C$1001=$A40)*(Results!$B$2:$B$1001=800)*(Results!$K$2:$K$1001&gt;0),Results!$K$2:$K$1001),2),"")</f>
        <v/>
      </c>
      <c r="J40" s="16">
        <f t="array" ref="J40">IFERROR(LARGE(IF((Results!$C$2:$C$1001=$A40)*(Results!$B$2:$B$1001=900)*(Results!$K$2:$K$1001&gt;0),Results!$K$2:$K$1001),1),"")</f>
        <v/>
      </c>
      <c r="K40" s="16">
        <f t="array" ref="K40">IFERROR(LARGE(IF((Results!$C$2:$C$1001=$A40)*(Results!$B$2:$B$1001=900)*(Results!$K$2:$K$1001&gt;0),Results!$K$2:$K$1001),2),"")</f>
        <v/>
      </c>
      <c r="L40" s="16">
        <f t="array" ref="L40">IF($A40="","",IFERROR(LARGE(IF((Results!$C$2:$C$1001=$A40)*(Results!$B$2:$B$1001=500)*(Results!$K$2:$K$1001&gt;0),Results!$K$2:$K$1001),1),0)+IFERROR(LARGE(IF((Results!$C$2:$C$1001=$A40)*(Results!$B$2:$B$1001=500)*(Results!$K$2:$K$1001&gt;0),Results!$K$2:$K$1001),2),0)+IFERROR(LARGE(IF((Results!$C$2:$C$1001=$A40)*(Results!$B$2:$B$1001=600)*(Results!$K$2:$K$1001&gt;0),Results!$K$2:$K$1001),1),0)+IFERROR(LARGE(IF((Results!$C$2:$C$1001=$A40)*(Results!$B$2:$B$1001=600)*(Results!$K$2:$K$1001&gt;0),Results!$K$2:$K$1001),2),0)+IFERROR(LARGE(IF((Results!$C$2:$C$1001=$A40)*(Results!$B$2:$B$1001=700)*(Results!$K$2:$K$1001&gt;0),Results!$K$2:$K$1001),1),0)+IFERROR(LARGE(IF((Results!$C$2:$C$1001=$A40)*(Results!$B$2:$B$1001=700)*(Results!$K$2:$K$1001&gt;0),Results!$K$2:$K$1001),2),0)+IFERROR(LARGE(IF((Results!$C$2:$C$1001=$A40)*(Results!$B$2:$B$1001=800)*(Results!$K$2:$K$1001&gt;0),Results!$K$2:$K$1001),1),0)+IFERROR(LARGE(IF((Results!$C$2:$C$1001=$A40)*(Results!$B$2:$B$1001=800)*(Results!$K$2:$K$1001&gt;0),Results!$K$2:$K$1001),2),0)+IFERROR(LARGE(IF((Results!$C$2:$C$1001=$A40)*(Results!$B$2:$B$1001=900)*(Results!$K$2:$K$1001&gt;0),Results!$K$2:$K$1001),1),0)+IFERROR(LARGE(IF((Results!$C$2:$C$1001=$A40)*(Results!$B$2:$B$1001=900)*(Results!$K$2:$K$1001&gt;0),Results!$K$2:$K$1001),2),0))</f>
        <v/>
      </c>
      <c r="M40" s="32">
        <f>IFERROR(IF(OR(L40=0,L40=""),"",RANK(L40,$L$4:$L$70,0)),"")</f>
        <v/>
      </c>
      <c r="N40" s="16">
        <f>IF($A40="","",IFERROR(AVERAGEIF(B40:K40,"&gt;"&amp;0),0))</f>
        <v/>
      </c>
    </row>
    <row r="41" ht="13.5" customHeight="1">
      <c r="A41" s="5">
        <f t="array" ref="A41">IFERROR(INDEX(Results!$C$2:$C$1001,MATCH(0,COUNTIF($A$3:A40,Results!$C$2:$C$1001)+(Results!$C$2:$C$1001=""),0)),"")</f>
        <v/>
      </c>
      <c r="B41" s="16">
        <f t="array" ref="B41">IFERROR(LARGE(IF((Results!$C$2:$C$1001=$A41)*(Results!$B$2:$B$1001=500)*(Results!$K$2:$K$1001&gt;0),Results!$K$2:$K$1001),1),"")</f>
        <v/>
      </c>
      <c r="C41" s="16">
        <f t="array" ref="C41">IFERROR(LARGE(IF((Results!$C$2:$C$1001=$A41)*(Results!$B$2:$B$1001=500)*(Results!$K$2:$K$1001&gt;0),Results!$K$2:$K$1001),2),"")</f>
        <v/>
      </c>
      <c r="D41" s="16">
        <f t="array" ref="D41">IFERROR(LARGE(IF((Results!$C$2:$C$1001=$A41)*(Results!$B$2:$B$1001=600)*(Results!$K$2:$K$1001&gt;0),Results!$K$2:$K$1001),1),"")</f>
        <v/>
      </c>
      <c r="E41" s="16">
        <f t="array" ref="E41">IFERROR(LARGE(IF((Results!$C$2:$C$1001=$A41)*(Results!$B$2:$B$1001=600)*(Results!$K$2:$K$1001&gt;0),Results!$K$2:$K$1001),2),"")</f>
        <v/>
      </c>
      <c r="F41" s="16">
        <f t="array" ref="F41">IFERROR(LARGE(IF((Results!$C$2:$C$1001=$A41)*(Results!$B$2:$B$1001=700)*(Results!$K$2:$K$1001&gt;0),Results!$K$2:$K$1001),1),"")</f>
        <v/>
      </c>
      <c r="G41" s="16">
        <f t="array" ref="G41">IFERROR(LARGE(IF((Results!$C$2:$C$1001=$A41)*(Results!$B$2:$B$1001=700)*(Results!$K$2:$K$1001&gt;0),Results!$K$2:$K$1001),2),"")</f>
        <v/>
      </c>
      <c r="H41" s="16">
        <f t="array" ref="H41">IFERROR(LARGE(IF((Results!$C$2:$C$1001=$A41)*(Results!$B$2:$B$1001=800)*(Results!$K$2:$K$1001&gt;0),Results!$K$2:$K$1001),1),"")</f>
        <v/>
      </c>
      <c r="I41" s="16">
        <f t="array" ref="I41">IFERROR(LARGE(IF((Results!$C$2:$C$1001=$A41)*(Results!$B$2:$B$1001=800)*(Results!$K$2:$K$1001&gt;0),Results!$K$2:$K$1001),2),"")</f>
        <v/>
      </c>
      <c r="J41" s="16">
        <f t="array" ref="J41">IFERROR(LARGE(IF((Results!$C$2:$C$1001=$A41)*(Results!$B$2:$B$1001=900)*(Results!$K$2:$K$1001&gt;0),Results!$K$2:$K$1001),1),"")</f>
        <v/>
      </c>
      <c r="K41" s="16">
        <f t="array" ref="K41">IFERROR(LARGE(IF((Results!$C$2:$C$1001=$A41)*(Results!$B$2:$B$1001=900)*(Results!$K$2:$K$1001&gt;0),Results!$K$2:$K$1001),2),"")</f>
        <v/>
      </c>
      <c r="L41" s="16">
        <f t="array" ref="L41">IF($A41="","",IFERROR(LARGE(IF((Results!$C$2:$C$1001=$A41)*(Results!$B$2:$B$1001=500)*(Results!$K$2:$K$1001&gt;0),Results!$K$2:$K$1001),1),0)+IFERROR(LARGE(IF((Results!$C$2:$C$1001=$A41)*(Results!$B$2:$B$1001=500)*(Results!$K$2:$K$1001&gt;0),Results!$K$2:$K$1001),2),0)+IFERROR(LARGE(IF((Results!$C$2:$C$1001=$A41)*(Results!$B$2:$B$1001=600)*(Results!$K$2:$K$1001&gt;0),Results!$K$2:$K$1001),1),0)+IFERROR(LARGE(IF((Results!$C$2:$C$1001=$A41)*(Results!$B$2:$B$1001=600)*(Results!$K$2:$K$1001&gt;0),Results!$K$2:$K$1001),2),0)+IFERROR(LARGE(IF((Results!$C$2:$C$1001=$A41)*(Results!$B$2:$B$1001=700)*(Results!$K$2:$K$1001&gt;0),Results!$K$2:$K$1001),1),0)+IFERROR(LARGE(IF((Results!$C$2:$C$1001=$A41)*(Results!$B$2:$B$1001=700)*(Results!$K$2:$K$1001&gt;0),Results!$K$2:$K$1001),2),0)+IFERROR(LARGE(IF((Results!$C$2:$C$1001=$A41)*(Results!$B$2:$B$1001=800)*(Results!$K$2:$K$1001&gt;0),Results!$K$2:$K$1001),1),0)+IFERROR(LARGE(IF((Results!$C$2:$C$1001=$A41)*(Results!$B$2:$B$1001=800)*(Results!$K$2:$K$1001&gt;0),Results!$K$2:$K$1001),2),0)+IFERROR(LARGE(IF((Results!$C$2:$C$1001=$A41)*(Results!$B$2:$B$1001=900)*(Results!$K$2:$K$1001&gt;0),Results!$K$2:$K$1001),1),0)+IFERROR(LARGE(IF((Results!$C$2:$C$1001=$A41)*(Results!$B$2:$B$1001=900)*(Results!$K$2:$K$1001&gt;0),Results!$K$2:$K$1001),2),0))</f>
        <v/>
      </c>
      <c r="M41" s="32">
        <f>IFERROR(IF(OR(L41=0,L41=""),"",RANK(L41,$L$4:$L$70,0)),"")</f>
        <v/>
      </c>
      <c r="N41" s="16">
        <f>IF($A41="","",IFERROR(AVERAGEIF(B41:K41,"&gt;"&amp;0),0))</f>
        <v/>
      </c>
    </row>
    <row r="42" ht="13.5" customHeight="1">
      <c r="A42" s="5">
        <f t="array" ref="A42">IFERROR(INDEX(Results!$C$2:$C$1001,MATCH(0,COUNTIF($A$3:A41,Results!$C$2:$C$1001)+(Results!$C$2:$C$1001=""),0)),"")</f>
        <v/>
      </c>
      <c r="B42" s="16">
        <f t="array" ref="B42">IFERROR(LARGE(IF((Results!$C$2:$C$1001=$A42)*(Results!$B$2:$B$1001=500)*(Results!$K$2:$K$1001&gt;0),Results!$K$2:$K$1001),1),"")</f>
        <v/>
      </c>
      <c r="C42" s="16">
        <f t="array" ref="C42">IFERROR(LARGE(IF((Results!$C$2:$C$1001=$A42)*(Results!$B$2:$B$1001=500)*(Results!$K$2:$K$1001&gt;0),Results!$K$2:$K$1001),2),"")</f>
        <v/>
      </c>
      <c r="D42" s="16">
        <f t="array" ref="D42">IFERROR(LARGE(IF((Results!$C$2:$C$1001=$A42)*(Results!$B$2:$B$1001=600)*(Results!$K$2:$K$1001&gt;0),Results!$K$2:$K$1001),1),"")</f>
        <v/>
      </c>
      <c r="E42" s="16">
        <f t="array" ref="E42">IFERROR(LARGE(IF((Results!$C$2:$C$1001=$A42)*(Results!$B$2:$B$1001=600)*(Results!$K$2:$K$1001&gt;0),Results!$K$2:$K$1001),2),"")</f>
        <v/>
      </c>
      <c r="F42" s="16">
        <f t="array" ref="F42">IFERROR(LARGE(IF((Results!$C$2:$C$1001=$A42)*(Results!$B$2:$B$1001=700)*(Results!$K$2:$K$1001&gt;0),Results!$K$2:$K$1001),1),"")</f>
        <v/>
      </c>
      <c r="G42" s="16">
        <f t="array" ref="G42">IFERROR(LARGE(IF((Results!$C$2:$C$1001=$A42)*(Results!$B$2:$B$1001=700)*(Results!$K$2:$K$1001&gt;0),Results!$K$2:$K$1001),2),"")</f>
        <v/>
      </c>
      <c r="H42" s="16">
        <f t="array" ref="H42">IFERROR(LARGE(IF((Results!$C$2:$C$1001=$A42)*(Results!$B$2:$B$1001=800)*(Results!$K$2:$K$1001&gt;0),Results!$K$2:$K$1001),1),"")</f>
        <v/>
      </c>
      <c r="I42" s="16">
        <f t="array" ref="I42">IFERROR(LARGE(IF((Results!$C$2:$C$1001=$A42)*(Results!$B$2:$B$1001=800)*(Results!$K$2:$K$1001&gt;0),Results!$K$2:$K$1001),2),"")</f>
        <v/>
      </c>
      <c r="J42" s="16">
        <f t="array" ref="J42">IFERROR(LARGE(IF((Results!$C$2:$C$1001=$A42)*(Results!$B$2:$B$1001=900)*(Results!$K$2:$K$1001&gt;0),Results!$K$2:$K$1001),1),"")</f>
        <v/>
      </c>
      <c r="K42" s="16">
        <f t="array" ref="K42">IFERROR(LARGE(IF((Results!$C$2:$C$1001=$A42)*(Results!$B$2:$B$1001=900)*(Results!$K$2:$K$1001&gt;0),Results!$K$2:$K$1001),2),"")</f>
        <v/>
      </c>
      <c r="L42" s="16">
        <f t="array" ref="L42">IF($A42="","",IFERROR(LARGE(IF((Results!$C$2:$C$1001=$A42)*(Results!$B$2:$B$1001=500)*(Results!$K$2:$K$1001&gt;0),Results!$K$2:$K$1001),1),0)+IFERROR(LARGE(IF((Results!$C$2:$C$1001=$A42)*(Results!$B$2:$B$1001=500)*(Results!$K$2:$K$1001&gt;0),Results!$K$2:$K$1001),2),0)+IFERROR(LARGE(IF((Results!$C$2:$C$1001=$A42)*(Results!$B$2:$B$1001=600)*(Results!$K$2:$K$1001&gt;0),Results!$K$2:$K$1001),1),0)+IFERROR(LARGE(IF((Results!$C$2:$C$1001=$A42)*(Results!$B$2:$B$1001=600)*(Results!$K$2:$K$1001&gt;0),Results!$K$2:$K$1001),2),0)+IFERROR(LARGE(IF((Results!$C$2:$C$1001=$A42)*(Results!$B$2:$B$1001=700)*(Results!$K$2:$K$1001&gt;0),Results!$K$2:$K$1001),1),0)+IFERROR(LARGE(IF((Results!$C$2:$C$1001=$A42)*(Results!$B$2:$B$1001=700)*(Results!$K$2:$K$1001&gt;0),Results!$K$2:$K$1001),2),0)+IFERROR(LARGE(IF((Results!$C$2:$C$1001=$A42)*(Results!$B$2:$B$1001=800)*(Results!$K$2:$K$1001&gt;0),Results!$K$2:$K$1001),1),0)+IFERROR(LARGE(IF((Results!$C$2:$C$1001=$A42)*(Results!$B$2:$B$1001=800)*(Results!$K$2:$K$1001&gt;0),Results!$K$2:$K$1001),2),0)+IFERROR(LARGE(IF((Results!$C$2:$C$1001=$A42)*(Results!$B$2:$B$1001=900)*(Results!$K$2:$K$1001&gt;0),Results!$K$2:$K$1001),1),0)+IFERROR(LARGE(IF((Results!$C$2:$C$1001=$A42)*(Results!$B$2:$B$1001=900)*(Results!$K$2:$K$1001&gt;0),Results!$K$2:$K$1001),2),0))</f>
        <v/>
      </c>
      <c r="M42" s="32">
        <f>IFERROR(IF(OR(L42=0,L42=""),"",RANK(L42,$L$4:$L$70,0)),"")</f>
        <v/>
      </c>
      <c r="N42" s="16">
        <f>IF($A42="","",IFERROR(AVERAGEIF(B42:K42,"&gt;"&amp;0),0))</f>
        <v/>
      </c>
    </row>
    <row r="43" ht="13.5" customHeight="1">
      <c r="A43" s="5">
        <f t="array" ref="A43">IFERROR(INDEX(Results!$C$2:$C$1001,MATCH(0,COUNTIF($A$3:A42,Results!$C$2:$C$1001)+(Results!$C$2:$C$1001=""),0)),"")</f>
        <v/>
      </c>
      <c r="B43" s="16">
        <f t="array" ref="B43">IFERROR(LARGE(IF((Results!$C$2:$C$1001=$A43)*(Results!$B$2:$B$1001=500)*(Results!$K$2:$K$1001&gt;0),Results!$K$2:$K$1001),1),"")</f>
        <v/>
      </c>
      <c r="C43" s="16">
        <f t="array" ref="C43">IFERROR(LARGE(IF((Results!$C$2:$C$1001=$A43)*(Results!$B$2:$B$1001=500)*(Results!$K$2:$K$1001&gt;0),Results!$K$2:$K$1001),2),"")</f>
        <v/>
      </c>
      <c r="D43" s="16">
        <f t="array" ref="D43">IFERROR(LARGE(IF((Results!$C$2:$C$1001=$A43)*(Results!$B$2:$B$1001=600)*(Results!$K$2:$K$1001&gt;0),Results!$K$2:$K$1001),1),"")</f>
        <v/>
      </c>
      <c r="E43" s="16">
        <f t="array" ref="E43">IFERROR(LARGE(IF((Results!$C$2:$C$1001=$A43)*(Results!$B$2:$B$1001=600)*(Results!$K$2:$K$1001&gt;0),Results!$K$2:$K$1001),2),"")</f>
        <v/>
      </c>
      <c r="F43" s="16">
        <f t="array" ref="F43">IFERROR(LARGE(IF((Results!$C$2:$C$1001=$A43)*(Results!$B$2:$B$1001=700)*(Results!$K$2:$K$1001&gt;0),Results!$K$2:$K$1001),1),"")</f>
        <v/>
      </c>
      <c r="G43" s="16">
        <f t="array" ref="G43">IFERROR(LARGE(IF((Results!$C$2:$C$1001=$A43)*(Results!$B$2:$B$1001=700)*(Results!$K$2:$K$1001&gt;0),Results!$K$2:$K$1001),2),"")</f>
        <v/>
      </c>
      <c r="H43" s="16">
        <f t="array" ref="H43">IFERROR(LARGE(IF((Results!$C$2:$C$1001=$A43)*(Results!$B$2:$B$1001=800)*(Results!$K$2:$K$1001&gt;0),Results!$K$2:$K$1001),1),"")</f>
        <v/>
      </c>
      <c r="I43" s="16">
        <f t="array" ref="I43">IFERROR(LARGE(IF((Results!$C$2:$C$1001=$A43)*(Results!$B$2:$B$1001=800)*(Results!$K$2:$K$1001&gt;0),Results!$K$2:$K$1001),2),"")</f>
        <v/>
      </c>
      <c r="J43" s="16">
        <f t="array" ref="J43">IFERROR(LARGE(IF((Results!$C$2:$C$1001=$A43)*(Results!$B$2:$B$1001=900)*(Results!$K$2:$K$1001&gt;0),Results!$K$2:$K$1001),1),"")</f>
        <v/>
      </c>
      <c r="K43" s="16">
        <f t="array" ref="K43">IFERROR(LARGE(IF((Results!$C$2:$C$1001=$A43)*(Results!$B$2:$B$1001=900)*(Results!$K$2:$K$1001&gt;0),Results!$K$2:$K$1001),2),"")</f>
        <v/>
      </c>
      <c r="L43" s="16">
        <f t="array" ref="L43">IF($A43="","",IFERROR(LARGE(IF((Results!$C$2:$C$1001=$A43)*(Results!$B$2:$B$1001=500)*(Results!$K$2:$K$1001&gt;0),Results!$K$2:$K$1001),1),0)+IFERROR(LARGE(IF((Results!$C$2:$C$1001=$A43)*(Results!$B$2:$B$1001=500)*(Results!$K$2:$K$1001&gt;0),Results!$K$2:$K$1001),2),0)+IFERROR(LARGE(IF((Results!$C$2:$C$1001=$A43)*(Results!$B$2:$B$1001=600)*(Results!$K$2:$K$1001&gt;0),Results!$K$2:$K$1001),1),0)+IFERROR(LARGE(IF((Results!$C$2:$C$1001=$A43)*(Results!$B$2:$B$1001=600)*(Results!$K$2:$K$1001&gt;0),Results!$K$2:$K$1001),2),0)+IFERROR(LARGE(IF((Results!$C$2:$C$1001=$A43)*(Results!$B$2:$B$1001=700)*(Results!$K$2:$K$1001&gt;0),Results!$K$2:$K$1001),1),0)+IFERROR(LARGE(IF((Results!$C$2:$C$1001=$A43)*(Results!$B$2:$B$1001=700)*(Results!$K$2:$K$1001&gt;0),Results!$K$2:$K$1001),2),0)+IFERROR(LARGE(IF((Results!$C$2:$C$1001=$A43)*(Results!$B$2:$B$1001=800)*(Results!$K$2:$K$1001&gt;0),Results!$K$2:$K$1001),1),0)+IFERROR(LARGE(IF((Results!$C$2:$C$1001=$A43)*(Results!$B$2:$B$1001=800)*(Results!$K$2:$K$1001&gt;0),Results!$K$2:$K$1001),2),0)+IFERROR(LARGE(IF((Results!$C$2:$C$1001=$A43)*(Results!$B$2:$B$1001=900)*(Results!$K$2:$K$1001&gt;0),Results!$K$2:$K$1001),1),0)+IFERROR(LARGE(IF((Results!$C$2:$C$1001=$A43)*(Results!$B$2:$B$1001=900)*(Results!$K$2:$K$1001&gt;0),Results!$K$2:$K$1001),2),0))</f>
        <v/>
      </c>
      <c r="M43" s="32">
        <f>IFERROR(IF(OR(L43=0,L43=""),"",RANK(L43,$L$4:$L$70,0)),"")</f>
        <v/>
      </c>
      <c r="N43" s="16">
        <f>IF($A43="","",IFERROR(AVERAGEIF(B43:K43,"&gt;"&amp;0),0))</f>
        <v/>
      </c>
    </row>
    <row r="44" ht="13.5" customHeight="1">
      <c r="A44" s="5">
        <f t="array" ref="A44">IFERROR(INDEX(Results!$C$2:$C$1001,MATCH(0,COUNTIF($A$3:A43,Results!$C$2:$C$1001)+(Results!$C$2:$C$1001=""),0)),"")</f>
        <v/>
      </c>
      <c r="B44" s="16">
        <f t="array" ref="B44">IFERROR(LARGE(IF((Results!$C$2:$C$1001=$A44)*(Results!$B$2:$B$1001=500)*(Results!$K$2:$K$1001&gt;0),Results!$K$2:$K$1001),1),"")</f>
        <v/>
      </c>
      <c r="C44" s="16">
        <f t="array" ref="C44">IFERROR(LARGE(IF((Results!$C$2:$C$1001=$A44)*(Results!$B$2:$B$1001=500)*(Results!$K$2:$K$1001&gt;0),Results!$K$2:$K$1001),2),"")</f>
        <v/>
      </c>
      <c r="D44" s="16">
        <f t="array" ref="D44">IFERROR(LARGE(IF((Results!$C$2:$C$1001=$A44)*(Results!$B$2:$B$1001=600)*(Results!$K$2:$K$1001&gt;0),Results!$K$2:$K$1001),1),"")</f>
        <v/>
      </c>
      <c r="E44" s="16">
        <f t="array" ref="E44">IFERROR(LARGE(IF((Results!$C$2:$C$1001=$A44)*(Results!$B$2:$B$1001=600)*(Results!$K$2:$K$1001&gt;0),Results!$K$2:$K$1001),2),"")</f>
        <v/>
      </c>
      <c r="F44" s="16">
        <f t="array" ref="F44">IFERROR(LARGE(IF((Results!$C$2:$C$1001=$A44)*(Results!$B$2:$B$1001=700)*(Results!$K$2:$K$1001&gt;0),Results!$K$2:$K$1001),1),"")</f>
        <v/>
      </c>
      <c r="G44" s="16">
        <f t="array" ref="G44">IFERROR(LARGE(IF((Results!$C$2:$C$1001=$A44)*(Results!$B$2:$B$1001=700)*(Results!$K$2:$K$1001&gt;0),Results!$K$2:$K$1001),2),"")</f>
        <v/>
      </c>
      <c r="H44" s="16">
        <f t="array" ref="H44">IFERROR(LARGE(IF((Results!$C$2:$C$1001=$A44)*(Results!$B$2:$B$1001=800)*(Results!$K$2:$K$1001&gt;0),Results!$K$2:$K$1001),1),"")</f>
        <v/>
      </c>
      <c r="I44" s="16">
        <f t="array" ref="I44">IFERROR(LARGE(IF((Results!$C$2:$C$1001=$A44)*(Results!$B$2:$B$1001=800)*(Results!$K$2:$K$1001&gt;0),Results!$K$2:$K$1001),2),"")</f>
        <v/>
      </c>
      <c r="J44" s="16">
        <f t="array" ref="J44">IFERROR(LARGE(IF((Results!$C$2:$C$1001=$A44)*(Results!$B$2:$B$1001=900)*(Results!$K$2:$K$1001&gt;0),Results!$K$2:$K$1001),1),"")</f>
        <v/>
      </c>
      <c r="K44" s="16">
        <f t="array" ref="K44">IFERROR(LARGE(IF((Results!$C$2:$C$1001=$A44)*(Results!$B$2:$B$1001=900)*(Results!$K$2:$K$1001&gt;0),Results!$K$2:$K$1001),2),"")</f>
        <v/>
      </c>
      <c r="L44" s="16">
        <f t="array" ref="L44">IF($A44="","",IFERROR(LARGE(IF((Results!$C$2:$C$1001=$A44)*(Results!$B$2:$B$1001=500)*(Results!$K$2:$K$1001&gt;0),Results!$K$2:$K$1001),1),0)+IFERROR(LARGE(IF((Results!$C$2:$C$1001=$A44)*(Results!$B$2:$B$1001=500)*(Results!$K$2:$K$1001&gt;0),Results!$K$2:$K$1001),2),0)+IFERROR(LARGE(IF((Results!$C$2:$C$1001=$A44)*(Results!$B$2:$B$1001=600)*(Results!$K$2:$K$1001&gt;0),Results!$K$2:$K$1001),1),0)+IFERROR(LARGE(IF((Results!$C$2:$C$1001=$A44)*(Results!$B$2:$B$1001=600)*(Results!$K$2:$K$1001&gt;0),Results!$K$2:$K$1001),2),0)+IFERROR(LARGE(IF((Results!$C$2:$C$1001=$A44)*(Results!$B$2:$B$1001=700)*(Results!$K$2:$K$1001&gt;0),Results!$K$2:$K$1001),1),0)+IFERROR(LARGE(IF((Results!$C$2:$C$1001=$A44)*(Results!$B$2:$B$1001=700)*(Results!$K$2:$K$1001&gt;0),Results!$K$2:$K$1001),2),0)+IFERROR(LARGE(IF((Results!$C$2:$C$1001=$A44)*(Results!$B$2:$B$1001=800)*(Results!$K$2:$K$1001&gt;0),Results!$K$2:$K$1001),1),0)+IFERROR(LARGE(IF((Results!$C$2:$C$1001=$A44)*(Results!$B$2:$B$1001=800)*(Results!$K$2:$K$1001&gt;0),Results!$K$2:$K$1001),2),0)+IFERROR(LARGE(IF((Results!$C$2:$C$1001=$A44)*(Results!$B$2:$B$1001=900)*(Results!$K$2:$K$1001&gt;0),Results!$K$2:$K$1001),1),0)+IFERROR(LARGE(IF((Results!$C$2:$C$1001=$A44)*(Results!$B$2:$B$1001=900)*(Results!$K$2:$K$1001&gt;0),Results!$K$2:$K$1001),2),0))</f>
        <v/>
      </c>
      <c r="M44" s="32">
        <f>IFERROR(IF(OR(L44=0,L44=""),"",RANK(L44,$L$4:$L$70,0)),"")</f>
        <v/>
      </c>
      <c r="N44" s="16">
        <f>IF($A44="","",IFERROR(AVERAGEIF(B44:K44,"&gt;"&amp;0),0))</f>
        <v/>
      </c>
    </row>
    <row r="45" ht="13.5" customHeight="1">
      <c r="A45" s="5">
        <f t="array" ref="A45">IFERROR(INDEX(Results!$C$2:$C$1001,MATCH(0,COUNTIF($A$3:A44,Results!$C$2:$C$1001)+(Results!$C$2:$C$1001=""),0)),"")</f>
        <v/>
      </c>
      <c r="B45" s="16">
        <f t="array" ref="B45">IFERROR(LARGE(IF((Results!$C$2:$C$1001=$A45)*(Results!$B$2:$B$1001=500)*(Results!$K$2:$K$1001&gt;0),Results!$K$2:$K$1001),1),"")</f>
        <v/>
      </c>
      <c r="C45" s="16">
        <f t="array" ref="C45">IFERROR(LARGE(IF((Results!$C$2:$C$1001=$A45)*(Results!$B$2:$B$1001=500)*(Results!$K$2:$K$1001&gt;0),Results!$K$2:$K$1001),2),"")</f>
        <v/>
      </c>
      <c r="D45" s="16">
        <f t="array" ref="D45">IFERROR(LARGE(IF((Results!$C$2:$C$1001=$A45)*(Results!$B$2:$B$1001=600)*(Results!$K$2:$K$1001&gt;0),Results!$K$2:$K$1001),1),"")</f>
        <v/>
      </c>
      <c r="E45" s="16">
        <f t="array" ref="E45">IFERROR(LARGE(IF((Results!$C$2:$C$1001=$A45)*(Results!$B$2:$B$1001=600)*(Results!$K$2:$K$1001&gt;0),Results!$K$2:$K$1001),2),"")</f>
        <v/>
      </c>
      <c r="F45" s="16">
        <f t="array" ref="F45">IFERROR(LARGE(IF((Results!$C$2:$C$1001=$A45)*(Results!$B$2:$B$1001=700)*(Results!$K$2:$K$1001&gt;0),Results!$K$2:$K$1001),1),"")</f>
        <v/>
      </c>
      <c r="G45" s="16">
        <f t="array" ref="G45">IFERROR(LARGE(IF((Results!$C$2:$C$1001=$A45)*(Results!$B$2:$B$1001=700)*(Results!$K$2:$K$1001&gt;0),Results!$K$2:$K$1001),2),"")</f>
        <v/>
      </c>
      <c r="H45" s="16">
        <f t="array" ref="H45">IFERROR(LARGE(IF((Results!$C$2:$C$1001=$A45)*(Results!$B$2:$B$1001=800)*(Results!$K$2:$K$1001&gt;0),Results!$K$2:$K$1001),1),"")</f>
        <v/>
      </c>
      <c r="I45" s="16">
        <f t="array" ref="I45">IFERROR(LARGE(IF((Results!$C$2:$C$1001=$A45)*(Results!$B$2:$B$1001=800)*(Results!$K$2:$K$1001&gt;0),Results!$K$2:$K$1001),2),"")</f>
        <v/>
      </c>
      <c r="J45" s="16">
        <f t="array" ref="J45">IFERROR(LARGE(IF((Results!$C$2:$C$1001=$A45)*(Results!$B$2:$B$1001=900)*(Results!$K$2:$K$1001&gt;0),Results!$K$2:$K$1001),1),"")</f>
        <v/>
      </c>
      <c r="K45" s="16">
        <f t="array" ref="K45">IFERROR(LARGE(IF((Results!$C$2:$C$1001=$A45)*(Results!$B$2:$B$1001=900)*(Results!$K$2:$K$1001&gt;0),Results!$K$2:$K$1001),2),"")</f>
        <v/>
      </c>
      <c r="L45" s="16">
        <f t="array" ref="L45">IF($A45="","",IFERROR(LARGE(IF((Results!$C$2:$C$1001=$A45)*(Results!$B$2:$B$1001=500)*(Results!$K$2:$K$1001&gt;0),Results!$K$2:$K$1001),1),0)+IFERROR(LARGE(IF((Results!$C$2:$C$1001=$A45)*(Results!$B$2:$B$1001=500)*(Results!$K$2:$K$1001&gt;0),Results!$K$2:$K$1001),2),0)+IFERROR(LARGE(IF((Results!$C$2:$C$1001=$A45)*(Results!$B$2:$B$1001=600)*(Results!$K$2:$K$1001&gt;0),Results!$K$2:$K$1001),1),0)+IFERROR(LARGE(IF((Results!$C$2:$C$1001=$A45)*(Results!$B$2:$B$1001=600)*(Results!$K$2:$K$1001&gt;0),Results!$K$2:$K$1001),2),0)+IFERROR(LARGE(IF((Results!$C$2:$C$1001=$A45)*(Results!$B$2:$B$1001=700)*(Results!$K$2:$K$1001&gt;0),Results!$K$2:$K$1001),1),0)+IFERROR(LARGE(IF((Results!$C$2:$C$1001=$A45)*(Results!$B$2:$B$1001=700)*(Results!$K$2:$K$1001&gt;0),Results!$K$2:$K$1001),2),0)+IFERROR(LARGE(IF((Results!$C$2:$C$1001=$A45)*(Results!$B$2:$B$1001=800)*(Results!$K$2:$K$1001&gt;0),Results!$K$2:$K$1001),1),0)+IFERROR(LARGE(IF((Results!$C$2:$C$1001=$A45)*(Results!$B$2:$B$1001=800)*(Results!$K$2:$K$1001&gt;0),Results!$K$2:$K$1001),2),0)+IFERROR(LARGE(IF((Results!$C$2:$C$1001=$A45)*(Results!$B$2:$B$1001=900)*(Results!$K$2:$K$1001&gt;0),Results!$K$2:$K$1001),1),0)+IFERROR(LARGE(IF((Results!$C$2:$C$1001=$A45)*(Results!$B$2:$B$1001=900)*(Results!$K$2:$K$1001&gt;0),Results!$K$2:$K$1001),2),0))</f>
        <v/>
      </c>
      <c r="M45" s="32">
        <f>IFERROR(IF(OR(L45=0,L45=""),"",RANK(L45,$L$4:$L$70,0)),"")</f>
        <v/>
      </c>
      <c r="N45" s="16">
        <f>IF($A45="","",IFERROR(AVERAGEIF(B45:K45,"&gt;"&amp;0),0))</f>
        <v/>
      </c>
    </row>
    <row r="46" ht="13.5" customHeight="1">
      <c r="A46" s="5">
        <f t="array" ref="A46">IFERROR(INDEX(Results!$C$2:$C$1001,MATCH(0,COUNTIF($A$3:A45,Results!$C$2:$C$1001)+(Results!$C$2:$C$1001=""),0)),"")</f>
        <v/>
      </c>
      <c r="B46" s="16">
        <f t="array" ref="B46">IFERROR(LARGE(IF((Results!$C$2:$C$1001=$A46)*(Results!$B$2:$B$1001=500)*(Results!$K$2:$K$1001&gt;0),Results!$K$2:$K$1001),1),"")</f>
        <v/>
      </c>
      <c r="C46" s="16">
        <f t="array" ref="C46">IFERROR(LARGE(IF((Results!$C$2:$C$1001=$A46)*(Results!$B$2:$B$1001=500)*(Results!$K$2:$K$1001&gt;0),Results!$K$2:$K$1001),2),"")</f>
        <v/>
      </c>
      <c r="D46" s="16">
        <f t="array" ref="D46">IFERROR(LARGE(IF((Results!$C$2:$C$1001=$A46)*(Results!$B$2:$B$1001=600)*(Results!$K$2:$K$1001&gt;0),Results!$K$2:$K$1001),1),"")</f>
        <v/>
      </c>
      <c r="E46" s="16">
        <f t="array" ref="E46">IFERROR(LARGE(IF((Results!$C$2:$C$1001=$A46)*(Results!$B$2:$B$1001=600)*(Results!$K$2:$K$1001&gt;0),Results!$K$2:$K$1001),2),"")</f>
        <v/>
      </c>
      <c r="F46" s="16">
        <f t="array" ref="F46">IFERROR(LARGE(IF((Results!$C$2:$C$1001=$A46)*(Results!$B$2:$B$1001=700)*(Results!$K$2:$K$1001&gt;0),Results!$K$2:$K$1001),1),"")</f>
        <v/>
      </c>
      <c r="G46" s="16">
        <f t="array" ref="G46">IFERROR(LARGE(IF((Results!$C$2:$C$1001=$A46)*(Results!$B$2:$B$1001=700)*(Results!$K$2:$K$1001&gt;0),Results!$K$2:$K$1001),2),"")</f>
        <v/>
      </c>
      <c r="H46" s="16">
        <f t="array" ref="H46">IFERROR(LARGE(IF((Results!$C$2:$C$1001=$A46)*(Results!$B$2:$B$1001=800)*(Results!$K$2:$K$1001&gt;0),Results!$K$2:$K$1001),1),"")</f>
        <v/>
      </c>
      <c r="I46" s="16">
        <f t="array" ref="I46">IFERROR(LARGE(IF((Results!$C$2:$C$1001=$A46)*(Results!$B$2:$B$1001=800)*(Results!$K$2:$K$1001&gt;0),Results!$K$2:$K$1001),2),"")</f>
        <v/>
      </c>
      <c r="J46" s="16">
        <f t="array" ref="J46">IFERROR(LARGE(IF((Results!$C$2:$C$1001=$A46)*(Results!$B$2:$B$1001=900)*(Results!$K$2:$K$1001&gt;0),Results!$K$2:$K$1001),1),"")</f>
        <v/>
      </c>
      <c r="K46" s="16">
        <f t="array" ref="K46">IFERROR(LARGE(IF((Results!$C$2:$C$1001=$A46)*(Results!$B$2:$B$1001=900)*(Results!$K$2:$K$1001&gt;0),Results!$K$2:$K$1001),2),"")</f>
        <v/>
      </c>
      <c r="L46" s="16">
        <f t="array" ref="L46">IF($A46="","",IFERROR(LARGE(IF((Results!$C$2:$C$1001=$A46)*(Results!$B$2:$B$1001=500)*(Results!$K$2:$K$1001&gt;0),Results!$K$2:$K$1001),1),0)+IFERROR(LARGE(IF((Results!$C$2:$C$1001=$A46)*(Results!$B$2:$B$1001=500)*(Results!$K$2:$K$1001&gt;0),Results!$K$2:$K$1001),2),0)+IFERROR(LARGE(IF((Results!$C$2:$C$1001=$A46)*(Results!$B$2:$B$1001=600)*(Results!$K$2:$K$1001&gt;0),Results!$K$2:$K$1001),1),0)+IFERROR(LARGE(IF((Results!$C$2:$C$1001=$A46)*(Results!$B$2:$B$1001=600)*(Results!$K$2:$K$1001&gt;0),Results!$K$2:$K$1001),2),0)+IFERROR(LARGE(IF((Results!$C$2:$C$1001=$A46)*(Results!$B$2:$B$1001=700)*(Results!$K$2:$K$1001&gt;0),Results!$K$2:$K$1001),1),0)+IFERROR(LARGE(IF((Results!$C$2:$C$1001=$A46)*(Results!$B$2:$B$1001=700)*(Results!$K$2:$K$1001&gt;0),Results!$K$2:$K$1001),2),0)+IFERROR(LARGE(IF((Results!$C$2:$C$1001=$A46)*(Results!$B$2:$B$1001=800)*(Results!$K$2:$K$1001&gt;0),Results!$K$2:$K$1001),1),0)+IFERROR(LARGE(IF((Results!$C$2:$C$1001=$A46)*(Results!$B$2:$B$1001=800)*(Results!$K$2:$K$1001&gt;0),Results!$K$2:$K$1001),2),0)+IFERROR(LARGE(IF((Results!$C$2:$C$1001=$A46)*(Results!$B$2:$B$1001=900)*(Results!$K$2:$K$1001&gt;0),Results!$K$2:$K$1001),1),0)+IFERROR(LARGE(IF((Results!$C$2:$C$1001=$A46)*(Results!$B$2:$B$1001=900)*(Results!$K$2:$K$1001&gt;0),Results!$K$2:$K$1001),2),0))</f>
        <v/>
      </c>
      <c r="M46" s="32">
        <f>IFERROR(IF(OR(L46=0,L46=""),"",RANK(L46,$L$4:$L$70,0)),"")</f>
        <v/>
      </c>
      <c r="N46" s="16">
        <f>IF($A46="","",IFERROR(AVERAGEIF(B46:K46,"&gt;"&amp;0),0))</f>
        <v/>
      </c>
    </row>
    <row r="47" ht="13.5" customHeight="1">
      <c r="A47" s="5">
        <f t="array" ref="A47">IFERROR(INDEX(Results!$C$2:$C$1001,MATCH(0,COUNTIF($A$3:A46,Results!$C$2:$C$1001)+(Results!$C$2:$C$1001=""),0)),"")</f>
        <v/>
      </c>
      <c r="B47" s="16">
        <f t="array" ref="B47">IFERROR(LARGE(IF((Results!$C$2:$C$1001=$A47)*(Results!$B$2:$B$1001=500)*(Results!$K$2:$K$1001&gt;0),Results!$K$2:$K$1001),1),"")</f>
        <v/>
      </c>
      <c r="C47" s="16">
        <f t="array" ref="C47">IFERROR(LARGE(IF((Results!$C$2:$C$1001=$A47)*(Results!$B$2:$B$1001=500)*(Results!$K$2:$K$1001&gt;0),Results!$K$2:$K$1001),2),"")</f>
        <v/>
      </c>
      <c r="D47" s="16">
        <f t="array" ref="D47">IFERROR(LARGE(IF((Results!$C$2:$C$1001=$A47)*(Results!$B$2:$B$1001=600)*(Results!$K$2:$K$1001&gt;0),Results!$K$2:$K$1001),1),"")</f>
        <v/>
      </c>
      <c r="E47" s="16">
        <f t="array" ref="E47">IFERROR(LARGE(IF((Results!$C$2:$C$1001=$A47)*(Results!$B$2:$B$1001=600)*(Results!$K$2:$K$1001&gt;0),Results!$K$2:$K$1001),2),"")</f>
        <v/>
      </c>
      <c r="F47" s="16">
        <f t="array" ref="F47">IFERROR(LARGE(IF((Results!$C$2:$C$1001=$A47)*(Results!$B$2:$B$1001=700)*(Results!$K$2:$K$1001&gt;0),Results!$K$2:$K$1001),1),"")</f>
        <v/>
      </c>
      <c r="G47" s="16">
        <f t="array" ref="G47">IFERROR(LARGE(IF((Results!$C$2:$C$1001=$A47)*(Results!$B$2:$B$1001=700)*(Results!$K$2:$K$1001&gt;0),Results!$K$2:$K$1001),2),"")</f>
        <v/>
      </c>
      <c r="H47" s="16">
        <f t="array" ref="H47">IFERROR(LARGE(IF((Results!$C$2:$C$1001=$A47)*(Results!$B$2:$B$1001=800)*(Results!$K$2:$K$1001&gt;0),Results!$K$2:$K$1001),1),"")</f>
        <v/>
      </c>
      <c r="I47" s="16">
        <f t="array" ref="I47">IFERROR(LARGE(IF((Results!$C$2:$C$1001=$A47)*(Results!$B$2:$B$1001=800)*(Results!$K$2:$K$1001&gt;0),Results!$K$2:$K$1001),2),"")</f>
        <v/>
      </c>
      <c r="J47" s="16">
        <f t="array" ref="J47">IFERROR(LARGE(IF((Results!$C$2:$C$1001=$A47)*(Results!$B$2:$B$1001=900)*(Results!$K$2:$K$1001&gt;0),Results!$K$2:$K$1001),1),"")</f>
        <v/>
      </c>
      <c r="K47" s="16">
        <f t="array" ref="K47">IFERROR(LARGE(IF((Results!$C$2:$C$1001=$A47)*(Results!$B$2:$B$1001=900)*(Results!$K$2:$K$1001&gt;0),Results!$K$2:$K$1001),2),"")</f>
        <v/>
      </c>
      <c r="L47" s="16">
        <f t="array" ref="L47">IF($A47="","",IFERROR(LARGE(IF((Results!$C$2:$C$1001=$A47)*(Results!$B$2:$B$1001=500)*(Results!$K$2:$K$1001&gt;0),Results!$K$2:$K$1001),1),0)+IFERROR(LARGE(IF((Results!$C$2:$C$1001=$A47)*(Results!$B$2:$B$1001=500)*(Results!$K$2:$K$1001&gt;0),Results!$K$2:$K$1001),2),0)+IFERROR(LARGE(IF((Results!$C$2:$C$1001=$A47)*(Results!$B$2:$B$1001=600)*(Results!$K$2:$K$1001&gt;0),Results!$K$2:$K$1001),1),0)+IFERROR(LARGE(IF((Results!$C$2:$C$1001=$A47)*(Results!$B$2:$B$1001=600)*(Results!$K$2:$K$1001&gt;0),Results!$K$2:$K$1001),2),0)+IFERROR(LARGE(IF((Results!$C$2:$C$1001=$A47)*(Results!$B$2:$B$1001=700)*(Results!$K$2:$K$1001&gt;0),Results!$K$2:$K$1001),1),0)+IFERROR(LARGE(IF((Results!$C$2:$C$1001=$A47)*(Results!$B$2:$B$1001=700)*(Results!$K$2:$K$1001&gt;0),Results!$K$2:$K$1001),2),0)+IFERROR(LARGE(IF((Results!$C$2:$C$1001=$A47)*(Results!$B$2:$B$1001=800)*(Results!$K$2:$K$1001&gt;0),Results!$K$2:$K$1001),1),0)+IFERROR(LARGE(IF((Results!$C$2:$C$1001=$A47)*(Results!$B$2:$B$1001=800)*(Results!$K$2:$K$1001&gt;0),Results!$K$2:$K$1001),2),0)+IFERROR(LARGE(IF((Results!$C$2:$C$1001=$A47)*(Results!$B$2:$B$1001=900)*(Results!$K$2:$K$1001&gt;0),Results!$K$2:$K$1001),1),0)+IFERROR(LARGE(IF((Results!$C$2:$C$1001=$A47)*(Results!$B$2:$B$1001=900)*(Results!$K$2:$K$1001&gt;0),Results!$K$2:$K$1001),2),0))</f>
        <v/>
      </c>
      <c r="M47" s="32">
        <f>IFERROR(IF(OR(L47=0,L47=""),"",RANK(L47,$L$4:$L$70,0)),"")</f>
        <v/>
      </c>
      <c r="N47" s="16">
        <f>IF($A47="","",IFERROR(AVERAGEIF(B47:K47,"&gt;"&amp;0),0))</f>
        <v/>
      </c>
    </row>
    <row r="48" ht="13.5" customHeight="1">
      <c r="A48" s="5">
        <f t="array" ref="A48">IFERROR(INDEX(Results!$C$2:$C$1001,MATCH(0,COUNTIF($A$3:A47,Results!$C$2:$C$1001)+(Results!$C$2:$C$1001=""),0)),"")</f>
        <v/>
      </c>
      <c r="B48" s="16">
        <f t="array" ref="B48">IFERROR(LARGE(IF((Results!$C$2:$C$1001=$A48)*(Results!$B$2:$B$1001=500)*(Results!$K$2:$K$1001&gt;0),Results!$K$2:$K$1001),1),"")</f>
        <v/>
      </c>
      <c r="C48" s="16">
        <f t="array" ref="C48">IFERROR(LARGE(IF((Results!$C$2:$C$1001=$A48)*(Results!$B$2:$B$1001=500)*(Results!$K$2:$K$1001&gt;0),Results!$K$2:$K$1001),2),"")</f>
        <v/>
      </c>
      <c r="D48" s="16">
        <f t="array" ref="D48">IFERROR(LARGE(IF((Results!$C$2:$C$1001=$A48)*(Results!$B$2:$B$1001=600)*(Results!$K$2:$K$1001&gt;0),Results!$K$2:$K$1001),1),"")</f>
        <v/>
      </c>
      <c r="E48" s="16">
        <f t="array" ref="E48">IFERROR(LARGE(IF((Results!$C$2:$C$1001=$A48)*(Results!$B$2:$B$1001=600)*(Results!$K$2:$K$1001&gt;0),Results!$K$2:$K$1001),2),"")</f>
        <v/>
      </c>
      <c r="F48" s="16">
        <f t="array" ref="F48">IFERROR(LARGE(IF((Results!$C$2:$C$1001=$A48)*(Results!$B$2:$B$1001=700)*(Results!$K$2:$K$1001&gt;0),Results!$K$2:$K$1001),1),"")</f>
        <v/>
      </c>
      <c r="G48" s="16">
        <f t="array" ref="G48">IFERROR(LARGE(IF((Results!$C$2:$C$1001=$A48)*(Results!$B$2:$B$1001=700)*(Results!$K$2:$K$1001&gt;0),Results!$K$2:$K$1001),2),"")</f>
        <v/>
      </c>
      <c r="H48" s="16">
        <f t="array" ref="H48">IFERROR(LARGE(IF((Results!$C$2:$C$1001=$A48)*(Results!$B$2:$B$1001=800)*(Results!$K$2:$K$1001&gt;0),Results!$K$2:$K$1001),1),"")</f>
        <v/>
      </c>
      <c r="I48" s="16">
        <f t="array" ref="I48">IFERROR(LARGE(IF((Results!$C$2:$C$1001=$A48)*(Results!$B$2:$B$1001=800)*(Results!$K$2:$K$1001&gt;0),Results!$K$2:$K$1001),2),"")</f>
        <v/>
      </c>
      <c r="J48" s="16">
        <f t="array" ref="J48">IFERROR(LARGE(IF((Results!$C$2:$C$1001=$A48)*(Results!$B$2:$B$1001=900)*(Results!$K$2:$K$1001&gt;0),Results!$K$2:$K$1001),1),"")</f>
        <v/>
      </c>
      <c r="K48" s="16">
        <f t="array" ref="K48">IFERROR(LARGE(IF((Results!$C$2:$C$1001=$A48)*(Results!$B$2:$B$1001=900)*(Results!$K$2:$K$1001&gt;0),Results!$K$2:$K$1001),2),"")</f>
        <v/>
      </c>
      <c r="L48" s="16">
        <f t="array" ref="L48">IF($A48="","",IFERROR(LARGE(IF((Results!$C$2:$C$1001=$A48)*(Results!$B$2:$B$1001=500)*(Results!$K$2:$K$1001&gt;0),Results!$K$2:$K$1001),1),0)+IFERROR(LARGE(IF((Results!$C$2:$C$1001=$A48)*(Results!$B$2:$B$1001=500)*(Results!$K$2:$K$1001&gt;0),Results!$K$2:$K$1001),2),0)+IFERROR(LARGE(IF((Results!$C$2:$C$1001=$A48)*(Results!$B$2:$B$1001=600)*(Results!$K$2:$K$1001&gt;0),Results!$K$2:$K$1001),1),0)+IFERROR(LARGE(IF((Results!$C$2:$C$1001=$A48)*(Results!$B$2:$B$1001=600)*(Results!$K$2:$K$1001&gt;0),Results!$K$2:$K$1001),2),0)+IFERROR(LARGE(IF((Results!$C$2:$C$1001=$A48)*(Results!$B$2:$B$1001=700)*(Results!$K$2:$K$1001&gt;0),Results!$K$2:$K$1001),1),0)+IFERROR(LARGE(IF((Results!$C$2:$C$1001=$A48)*(Results!$B$2:$B$1001=700)*(Results!$K$2:$K$1001&gt;0),Results!$K$2:$K$1001),2),0)+IFERROR(LARGE(IF((Results!$C$2:$C$1001=$A48)*(Results!$B$2:$B$1001=800)*(Results!$K$2:$K$1001&gt;0),Results!$K$2:$K$1001),1),0)+IFERROR(LARGE(IF((Results!$C$2:$C$1001=$A48)*(Results!$B$2:$B$1001=800)*(Results!$K$2:$K$1001&gt;0),Results!$K$2:$K$1001),2),0)+IFERROR(LARGE(IF((Results!$C$2:$C$1001=$A48)*(Results!$B$2:$B$1001=900)*(Results!$K$2:$K$1001&gt;0),Results!$K$2:$K$1001),1),0)+IFERROR(LARGE(IF((Results!$C$2:$C$1001=$A48)*(Results!$B$2:$B$1001=900)*(Results!$K$2:$K$1001&gt;0),Results!$K$2:$K$1001),2),0))</f>
        <v/>
      </c>
      <c r="M48" s="32">
        <f>IFERROR(IF(OR(L48=0,L48=""),"",RANK(L48,$L$4:$L$70,0)),"")</f>
        <v/>
      </c>
      <c r="N48" s="16">
        <f>IF($A48="","",IFERROR(AVERAGEIF(B48:K48,"&gt;"&amp;0),0))</f>
        <v/>
      </c>
    </row>
    <row r="49" ht="13.5" customHeight="1">
      <c r="A49" s="5">
        <f t="array" ref="A49">IFERROR(INDEX(Results!$C$2:$C$1001,MATCH(0,COUNTIF($A$3:A48,Results!$C$2:$C$1001)+(Results!$C$2:$C$1001=""),0)),"")</f>
        <v/>
      </c>
      <c r="B49" s="16">
        <f t="array" ref="B49">IFERROR(LARGE(IF((Results!$C$2:$C$1001=$A49)*(Results!$B$2:$B$1001=500)*(Results!$K$2:$K$1001&gt;0),Results!$K$2:$K$1001),1),"")</f>
        <v/>
      </c>
      <c r="C49" s="16">
        <f t="array" ref="C49">IFERROR(LARGE(IF((Results!$C$2:$C$1001=$A49)*(Results!$B$2:$B$1001=500)*(Results!$K$2:$K$1001&gt;0),Results!$K$2:$K$1001),2),"")</f>
        <v/>
      </c>
      <c r="D49" s="16">
        <f t="array" ref="D49">IFERROR(LARGE(IF((Results!$C$2:$C$1001=$A49)*(Results!$B$2:$B$1001=600)*(Results!$K$2:$K$1001&gt;0),Results!$K$2:$K$1001),1),"")</f>
        <v/>
      </c>
      <c r="E49" s="16">
        <f t="array" ref="E49">IFERROR(LARGE(IF((Results!$C$2:$C$1001=$A49)*(Results!$B$2:$B$1001=600)*(Results!$K$2:$K$1001&gt;0),Results!$K$2:$K$1001),2),"")</f>
        <v/>
      </c>
      <c r="F49" s="16">
        <f t="array" ref="F49">IFERROR(LARGE(IF((Results!$C$2:$C$1001=$A49)*(Results!$B$2:$B$1001=700)*(Results!$K$2:$K$1001&gt;0),Results!$K$2:$K$1001),1),"")</f>
        <v/>
      </c>
      <c r="G49" s="16">
        <f t="array" ref="G49">IFERROR(LARGE(IF((Results!$C$2:$C$1001=$A49)*(Results!$B$2:$B$1001=700)*(Results!$K$2:$K$1001&gt;0),Results!$K$2:$K$1001),2),"")</f>
        <v/>
      </c>
      <c r="H49" s="16">
        <f t="array" ref="H49">IFERROR(LARGE(IF((Results!$C$2:$C$1001=$A49)*(Results!$B$2:$B$1001=800)*(Results!$K$2:$K$1001&gt;0),Results!$K$2:$K$1001),1),"")</f>
        <v/>
      </c>
      <c r="I49" s="16">
        <f t="array" ref="I49">IFERROR(LARGE(IF((Results!$C$2:$C$1001=$A49)*(Results!$B$2:$B$1001=800)*(Results!$K$2:$K$1001&gt;0),Results!$K$2:$K$1001),2),"")</f>
        <v/>
      </c>
      <c r="J49" s="16">
        <f t="array" ref="J49">IFERROR(LARGE(IF((Results!$C$2:$C$1001=$A49)*(Results!$B$2:$B$1001=900)*(Results!$K$2:$K$1001&gt;0),Results!$K$2:$K$1001),1),"")</f>
        <v/>
      </c>
      <c r="K49" s="16">
        <f t="array" ref="K49">IFERROR(LARGE(IF((Results!$C$2:$C$1001=$A49)*(Results!$B$2:$B$1001=900)*(Results!$K$2:$K$1001&gt;0),Results!$K$2:$K$1001),2),"")</f>
        <v/>
      </c>
      <c r="L49" s="16">
        <f t="array" ref="L49">IF($A49="","",IFERROR(LARGE(IF((Results!$C$2:$C$1001=$A49)*(Results!$B$2:$B$1001=500)*(Results!$K$2:$K$1001&gt;0),Results!$K$2:$K$1001),1),0)+IFERROR(LARGE(IF((Results!$C$2:$C$1001=$A49)*(Results!$B$2:$B$1001=500)*(Results!$K$2:$K$1001&gt;0),Results!$K$2:$K$1001),2),0)+IFERROR(LARGE(IF((Results!$C$2:$C$1001=$A49)*(Results!$B$2:$B$1001=600)*(Results!$K$2:$K$1001&gt;0),Results!$K$2:$K$1001),1),0)+IFERROR(LARGE(IF((Results!$C$2:$C$1001=$A49)*(Results!$B$2:$B$1001=600)*(Results!$K$2:$K$1001&gt;0),Results!$K$2:$K$1001),2),0)+IFERROR(LARGE(IF((Results!$C$2:$C$1001=$A49)*(Results!$B$2:$B$1001=700)*(Results!$K$2:$K$1001&gt;0),Results!$K$2:$K$1001),1),0)+IFERROR(LARGE(IF((Results!$C$2:$C$1001=$A49)*(Results!$B$2:$B$1001=700)*(Results!$K$2:$K$1001&gt;0),Results!$K$2:$K$1001),2),0)+IFERROR(LARGE(IF((Results!$C$2:$C$1001=$A49)*(Results!$B$2:$B$1001=800)*(Results!$K$2:$K$1001&gt;0),Results!$K$2:$K$1001),1),0)+IFERROR(LARGE(IF((Results!$C$2:$C$1001=$A49)*(Results!$B$2:$B$1001=800)*(Results!$K$2:$K$1001&gt;0),Results!$K$2:$K$1001),2),0)+IFERROR(LARGE(IF((Results!$C$2:$C$1001=$A49)*(Results!$B$2:$B$1001=900)*(Results!$K$2:$K$1001&gt;0),Results!$K$2:$K$1001),1),0)+IFERROR(LARGE(IF((Results!$C$2:$C$1001=$A49)*(Results!$B$2:$B$1001=900)*(Results!$K$2:$K$1001&gt;0),Results!$K$2:$K$1001),2),0))</f>
        <v/>
      </c>
      <c r="M49" s="32">
        <f>IFERROR(IF(OR(L49=0,L49=""),"",RANK(L49,$L$4:$L$70,0)),"")</f>
        <v/>
      </c>
      <c r="N49" s="16">
        <f>IF($A49="","",IFERROR(AVERAGEIF(B49:K49,"&gt;"&amp;0),0))</f>
        <v/>
      </c>
    </row>
    <row r="50" ht="13.5" customHeight="1">
      <c r="A50" s="5">
        <f t="array" ref="A50">IFERROR(INDEX(Results!$C$2:$C$1001,MATCH(0,COUNTIF($A$3:A49,Results!$C$2:$C$1001)+(Results!$C$2:$C$1001=""),0)),"")</f>
        <v/>
      </c>
      <c r="B50" s="16">
        <f t="array" ref="B50">IFERROR(LARGE(IF((Results!$C$2:$C$1001=$A50)*(Results!$B$2:$B$1001=500)*(Results!$K$2:$K$1001&gt;0),Results!$K$2:$K$1001),1),"")</f>
        <v/>
      </c>
      <c r="C50" s="16">
        <f t="array" ref="C50">IFERROR(LARGE(IF((Results!$C$2:$C$1001=$A50)*(Results!$B$2:$B$1001=500)*(Results!$K$2:$K$1001&gt;0),Results!$K$2:$K$1001),2),"")</f>
        <v/>
      </c>
      <c r="D50" s="16">
        <f t="array" ref="D50">IFERROR(LARGE(IF((Results!$C$2:$C$1001=$A50)*(Results!$B$2:$B$1001=600)*(Results!$K$2:$K$1001&gt;0),Results!$K$2:$K$1001),1),"")</f>
        <v/>
      </c>
      <c r="E50" s="16">
        <f t="array" ref="E50">IFERROR(LARGE(IF((Results!$C$2:$C$1001=$A50)*(Results!$B$2:$B$1001=600)*(Results!$K$2:$K$1001&gt;0),Results!$K$2:$K$1001),2),"")</f>
        <v/>
      </c>
      <c r="F50" s="16">
        <f t="array" ref="F50">IFERROR(LARGE(IF((Results!$C$2:$C$1001=$A50)*(Results!$B$2:$B$1001=700)*(Results!$K$2:$K$1001&gt;0),Results!$K$2:$K$1001),1),"")</f>
        <v/>
      </c>
      <c r="G50" s="16">
        <f t="array" ref="G50">IFERROR(LARGE(IF((Results!$C$2:$C$1001=$A50)*(Results!$B$2:$B$1001=700)*(Results!$K$2:$K$1001&gt;0),Results!$K$2:$K$1001),2),"")</f>
        <v/>
      </c>
      <c r="H50" s="16">
        <f t="array" ref="H50">IFERROR(LARGE(IF((Results!$C$2:$C$1001=$A50)*(Results!$B$2:$B$1001=800)*(Results!$K$2:$K$1001&gt;0),Results!$K$2:$K$1001),1),"")</f>
        <v/>
      </c>
      <c r="I50" s="16">
        <f t="array" ref="I50">IFERROR(LARGE(IF((Results!$C$2:$C$1001=$A50)*(Results!$B$2:$B$1001=800)*(Results!$K$2:$K$1001&gt;0),Results!$K$2:$K$1001),2),"")</f>
        <v/>
      </c>
      <c r="J50" s="16">
        <f t="array" ref="J50">IFERROR(LARGE(IF((Results!$C$2:$C$1001=$A50)*(Results!$B$2:$B$1001=900)*(Results!$K$2:$K$1001&gt;0),Results!$K$2:$K$1001),1),"")</f>
        <v/>
      </c>
      <c r="K50" s="16">
        <f t="array" ref="K50">IFERROR(LARGE(IF((Results!$C$2:$C$1001=$A50)*(Results!$B$2:$B$1001=900)*(Results!$K$2:$K$1001&gt;0),Results!$K$2:$K$1001),2),"")</f>
        <v/>
      </c>
      <c r="L50" s="16">
        <f t="array" ref="L50">IF($A50="","",IFERROR(LARGE(IF((Results!$C$2:$C$1001=$A50)*(Results!$B$2:$B$1001=500)*(Results!$K$2:$K$1001&gt;0),Results!$K$2:$K$1001),1),0)+IFERROR(LARGE(IF((Results!$C$2:$C$1001=$A50)*(Results!$B$2:$B$1001=500)*(Results!$K$2:$K$1001&gt;0),Results!$K$2:$K$1001),2),0)+IFERROR(LARGE(IF((Results!$C$2:$C$1001=$A50)*(Results!$B$2:$B$1001=600)*(Results!$K$2:$K$1001&gt;0),Results!$K$2:$K$1001),1),0)+IFERROR(LARGE(IF((Results!$C$2:$C$1001=$A50)*(Results!$B$2:$B$1001=600)*(Results!$K$2:$K$1001&gt;0),Results!$K$2:$K$1001),2),0)+IFERROR(LARGE(IF((Results!$C$2:$C$1001=$A50)*(Results!$B$2:$B$1001=700)*(Results!$K$2:$K$1001&gt;0),Results!$K$2:$K$1001),1),0)+IFERROR(LARGE(IF((Results!$C$2:$C$1001=$A50)*(Results!$B$2:$B$1001=700)*(Results!$K$2:$K$1001&gt;0),Results!$K$2:$K$1001),2),0)+IFERROR(LARGE(IF((Results!$C$2:$C$1001=$A50)*(Results!$B$2:$B$1001=800)*(Results!$K$2:$K$1001&gt;0),Results!$K$2:$K$1001),1),0)+IFERROR(LARGE(IF((Results!$C$2:$C$1001=$A50)*(Results!$B$2:$B$1001=800)*(Results!$K$2:$K$1001&gt;0),Results!$K$2:$K$1001),2),0)+IFERROR(LARGE(IF((Results!$C$2:$C$1001=$A50)*(Results!$B$2:$B$1001=900)*(Results!$K$2:$K$1001&gt;0),Results!$K$2:$K$1001),1),0)+IFERROR(LARGE(IF((Results!$C$2:$C$1001=$A50)*(Results!$B$2:$B$1001=900)*(Results!$K$2:$K$1001&gt;0),Results!$K$2:$K$1001),2),0))</f>
        <v/>
      </c>
      <c r="M50" s="32">
        <f>IFERROR(IF(OR(L50=0,L50=""),"",RANK(L50,$L$4:$L$70,0)),"")</f>
        <v/>
      </c>
      <c r="N50" s="16">
        <f>IF($A50="","",IFERROR(AVERAGEIF(B50:K50,"&gt;"&amp;0),0))</f>
        <v/>
      </c>
    </row>
    <row r="51" ht="13.5" customHeight="1">
      <c r="A51" s="5">
        <f t="array" ref="A51">IFERROR(INDEX(Results!$C$2:$C$1001,MATCH(0,COUNTIF($A$3:A50,Results!$C$2:$C$1001)+(Results!$C$2:$C$1001=""),0)),"")</f>
        <v/>
      </c>
      <c r="B51" s="16">
        <f t="array" ref="B51">IFERROR(LARGE(IF((Results!$C$2:$C$1001=$A51)*(Results!$B$2:$B$1001=500)*(Results!$K$2:$K$1001&gt;0),Results!$K$2:$K$1001),1),"")</f>
        <v/>
      </c>
      <c r="C51" s="16">
        <f t="array" ref="C51">IFERROR(LARGE(IF((Results!$C$2:$C$1001=$A51)*(Results!$B$2:$B$1001=500)*(Results!$K$2:$K$1001&gt;0),Results!$K$2:$K$1001),2),"")</f>
        <v/>
      </c>
      <c r="D51" s="16">
        <f t="array" ref="D51">IFERROR(LARGE(IF((Results!$C$2:$C$1001=$A51)*(Results!$B$2:$B$1001=600)*(Results!$K$2:$K$1001&gt;0),Results!$K$2:$K$1001),1),"")</f>
        <v/>
      </c>
      <c r="E51" s="16">
        <f t="array" ref="E51">IFERROR(LARGE(IF((Results!$C$2:$C$1001=$A51)*(Results!$B$2:$B$1001=600)*(Results!$K$2:$K$1001&gt;0),Results!$K$2:$K$1001),2),"")</f>
        <v/>
      </c>
      <c r="F51" s="16">
        <f t="array" ref="F51">IFERROR(LARGE(IF((Results!$C$2:$C$1001=$A51)*(Results!$B$2:$B$1001=700)*(Results!$K$2:$K$1001&gt;0),Results!$K$2:$K$1001),1),"")</f>
        <v/>
      </c>
      <c r="G51" s="16">
        <f t="array" ref="G51">IFERROR(LARGE(IF((Results!$C$2:$C$1001=$A51)*(Results!$B$2:$B$1001=700)*(Results!$K$2:$K$1001&gt;0),Results!$K$2:$K$1001),2),"")</f>
        <v/>
      </c>
      <c r="H51" s="16">
        <f t="array" ref="H51">IFERROR(LARGE(IF((Results!$C$2:$C$1001=$A51)*(Results!$B$2:$B$1001=800)*(Results!$K$2:$K$1001&gt;0),Results!$K$2:$K$1001),1),"")</f>
        <v/>
      </c>
      <c r="I51" s="16">
        <f t="array" ref="I51">IFERROR(LARGE(IF((Results!$C$2:$C$1001=$A51)*(Results!$B$2:$B$1001=800)*(Results!$K$2:$K$1001&gt;0),Results!$K$2:$K$1001),2),"")</f>
        <v/>
      </c>
      <c r="J51" s="16">
        <f t="array" ref="J51">IFERROR(LARGE(IF((Results!$C$2:$C$1001=$A51)*(Results!$B$2:$B$1001=900)*(Results!$K$2:$K$1001&gt;0),Results!$K$2:$K$1001),1),"")</f>
        <v/>
      </c>
      <c r="K51" s="16">
        <f t="array" ref="K51">IFERROR(LARGE(IF((Results!$C$2:$C$1001=$A51)*(Results!$B$2:$B$1001=900)*(Results!$K$2:$K$1001&gt;0),Results!$K$2:$K$1001),2),"")</f>
        <v/>
      </c>
      <c r="L51" s="16">
        <f t="array" ref="L51">IF($A51="","",IFERROR(LARGE(IF((Results!$C$2:$C$1001=$A51)*(Results!$B$2:$B$1001=500)*(Results!$K$2:$K$1001&gt;0),Results!$K$2:$K$1001),1),0)+IFERROR(LARGE(IF((Results!$C$2:$C$1001=$A51)*(Results!$B$2:$B$1001=500)*(Results!$K$2:$K$1001&gt;0),Results!$K$2:$K$1001),2),0)+IFERROR(LARGE(IF((Results!$C$2:$C$1001=$A51)*(Results!$B$2:$B$1001=600)*(Results!$K$2:$K$1001&gt;0),Results!$K$2:$K$1001),1),0)+IFERROR(LARGE(IF((Results!$C$2:$C$1001=$A51)*(Results!$B$2:$B$1001=600)*(Results!$K$2:$K$1001&gt;0),Results!$K$2:$K$1001),2),0)+IFERROR(LARGE(IF((Results!$C$2:$C$1001=$A51)*(Results!$B$2:$B$1001=700)*(Results!$K$2:$K$1001&gt;0),Results!$K$2:$K$1001),1),0)+IFERROR(LARGE(IF((Results!$C$2:$C$1001=$A51)*(Results!$B$2:$B$1001=700)*(Results!$K$2:$K$1001&gt;0),Results!$K$2:$K$1001),2),0)+IFERROR(LARGE(IF((Results!$C$2:$C$1001=$A51)*(Results!$B$2:$B$1001=800)*(Results!$K$2:$K$1001&gt;0),Results!$K$2:$K$1001),1),0)+IFERROR(LARGE(IF((Results!$C$2:$C$1001=$A51)*(Results!$B$2:$B$1001=800)*(Results!$K$2:$K$1001&gt;0),Results!$K$2:$K$1001),2),0)+IFERROR(LARGE(IF((Results!$C$2:$C$1001=$A51)*(Results!$B$2:$B$1001=900)*(Results!$K$2:$K$1001&gt;0),Results!$K$2:$K$1001),1),0)+IFERROR(LARGE(IF((Results!$C$2:$C$1001=$A51)*(Results!$B$2:$B$1001=900)*(Results!$K$2:$K$1001&gt;0),Results!$K$2:$K$1001),2),0))</f>
        <v/>
      </c>
      <c r="M51" s="32">
        <f>IFERROR(IF(OR(L51=0,L51=""),"",RANK(L51,$L$4:$L$70,0)),"")</f>
        <v/>
      </c>
      <c r="N51" s="16">
        <f>IF($A51="","",IFERROR(AVERAGEIF(B51:K51,"&gt;"&amp;0),0))</f>
        <v/>
      </c>
    </row>
    <row r="52" ht="13.5" customHeight="1">
      <c r="A52" s="5">
        <f t="array" ref="A52">IFERROR(INDEX(Results!$C$2:$C$1001,MATCH(0,COUNTIF($A$3:A51,Results!$C$2:$C$1001)+(Results!$C$2:$C$1001=""),0)),"")</f>
        <v/>
      </c>
      <c r="B52" s="16">
        <f t="array" ref="B52">IFERROR(LARGE(IF((Results!$C$2:$C$1001=$A52)*(Results!$B$2:$B$1001=500)*(Results!$K$2:$K$1001&gt;0),Results!$K$2:$K$1001),1),"")</f>
        <v/>
      </c>
      <c r="C52" s="16">
        <f t="array" ref="C52">IFERROR(LARGE(IF((Results!$C$2:$C$1001=$A52)*(Results!$B$2:$B$1001=500)*(Results!$K$2:$K$1001&gt;0),Results!$K$2:$K$1001),2),"")</f>
        <v/>
      </c>
      <c r="D52" s="16">
        <f t="array" ref="D52">IFERROR(LARGE(IF((Results!$C$2:$C$1001=$A52)*(Results!$B$2:$B$1001=600)*(Results!$K$2:$K$1001&gt;0),Results!$K$2:$K$1001),1),"")</f>
        <v/>
      </c>
      <c r="E52" s="16">
        <f t="array" ref="E52">IFERROR(LARGE(IF((Results!$C$2:$C$1001=$A52)*(Results!$B$2:$B$1001=600)*(Results!$K$2:$K$1001&gt;0),Results!$K$2:$K$1001),2),"")</f>
        <v/>
      </c>
      <c r="F52" s="16">
        <f t="array" ref="F52">IFERROR(LARGE(IF((Results!$C$2:$C$1001=$A52)*(Results!$B$2:$B$1001=700)*(Results!$K$2:$K$1001&gt;0),Results!$K$2:$K$1001),1),"")</f>
        <v/>
      </c>
      <c r="G52" s="16">
        <f t="array" ref="G52">IFERROR(LARGE(IF((Results!$C$2:$C$1001=$A52)*(Results!$B$2:$B$1001=700)*(Results!$K$2:$K$1001&gt;0),Results!$K$2:$K$1001),2),"")</f>
        <v/>
      </c>
      <c r="H52" s="16">
        <f t="array" ref="H52">IFERROR(LARGE(IF((Results!$C$2:$C$1001=$A52)*(Results!$B$2:$B$1001=800)*(Results!$K$2:$K$1001&gt;0),Results!$K$2:$K$1001),1),"")</f>
        <v/>
      </c>
      <c r="I52" s="16">
        <f t="array" ref="I52">IFERROR(LARGE(IF((Results!$C$2:$C$1001=$A52)*(Results!$B$2:$B$1001=800)*(Results!$K$2:$K$1001&gt;0),Results!$K$2:$K$1001),2),"")</f>
        <v/>
      </c>
      <c r="J52" s="16">
        <f t="array" ref="J52">IFERROR(LARGE(IF((Results!$C$2:$C$1001=$A52)*(Results!$B$2:$B$1001=900)*(Results!$K$2:$K$1001&gt;0),Results!$K$2:$K$1001),1),"")</f>
        <v/>
      </c>
      <c r="K52" s="16">
        <f t="array" ref="K52">IFERROR(LARGE(IF((Results!$C$2:$C$1001=$A52)*(Results!$B$2:$B$1001=900)*(Results!$K$2:$K$1001&gt;0),Results!$K$2:$K$1001),2),"")</f>
        <v/>
      </c>
      <c r="L52" s="16">
        <f t="array" ref="L52">IF($A52="","",IFERROR(LARGE(IF((Results!$C$2:$C$1001=$A52)*(Results!$B$2:$B$1001=500)*(Results!$K$2:$K$1001&gt;0),Results!$K$2:$K$1001),1),0)+IFERROR(LARGE(IF((Results!$C$2:$C$1001=$A52)*(Results!$B$2:$B$1001=500)*(Results!$K$2:$K$1001&gt;0),Results!$K$2:$K$1001),2),0)+IFERROR(LARGE(IF((Results!$C$2:$C$1001=$A52)*(Results!$B$2:$B$1001=600)*(Results!$K$2:$K$1001&gt;0),Results!$K$2:$K$1001),1),0)+IFERROR(LARGE(IF((Results!$C$2:$C$1001=$A52)*(Results!$B$2:$B$1001=600)*(Results!$K$2:$K$1001&gt;0),Results!$K$2:$K$1001),2),0)+IFERROR(LARGE(IF((Results!$C$2:$C$1001=$A52)*(Results!$B$2:$B$1001=700)*(Results!$K$2:$K$1001&gt;0),Results!$K$2:$K$1001),1),0)+IFERROR(LARGE(IF((Results!$C$2:$C$1001=$A52)*(Results!$B$2:$B$1001=700)*(Results!$K$2:$K$1001&gt;0),Results!$K$2:$K$1001),2),0)+IFERROR(LARGE(IF((Results!$C$2:$C$1001=$A52)*(Results!$B$2:$B$1001=800)*(Results!$K$2:$K$1001&gt;0),Results!$K$2:$K$1001),1),0)+IFERROR(LARGE(IF((Results!$C$2:$C$1001=$A52)*(Results!$B$2:$B$1001=800)*(Results!$K$2:$K$1001&gt;0),Results!$K$2:$K$1001),2),0)+IFERROR(LARGE(IF((Results!$C$2:$C$1001=$A52)*(Results!$B$2:$B$1001=900)*(Results!$K$2:$K$1001&gt;0),Results!$K$2:$K$1001),1),0)+IFERROR(LARGE(IF((Results!$C$2:$C$1001=$A52)*(Results!$B$2:$B$1001=900)*(Results!$K$2:$K$1001&gt;0),Results!$K$2:$K$1001),2),0))</f>
        <v/>
      </c>
      <c r="M52" s="32">
        <f>IFERROR(IF(OR(L52=0,L52=""),"",RANK(L52,$L$4:$L$70,0)),"")</f>
        <v/>
      </c>
      <c r="N52" s="16">
        <f>IF($A52="","",IFERROR(AVERAGEIF(B52:K52,"&gt;"&amp;0),0))</f>
        <v/>
      </c>
    </row>
    <row r="53" ht="13.5" customHeight="1">
      <c r="A53" s="5">
        <f t="array" ref="A53">IFERROR(INDEX(Results!$C$2:$C$1001,MATCH(0,COUNTIF($A$3:A52,Results!$C$2:$C$1001)+(Results!$C$2:$C$1001=""),0)),"")</f>
        <v/>
      </c>
      <c r="B53" s="16">
        <f t="array" ref="B53">IFERROR(LARGE(IF((Results!$C$2:$C$1001=$A53)*(Results!$B$2:$B$1001=500)*(Results!$K$2:$K$1001&gt;0),Results!$K$2:$K$1001),1),"")</f>
        <v/>
      </c>
      <c r="C53" s="16">
        <f t="array" ref="C53">IFERROR(LARGE(IF((Results!$C$2:$C$1001=$A53)*(Results!$B$2:$B$1001=500)*(Results!$K$2:$K$1001&gt;0),Results!$K$2:$K$1001),2),"")</f>
        <v/>
      </c>
      <c r="D53" s="16">
        <f t="array" ref="D53">IFERROR(LARGE(IF((Results!$C$2:$C$1001=$A53)*(Results!$B$2:$B$1001=600)*(Results!$K$2:$K$1001&gt;0),Results!$K$2:$K$1001),1),"")</f>
        <v/>
      </c>
      <c r="E53" s="16">
        <f t="array" ref="E53">IFERROR(LARGE(IF((Results!$C$2:$C$1001=$A53)*(Results!$B$2:$B$1001=600)*(Results!$K$2:$K$1001&gt;0),Results!$K$2:$K$1001),2),"")</f>
        <v/>
      </c>
      <c r="F53" s="16">
        <f t="array" ref="F53">IFERROR(LARGE(IF((Results!$C$2:$C$1001=$A53)*(Results!$B$2:$B$1001=700)*(Results!$K$2:$K$1001&gt;0),Results!$K$2:$K$1001),1),"")</f>
        <v/>
      </c>
      <c r="G53" s="16">
        <f t="array" ref="G53">IFERROR(LARGE(IF((Results!$C$2:$C$1001=$A53)*(Results!$B$2:$B$1001=700)*(Results!$K$2:$K$1001&gt;0),Results!$K$2:$K$1001),2),"")</f>
        <v/>
      </c>
      <c r="H53" s="16">
        <f t="array" ref="H53">IFERROR(LARGE(IF((Results!$C$2:$C$1001=$A53)*(Results!$B$2:$B$1001=800)*(Results!$K$2:$K$1001&gt;0),Results!$K$2:$K$1001),1),"")</f>
        <v/>
      </c>
      <c r="I53" s="16">
        <f t="array" ref="I53">IFERROR(LARGE(IF((Results!$C$2:$C$1001=$A53)*(Results!$B$2:$B$1001=800)*(Results!$K$2:$K$1001&gt;0),Results!$K$2:$K$1001),2),"")</f>
        <v/>
      </c>
      <c r="J53" s="16">
        <f t="array" ref="J53">IFERROR(LARGE(IF((Results!$C$2:$C$1001=$A53)*(Results!$B$2:$B$1001=900)*(Results!$K$2:$K$1001&gt;0),Results!$K$2:$K$1001),1),"")</f>
        <v/>
      </c>
      <c r="K53" s="16">
        <f t="array" ref="K53">IFERROR(LARGE(IF((Results!$C$2:$C$1001=$A53)*(Results!$B$2:$B$1001=900)*(Results!$K$2:$K$1001&gt;0),Results!$K$2:$K$1001),2),"")</f>
        <v/>
      </c>
      <c r="L53" s="16">
        <f t="array" ref="L53">IF($A53="","",IFERROR(LARGE(IF((Results!$C$2:$C$1001=$A53)*(Results!$B$2:$B$1001=500)*(Results!$K$2:$K$1001&gt;0),Results!$K$2:$K$1001),1),0)+IFERROR(LARGE(IF((Results!$C$2:$C$1001=$A53)*(Results!$B$2:$B$1001=500)*(Results!$K$2:$K$1001&gt;0),Results!$K$2:$K$1001),2),0)+IFERROR(LARGE(IF((Results!$C$2:$C$1001=$A53)*(Results!$B$2:$B$1001=600)*(Results!$K$2:$K$1001&gt;0),Results!$K$2:$K$1001),1),0)+IFERROR(LARGE(IF((Results!$C$2:$C$1001=$A53)*(Results!$B$2:$B$1001=600)*(Results!$K$2:$K$1001&gt;0),Results!$K$2:$K$1001),2),0)+IFERROR(LARGE(IF((Results!$C$2:$C$1001=$A53)*(Results!$B$2:$B$1001=700)*(Results!$K$2:$K$1001&gt;0),Results!$K$2:$K$1001),1),0)+IFERROR(LARGE(IF((Results!$C$2:$C$1001=$A53)*(Results!$B$2:$B$1001=700)*(Results!$K$2:$K$1001&gt;0),Results!$K$2:$K$1001),2),0)+IFERROR(LARGE(IF((Results!$C$2:$C$1001=$A53)*(Results!$B$2:$B$1001=800)*(Results!$K$2:$K$1001&gt;0),Results!$K$2:$K$1001),1),0)+IFERROR(LARGE(IF((Results!$C$2:$C$1001=$A53)*(Results!$B$2:$B$1001=800)*(Results!$K$2:$K$1001&gt;0),Results!$K$2:$K$1001),2),0)+IFERROR(LARGE(IF((Results!$C$2:$C$1001=$A53)*(Results!$B$2:$B$1001=900)*(Results!$K$2:$K$1001&gt;0),Results!$K$2:$K$1001),1),0)+IFERROR(LARGE(IF((Results!$C$2:$C$1001=$A53)*(Results!$B$2:$B$1001=900)*(Results!$K$2:$K$1001&gt;0),Results!$K$2:$K$1001),2),0))</f>
        <v/>
      </c>
      <c r="M53" s="32">
        <f>IFERROR(IF(OR(L53=0,L53=""),"",RANK(L53,$L$4:$L$70,0)),"")</f>
        <v/>
      </c>
      <c r="N53" s="16">
        <f>IF($A53="","",IFERROR(AVERAGEIF(B53:K53,"&gt;"&amp;0),0))</f>
        <v/>
      </c>
    </row>
    <row r="54" ht="13.5" customHeight="1">
      <c r="A54" s="5">
        <f t="array" ref="A54">IFERROR(INDEX(Results!$C$2:$C$1001,MATCH(0,COUNTIF($A$3:A53,Results!$C$2:$C$1001)+(Results!$C$2:$C$1001=""),0)),"")</f>
        <v/>
      </c>
      <c r="B54" s="16">
        <f t="array" ref="B54">IFERROR(LARGE(IF((Results!$C$2:$C$1001=$A54)*(Results!$B$2:$B$1001=500)*(Results!$K$2:$K$1001&gt;0),Results!$K$2:$K$1001),1),"")</f>
        <v/>
      </c>
      <c r="C54" s="16">
        <f t="array" ref="C54">IFERROR(LARGE(IF((Results!$C$2:$C$1001=$A54)*(Results!$B$2:$B$1001=500)*(Results!$K$2:$K$1001&gt;0),Results!$K$2:$K$1001),2),"")</f>
        <v/>
      </c>
      <c r="D54" s="16">
        <f t="array" ref="D54">IFERROR(LARGE(IF((Results!$C$2:$C$1001=$A54)*(Results!$B$2:$B$1001=600)*(Results!$K$2:$K$1001&gt;0),Results!$K$2:$K$1001),1),"")</f>
        <v/>
      </c>
      <c r="E54" s="16">
        <f t="array" ref="E54">IFERROR(LARGE(IF((Results!$C$2:$C$1001=$A54)*(Results!$B$2:$B$1001=600)*(Results!$K$2:$K$1001&gt;0),Results!$K$2:$K$1001),2),"")</f>
        <v/>
      </c>
      <c r="F54" s="16">
        <f t="array" ref="F54">IFERROR(LARGE(IF((Results!$C$2:$C$1001=$A54)*(Results!$B$2:$B$1001=700)*(Results!$K$2:$K$1001&gt;0),Results!$K$2:$K$1001),1),"")</f>
        <v/>
      </c>
      <c r="G54" s="16">
        <f t="array" ref="G54">IFERROR(LARGE(IF((Results!$C$2:$C$1001=$A54)*(Results!$B$2:$B$1001=700)*(Results!$K$2:$K$1001&gt;0),Results!$K$2:$K$1001),2),"")</f>
        <v/>
      </c>
      <c r="H54" s="16">
        <f t="array" ref="H54">IFERROR(LARGE(IF((Results!$C$2:$C$1001=$A54)*(Results!$B$2:$B$1001=800)*(Results!$K$2:$K$1001&gt;0),Results!$K$2:$K$1001),1),"")</f>
        <v/>
      </c>
      <c r="I54" s="16">
        <f t="array" ref="I54">IFERROR(LARGE(IF((Results!$C$2:$C$1001=$A54)*(Results!$B$2:$B$1001=800)*(Results!$K$2:$K$1001&gt;0),Results!$K$2:$K$1001),2),"")</f>
        <v/>
      </c>
      <c r="J54" s="16">
        <f t="array" ref="J54">IFERROR(LARGE(IF((Results!$C$2:$C$1001=$A54)*(Results!$B$2:$B$1001=900)*(Results!$K$2:$K$1001&gt;0),Results!$K$2:$K$1001),1),"")</f>
        <v/>
      </c>
      <c r="K54" s="16">
        <f t="array" ref="K54">IFERROR(LARGE(IF((Results!$C$2:$C$1001=$A54)*(Results!$B$2:$B$1001=900)*(Results!$K$2:$K$1001&gt;0),Results!$K$2:$K$1001),2),"")</f>
        <v/>
      </c>
      <c r="L54" s="16">
        <f t="array" ref="L54">IF($A54="","",IFERROR(LARGE(IF((Results!$C$2:$C$1001=$A54)*(Results!$B$2:$B$1001=500)*(Results!$K$2:$K$1001&gt;0),Results!$K$2:$K$1001),1),0)+IFERROR(LARGE(IF((Results!$C$2:$C$1001=$A54)*(Results!$B$2:$B$1001=500)*(Results!$K$2:$K$1001&gt;0),Results!$K$2:$K$1001),2),0)+IFERROR(LARGE(IF((Results!$C$2:$C$1001=$A54)*(Results!$B$2:$B$1001=600)*(Results!$K$2:$K$1001&gt;0),Results!$K$2:$K$1001),1),0)+IFERROR(LARGE(IF((Results!$C$2:$C$1001=$A54)*(Results!$B$2:$B$1001=600)*(Results!$K$2:$K$1001&gt;0),Results!$K$2:$K$1001),2),0)+IFERROR(LARGE(IF((Results!$C$2:$C$1001=$A54)*(Results!$B$2:$B$1001=700)*(Results!$K$2:$K$1001&gt;0),Results!$K$2:$K$1001),1),0)+IFERROR(LARGE(IF((Results!$C$2:$C$1001=$A54)*(Results!$B$2:$B$1001=700)*(Results!$K$2:$K$1001&gt;0),Results!$K$2:$K$1001),2),0)+IFERROR(LARGE(IF((Results!$C$2:$C$1001=$A54)*(Results!$B$2:$B$1001=800)*(Results!$K$2:$K$1001&gt;0),Results!$K$2:$K$1001),1),0)+IFERROR(LARGE(IF((Results!$C$2:$C$1001=$A54)*(Results!$B$2:$B$1001=800)*(Results!$K$2:$K$1001&gt;0),Results!$K$2:$K$1001),2),0)+IFERROR(LARGE(IF((Results!$C$2:$C$1001=$A54)*(Results!$B$2:$B$1001=900)*(Results!$K$2:$K$1001&gt;0),Results!$K$2:$K$1001),1),0)+IFERROR(LARGE(IF((Results!$C$2:$C$1001=$A54)*(Results!$B$2:$B$1001=900)*(Results!$K$2:$K$1001&gt;0),Results!$K$2:$K$1001),2),0))</f>
        <v/>
      </c>
      <c r="M54" s="32">
        <f>IFERROR(IF(OR(L54=0,L54=""),"",RANK(L54,$L$4:$L$70,0)),"")</f>
        <v/>
      </c>
      <c r="N54" s="16">
        <f>IF($A54="","",IFERROR(AVERAGEIF(B54:K54,"&gt;"&amp;0),0))</f>
        <v/>
      </c>
    </row>
    <row r="55" ht="13.5" customHeight="1">
      <c r="A55" s="5">
        <f t="array" ref="A55">IFERROR(INDEX(Results!$C$2:$C$1001,MATCH(0,COUNTIF($A$3:A54,Results!$C$2:$C$1001)+(Results!$C$2:$C$1001=""),0)),"")</f>
        <v/>
      </c>
      <c r="B55" s="16">
        <f t="array" ref="B55">IFERROR(LARGE(IF((Results!$C$2:$C$1001=$A55)*(Results!$B$2:$B$1001=500)*(Results!$K$2:$K$1001&gt;0),Results!$K$2:$K$1001),1),"")</f>
        <v/>
      </c>
      <c r="C55" s="16">
        <f t="array" ref="C55">IFERROR(LARGE(IF((Results!$C$2:$C$1001=$A55)*(Results!$B$2:$B$1001=500)*(Results!$K$2:$K$1001&gt;0),Results!$K$2:$K$1001),2),"")</f>
        <v/>
      </c>
      <c r="D55" s="16">
        <f t="array" ref="D55">IFERROR(LARGE(IF((Results!$C$2:$C$1001=$A55)*(Results!$B$2:$B$1001=600)*(Results!$K$2:$K$1001&gt;0),Results!$K$2:$K$1001),1),"")</f>
        <v/>
      </c>
      <c r="E55" s="16">
        <f t="array" ref="E55">IFERROR(LARGE(IF((Results!$C$2:$C$1001=$A55)*(Results!$B$2:$B$1001=600)*(Results!$K$2:$K$1001&gt;0),Results!$K$2:$K$1001),2),"")</f>
        <v/>
      </c>
      <c r="F55" s="16">
        <f t="array" ref="F55">IFERROR(LARGE(IF((Results!$C$2:$C$1001=$A55)*(Results!$B$2:$B$1001=700)*(Results!$K$2:$K$1001&gt;0),Results!$K$2:$K$1001),1),"")</f>
        <v/>
      </c>
      <c r="G55" s="16">
        <f t="array" ref="G55">IFERROR(LARGE(IF((Results!$C$2:$C$1001=$A55)*(Results!$B$2:$B$1001=700)*(Results!$K$2:$K$1001&gt;0),Results!$K$2:$K$1001),2),"")</f>
        <v/>
      </c>
      <c r="H55" s="16">
        <f t="array" ref="H55">IFERROR(LARGE(IF((Results!$C$2:$C$1001=$A55)*(Results!$B$2:$B$1001=800)*(Results!$K$2:$K$1001&gt;0),Results!$K$2:$K$1001),1),"")</f>
        <v/>
      </c>
      <c r="I55" s="16">
        <f t="array" ref="I55">IFERROR(LARGE(IF((Results!$C$2:$C$1001=$A55)*(Results!$B$2:$B$1001=800)*(Results!$K$2:$K$1001&gt;0),Results!$K$2:$K$1001),2),"")</f>
        <v/>
      </c>
      <c r="J55" s="16">
        <f t="array" ref="J55">IFERROR(LARGE(IF((Results!$C$2:$C$1001=$A55)*(Results!$B$2:$B$1001=900)*(Results!$K$2:$K$1001&gt;0),Results!$K$2:$K$1001),1),"")</f>
        <v/>
      </c>
      <c r="K55" s="16">
        <f t="array" ref="K55">IFERROR(LARGE(IF((Results!$C$2:$C$1001=$A55)*(Results!$B$2:$B$1001=900)*(Results!$K$2:$K$1001&gt;0),Results!$K$2:$K$1001),2),"")</f>
        <v/>
      </c>
      <c r="L55" s="16">
        <f t="array" ref="L55">IF($A55="","",IFERROR(LARGE(IF((Results!$C$2:$C$1001=$A55)*(Results!$B$2:$B$1001=500)*(Results!$K$2:$K$1001&gt;0),Results!$K$2:$K$1001),1),0)+IFERROR(LARGE(IF((Results!$C$2:$C$1001=$A55)*(Results!$B$2:$B$1001=500)*(Results!$K$2:$K$1001&gt;0),Results!$K$2:$K$1001),2),0)+IFERROR(LARGE(IF((Results!$C$2:$C$1001=$A55)*(Results!$B$2:$B$1001=600)*(Results!$K$2:$K$1001&gt;0),Results!$K$2:$K$1001),1),0)+IFERROR(LARGE(IF((Results!$C$2:$C$1001=$A55)*(Results!$B$2:$B$1001=600)*(Results!$K$2:$K$1001&gt;0),Results!$K$2:$K$1001),2),0)+IFERROR(LARGE(IF((Results!$C$2:$C$1001=$A55)*(Results!$B$2:$B$1001=700)*(Results!$K$2:$K$1001&gt;0),Results!$K$2:$K$1001),1),0)+IFERROR(LARGE(IF((Results!$C$2:$C$1001=$A55)*(Results!$B$2:$B$1001=700)*(Results!$K$2:$K$1001&gt;0),Results!$K$2:$K$1001),2),0)+IFERROR(LARGE(IF((Results!$C$2:$C$1001=$A55)*(Results!$B$2:$B$1001=800)*(Results!$K$2:$K$1001&gt;0),Results!$K$2:$K$1001),1),0)+IFERROR(LARGE(IF((Results!$C$2:$C$1001=$A55)*(Results!$B$2:$B$1001=800)*(Results!$K$2:$K$1001&gt;0),Results!$K$2:$K$1001),2),0)+IFERROR(LARGE(IF((Results!$C$2:$C$1001=$A55)*(Results!$B$2:$B$1001=900)*(Results!$K$2:$K$1001&gt;0),Results!$K$2:$K$1001),1),0)+IFERROR(LARGE(IF((Results!$C$2:$C$1001=$A55)*(Results!$B$2:$B$1001=900)*(Results!$K$2:$K$1001&gt;0),Results!$K$2:$K$1001),2),0))</f>
        <v/>
      </c>
      <c r="M55" s="32">
        <f>IFERROR(IF(OR(L55=0,L55=""),"",RANK(L55,$L$4:$L$70,0)),"")</f>
        <v/>
      </c>
      <c r="N55" s="16">
        <f>IF($A55="","",IFERROR(AVERAGEIF(B55:K55,"&gt;"&amp;0),0))</f>
        <v/>
      </c>
    </row>
    <row r="56" ht="13.5" customHeight="1">
      <c r="A56" s="5">
        <f t="array" ref="A56">IFERROR(INDEX(Results!$C$2:$C$1001,MATCH(0,COUNTIF($A$3:A55,Results!$C$2:$C$1001)+(Results!$C$2:$C$1001=""),0)),"")</f>
        <v/>
      </c>
      <c r="B56" s="16">
        <f t="array" ref="B56">IFERROR(LARGE(IF((Results!$C$2:$C$1001=$A56)*(Results!$B$2:$B$1001=500)*(Results!$K$2:$K$1001&gt;0),Results!$K$2:$K$1001),1),"")</f>
        <v/>
      </c>
      <c r="C56" s="16">
        <f t="array" ref="C56">IFERROR(LARGE(IF((Results!$C$2:$C$1001=$A56)*(Results!$B$2:$B$1001=500)*(Results!$K$2:$K$1001&gt;0),Results!$K$2:$K$1001),2),"")</f>
        <v/>
      </c>
      <c r="D56" s="16">
        <f t="array" ref="D56">IFERROR(LARGE(IF((Results!$C$2:$C$1001=$A56)*(Results!$B$2:$B$1001=600)*(Results!$K$2:$K$1001&gt;0),Results!$K$2:$K$1001),1),"")</f>
        <v/>
      </c>
      <c r="E56" s="16">
        <f t="array" ref="E56">IFERROR(LARGE(IF((Results!$C$2:$C$1001=$A56)*(Results!$B$2:$B$1001=600)*(Results!$K$2:$K$1001&gt;0),Results!$K$2:$K$1001),2),"")</f>
        <v/>
      </c>
      <c r="F56" s="16">
        <f t="array" ref="F56">IFERROR(LARGE(IF((Results!$C$2:$C$1001=$A56)*(Results!$B$2:$B$1001=700)*(Results!$K$2:$K$1001&gt;0),Results!$K$2:$K$1001),1),"")</f>
        <v/>
      </c>
      <c r="G56" s="16">
        <f t="array" ref="G56">IFERROR(LARGE(IF((Results!$C$2:$C$1001=$A56)*(Results!$B$2:$B$1001=700)*(Results!$K$2:$K$1001&gt;0),Results!$K$2:$K$1001),2),"")</f>
        <v/>
      </c>
      <c r="H56" s="16">
        <f t="array" ref="H56">IFERROR(LARGE(IF((Results!$C$2:$C$1001=$A56)*(Results!$B$2:$B$1001=800)*(Results!$K$2:$K$1001&gt;0),Results!$K$2:$K$1001),1),"")</f>
        <v/>
      </c>
      <c r="I56" s="16">
        <f t="array" ref="I56">IFERROR(LARGE(IF((Results!$C$2:$C$1001=$A56)*(Results!$B$2:$B$1001=800)*(Results!$K$2:$K$1001&gt;0),Results!$K$2:$K$1001),2),"")</f>
        <v/>
      </c>
      <c r="J56" s="16">
        <f t="array" ref="J56">IFERROR(LARGE(IF((Results!$C$2:$C$1001=$A56)*(Results!$B$2:$B$1001=900)*(Results!$K$2:$K$1001&gt;0),Results!$K$2:$K$1001),1),"")</f>
        <v/>
      </c>
      <c r="K56" s="16">
        <f t="array" ref="K56">IFERROR(LARGE(IF((Results!$C$2:$C$1001=$A56)*(Results!$B$2:$B$1001=900)*(Results!$K$2:$K$1001&gt;0),Results!$K$2:$K$1001),2),"")</f>
        <v/>
      </c>
      <c r="L56" s="16">
        <f t="array" ref="L56">IF($A56="","",IFERROR(LARGE(IF((Results!$C$2:$C$1001=$A56)*(Results!$B$2:$B$1001=500)*(Results!$K$2:$K$1001&gt;0),Results!$K$2:$K$1001),1),0)+IFERROR(LARGE(IF((Results!$C$2:$C$1001=$A56)*(Results!$B$2:$B$1001=500)*(Results!$K$2:$K$1001&gt;0),Results!$K$2:$K$1001),2),0)+IFERROR(LARGE(IF((Results!$C$2:$C$1001=$A56)*(Results!$B$2:$B$1001=600)*(Results!$K$2:$K$1001&gt;0),Results!$K$2:$K$1001),1),0)+IFERROR(LARGE(IF((Results!$C$2:$C$1001=$A56)*(Results!$B$2:$B$1001=600)*(Results!$K$2:$K$1001&gt;0),Results!$K$2:$K$1001),2),0)+IFERROR(LARGE(IF((Results!$C$2:$C$1001=$A56)*(Results!$B$2:$B$1001=700)*(Results!$K$2:$K$1001&gt;0),Results!$K$2:$K$1001),1),0)+IFERROR(LARGE(IF((Results!$C$2:$C$1001=$A56)*(Results!$B$2:$B$1001=700)*(Results!$K$2:$K$1001&gt;0),Results!$K$2:$K$1001),2),0)+IFERROR(LARGE(IF((Results!$C$2:$C$1001=$A56)*(Results!$B$2:$B$1001=800)*(Results!$K$2:$K$1001&gt;0),Results!$K$2:$K$1001),1),0)+IFERROR(LARGE(IF((Results!$C$2:$C$1001=$A56)*(Results!$B$2:$B$1001=800)*(Results!$K$2:$K$1001&gt;0),Results!$K$2:$K$1001),2),0)+IFERROR(LARGE(IF((Results!$C$2:$C$1001=$A56)*(Results!$B$2:$B$1001=900)*(Results!$K$2:$K$1001&gt;0),Results!$K$2:$K$1001),1),0)+IFERROR(LARGE(IF((Results!$C$2:$C$1001=$A56)*(Results!$B$2:$B$1001=900)*(Results!$K$2:$K$1001&gt;0),Results!$K$2:$K$1001),2),0))</f>
        <v/>
      </c>
      <c r="M56" s="32">
        <f>IFERROR(IF(OR(L56=0,L56=""),"",RANK(L56,$L$4:$L$70,0)),"")</f>
        <v/>
      </c>
      <c r="N56" s="16">
        <f>IF($A56="","",IFERROR(AVERAGEIF(B56:K56,"&gt;"&amp;0),0))</f>
        <v/>
      </c>
    </row>
    <row r="57" ht="13.5" customHeight="1">
      <c r="A57" s="5">
        <f t="array" ref="A57">IFERROR(INDEX(Results!$C$2:$C$1001,MATCH(0,COUNTIF($A$3:A56,Results!$C$2:$C$1001)+(Results!$C$2:$C$1001=""),0)),"")</f>
        <v/>
      </c>
      <c r="B57" s="16">
        <f t="array" ref="B57">IFERROR(LARGE(IF((Results!$C$2:$C$1001=$A57)*(Results!$B$2:$B$1001=500)*(Results!$K$2:$K$1001&gt;0),Results!$K$2:$K$1001),1),"")</f>
        <v/>
      </c>
      <c r="C57" s="16">
        <f t="array" ref="C57">IFERROR(LARGE(IF((Results!$C$2:$C$1001=$A57)*(Results!$B$2:$B$1001=500)*(Results!$K$2:$K$1001&gt;0),Results!$K$2:$K$1001),2),"")</f>
        <v/>
      </c>
      <c r="D57" s="16">
        <f t="array" ref="D57">IFERROR(LARGE(IF((Results!$C$2:$C$1001=$A57)*(Results!$B$2:$B$1001=600)*(Results!$K$2:$K$1001&gt;0),Results!$K$2:$K$1001),1),"")</f>
        <v/>
      </c>
      <c r="E57" s="16">
        <f t="array" ref="E57">IFERROR(LARGE(IF((Results!$C$2:$C$1001=$A57)*(Results!$B$2:$B$1001=600)*(Results!$K$2:$K$1001&gt;0),Results!$K$2:$K$1001),2),"")</f>
        <v/>
      </c>
      <c r="F57" s="16">
        <f t="array" ref="F57">IFERROR(LARGE(IF((Results!$C$2:$C$1001=$A57)*(Results!$B$2:$B$1001=700)*(Results!$K$2:$K$1001&gt;0),Results!$K$2:$K$1001),1),"")</f>
        <v/>
      </c>
      <c r="G57" s="16">
        <f t="array" ref="G57">IFERROR(LARGE(IF((Results!$C$2:$C$1001=$A57)*(Results!$B$2:$B$1001=700)*(Results!$K$2:$K$1001&gt;0),Results!$K$2:$K$1001),2),"")</f>
        <v/>
      </c>
      <c r="H57" s="16">
        <f t="array" ref="H57">IFERROR(LARGE(IF((Results!$C$2:$C$1001=$A57)*(Results!$B$2:$B$1001=800)*(Results!$K$2:$K$1001&gt;0),Results!$K$2:$K$1001),1),"")</f>
        <v/>
      </c>
      <c r="I57" s="16">
        <f t="array" ref="I57">IFERROR(LARGE(IF((Results!$C$2:$C$1001=$A57)*(Results!$B$2:$B$1001=800)*(Results!$K$2:$K$1001&gt;0),Results!$K$2:$K$1001),2),"")</f>
        <v/>
      </c>
      <c r="J57" s="16">
        <f t="array" ref="J57">IFERROR(LARGE(IF((Results!$C$2:$C$1001=$A57)*(Results!$B$2:$B$1001=900)*(Results!$K$2:$K$1001&gt;0),Results!$K$2:$K$1001),1),"")</f>
        <v/>
      </c>
      <c r="K57" s="16">
        <f t="array" ref="K57">IFERROR(LARGE(IF((Results!$C$2:$C$1001=$A57)*(Results!$B$2:$B$1001=900)*(Results!$K$2:$K$1001&gt;0),Results!$K$2:$K$1001),2),"")</f>
        <v/>
      </c>
      <c r="L57" s="16">
        <f t="array" ref="L57">IF($A57="","",IFERROR(LARGE(IF((Results!$C$2:$C$1001=$A57)*(Results!$B$2:$B$1001=500)*(Results!$K$2:$K$1001&gt;0),Results!$K$2:$K$1001),1),0)+IFERROR(LARGE(IF((Results!$C$2:$C$1001=$A57)*(Results!$B$2:$B$1001=500)*(Results!$K$2:$K$1001&gt;0),Results!$K$2:$K$1001),2),0)+IFERROR(LARGE(IF((Results!$C$2:$C$1001=$A57)*(Results!$B$2:$B$1001=600)*(Results!$K$2:$K$1001&gt;0),Results!$K$2:$K$1001),1),0)+IFERROR(LARGE(IF((Results!$C$2:$C$1001=$A57)*(Results!$B$2:$B$1001=600)*(Results!$K$2:$K$1001&gt;0),Results!$K$2:$K$1001),2),0)+IFERROR(LARGE(IF((Results!$C$2:$C$1001=$A57)*(Results!$B$2:$B$1001=700)*(Results!$K$2:$K$1001&gt;0),Results!$K$2:$K$1001),1),0)+IFERROR(LARGE(IF((Results!$C$2:$C$1001=$A57)*(Results!$B$2:$B$1001=700)*(Results!$K$2:$K$1001&gt;0),Results!$K$2:$K$1001),2),0)+IFERROR(LARGE(IF((Results!$C$2:$C$1001=$A57)*(Results!$B$2:$B$1001=800)*(Results!$K$2:$K$1001&gt;0),Results!$K$2:$K$1001),1),0)+IFERROR(LARGE(IF((Results!$C$2:$C$1001=$A57)*(Results!$B$2:$B$1001=800)*(Results!$K$2:$K$1001&gt;0),Results!$K$2:$K$1001),2),0)+IFERROR(LARGE(IF((Results!$C$2:$C$1001=$A57)*(Results!$B$2:$B$1001=900)*(Results!$K$2:$K$1001&gt;0),Results!$K$2:$K$1001),1),0)+IFERROR(LARGE(IF((Results!$C$2:$C$1001=$A57)*(Results!$B$2:$B$1001=900)*(Results!$K$2:$K$1001&gt;0),Results!$K$2:$K$1001),2),0))</f>
        <v/>
      </c>
      <c r="M57" s="32">
        <f>IFERROR(IF(OR(L57=0,L57=""),"",RANK(L57,$L$4:$L$70,0)),"")</f>
        <v/>
      </c>
      <c r="N57" s="16">
        <f>IF($A57="","",IFERROR(AVERAGEIF(B57:K57,"&gt;"&amp;0),0))</f>
        <v/>
      </c>
    </row>
    <row r="58" ht="13.5" customHeight="1">
      <c r="A58" s="5">
        <f t="array" ref="A58">IFERROR(INDEX(Results!$C$2:$C$1001,MATCH(0,COUNTIF($A$3:A57,Results!$C$2:$C$1001)+(Results!$C$2:$C$1001=""),0)),"")</f>
        <v/>
      </c>
      <c r="B58" s="16">
        <f t="array" ref="B58">IFERROR(LARGE(IF((Results!$C$2:$C$1001=$A58)*(Results!$B$2:$B$1001=500)*(Results!$K$2:$K$1001&gt;0),Results!$K$2:$K$1001),1),"")</f>
        <v/>
      </c>
      <c r="C58" s="16">
        <f t="array" ref="C58">IFERROR(LARGE(IF((Results!$C$2:$C$1001=$A58)*(Results!$B$2:$B$1001=500)*(Results!$K$2:$K$1001&gt;0),Results!$K$2:$K$1001),2),"")</f>
        <v/>
      </c>
      <c r="D58" s="16">
        <f t="array" ref="D58">IFERROR(LARGE(IF((Results!$C$2:$C$1001=$A58)*(Results!$B$2:$B$1001=600)*(Results!$K$2:$K$1001&gt;0),Results!$K$2:$K$1001),1),"")</f>
        <v/>
      </c>
      <c r="E58" s="16">
        <f t="array" ref="E58">IFERROR(LARGE(IF((Results!$C$2:$C$1001=$A58)*(Results!$B$2:$B$1001=600)*(Results!$K$2:$K$1001&gt;0),Results!$K$2:$K$1001),2),"")</f>
        <v/>
      </c>
      <c r="F58" s="16">
        <f t="array" ref="F58">IFERROR(LARGE(IF((Results!$C$2:$C$1001=$A58)*(Results!$B$2:$B$1001=700)*(Results!$K$2:$K$1001&gt;0),Results!$K$2:$K$1001),1),"")</f>
        <v/>
      </c>
      <c r="G58" s="16">
        <f t="array" ref="G58">IFERROR(LARGE(IF((Results!$C$2:$C$1001=$A58)*(Results!$B$2:$B$1001=700)*(Results!$K$2:$K$1001&gt;0),Results!$K$2:$K$1001),2),"")</f>
        <v/>
      </c>
      <c r="H58" s="16">
        <f t="array" ref="H58">IFERROR(LARGE(IF((Results!$C$2:$C$1001=$A58)*(Results!$B$2:$B$1001=800)*(Results!$K$2:$K$1001&gt;0),Results!$K$2:$K$1001),1),"")</f>
        <v/>
      </c>
      <c r="I58" s="16">
        <f t="array" ref="I58">IFERROR(LARGE(IF((Results!$C$2:$C$1001=$A58)*(Results!$B$2:$B$1001=800)*(Results!$K$2:$K$1001&gt;0),Results!$K$2:$K$1001),2),"")</f>
        <v/>
      </c>
      <c r="J58" s="16">
        <f t="array" ref="J58">IFERROR(LARGE(IF((Results!$C$2:$C$1001=$A58)*(Results!$B$2:$B$1001=900)*(Results!$K$2:$K$1001&gt;0),Results!$K$2:$K$1001),1),"")</f>
        <v/>
      </c>
      <c r="K58" s="16">
        <f t="array" ref="K58">IFERROR(LARGE(IF((Results!$C$2:$C$1001=$A58)*(Results!$B$2:$B$1001=900)*(Results!$K$2:$K$1001&gt;0),Results!$K$2:$K$1001),2),"")</f>
        <v/>
      </c>
      <c r="L58" s="16">
        <f t="array" ref="L58">IF($A58="","",IFERROR(LARGE(IF((Results!$C$2:$C$1001=$A58)*(Results!$B$2:$B$1001=500)*(Results!$K$2:$K$1001&gt;0),Results!$K$2:$K$1001),1),0)+IFERROR(LARGE(IF((Results!$C$2:$C$1001=$A58)*(Results!$B$2:$B$1001=500)*(Results!$K$2:$K$1001&gt;0),Results!$K$2:$K$1001),2),0)+IFERROR(LARGE(IF((Results!$C$2:$C$1001=$A58)*(Results!$B$2:$B$1001=600)*(Results!$K$2:$K$1001&gt;0),Results!$K$2:$K$1001),1),0)+IFERROR(LARGE(IF((Results!$C$2:$C$1001=$A58)*(Results!$B$2:$B$1001=600)*(Results!$K$2:$K$1001&gt;0),Results!$K$2:$K$1001),2),0)+IFERROR(LARGE(IF((Results!$C$2:$C$1001=$A58)*(Results!$B$2:$B$1001=700)*(Results!$K$2:$K$1001&gt;0),Results!$K$2:$K$1001),1),0)+IFERROR(LARGE(IF((Results!$C$2:$C$1001=$A58)*(Results!$B$2:$B$1001=700)*(Results!$K$2:$K$1001&gt;0),Results!$K$2:$K$1001),2),0)+IFERROR(LARGE(IF((Results!$C$2:$C$1001=$A58)*(Results!$B$2:$B$1001=800)*(Results!$K$2:$K$1001&gt;0),Results!$K$2:$K$1001),1),0)+IFERROR(LARGE(IF((Results!$C$2:$C$1001=$A58)*(Results!$B$2:$B$1001=800)*(Results!$K$2:$K$1001&gt;0),Results!$K$2:$K$1001),2),0)+IFERROR(LARGE(IF((Results!$C$2:$C$1001=$A58)*(Results!$B$2:$B$1001=900)*(Results!$K$2:$K$1001&gt;0),Results!$K$2:$K$1001),1),0)+IFERROR(LARGE(IF((Results!$C$2:$C$1001=$A58)*(Results!$B$2:$B$1001=900)*(Results!$K$2:$K$1001&gt;0),Results!$K$2:$K$1001),2),0))</f>
        <v/>
      </c>
      <c r="M58" s="32">
        <f>IFERROR(IF(OR(L58=0,L58=""),"",RANK(L58,$L$4:$L$70,0)),"")</f>
        <v/>
      </c>
      <c r="N58" s="16">
        <f>IF($A58="","",IFERROR(AVERAGEIF(B58:K58,"&gt;"&amp;0),0))</f>
        <v/>
      </c>
    </row>
    <row r="59" ht="13.5" customHeight="1">
      <c r="A59" s="5">
        <f t="array" ref="A59">IFERROR(INDEX(Results!$C$2:$C$1001,MATCH(0,COUNTIF($A$3:A58,Results!$C$2:$C$1001)+(Results!$C$2:$C$1001=""),0)),"")</f>
        <v/>
      </c>
      <c r="B59" s="16">
        <f t="array" ref="B59">IFERROR(LARGE(IF((Results!$C$2:$C$1001=$A59)*(Results!$B$2:$B$1001=500)*(Results!$K$2:$K$1001&gt;0),Results!$K$2:$K$1001),1),"")</f>
        <v/>
      </c>
      <c r="C59" s="16">
        <f t="array" ref="C59">IFERROR(LARGE(IF((Results!$C$2:$C$1001=$A59)*(Results!$B$2:$B$1001=500)*(Results!$K$2:$K$1001&gt;0),Results!$K$2:$K$1001),2),"")</f>
        <v/>
      </c>
      <c r="D59" s="16">
        <f t="array" ref="D59">IFERROR(LARGE(IF((Results!$C$2:$C$1001=$A59)*(Results!$B$2:$B$1001=600)*(Results!$K$2:$K$1001&gt;0),Results!$K$2:$K$1001),1),"")</f>
        <v/>
      </c>
      <c r="E59" s="16">
        <f t="array" ref="E59">IFERROR(LARGE(IF((Results!$C$2:$C$1001=$A59)*(Results!$B$2:$B$1001=600)*(Results!$K$2:$K$1001&gt;0),Results!$K$2:$K$1001),2),"")</f>
        <v/>
      </c>
      <c r="F59" s="16">
        <f t="array" ref="F59">IFERROR(LARGE(IF((Results!$C$2:$C$1001=$A59)*(Results!$B$2:$B$1001=700)*(Results!$K$2:$K$1001&gt;0),Results!$K$2:$K$1001),1),"")</f>
        <v/>
      </c>
      <c r="G59" s="16">
        <f t="array" ref="G59">IFERROR(LARGE(IF((Results!$C$2:$C$1001=$A59)*(Results!$B$2:$B$1001=700)*(Results!$K$2:$K$1001&gt;0),Results!$K$2:$K$1001),2),"")</f>
        <v/>
      </c>
      <c r="H59" s="16">
        <f t="array" ref="H59">IFERROR(LARGE(IF((Results!$C$2:$C$1001=$A59)*(Results!$B$2:$B$1001=800)*(Results!$K$2:$K$1001&gt;0),Results!$K$2:$K$1001),1),"")</f>
        <v/>
      </c>
      <c r="I59" s="16">
        <f t="array" ref="I59">IFERROR(LARGE(IF((Results!$C$2:$C$1001=$A59)*(Results!$B$2:$B$1001=800)*(Results!$K$2:$K$1001&gt;0),Results!$K$2:$K$1001),2),"")</f>
        <v/>
      </c>
      <c r="J59" s="16">
        <f t="array" ref="J59">IFERROR(LARGE(IF((Results!$C$2:$C$1001=$A59)*(Results!$B$2:$B$1001=900)*(Results!$K$2:$K$1001&gt;0),Results!$K$2:$K$1001),1),"")</f>
        <v/>
      </c>
      <c r="K59" s="16">
        <f t="array" ref="K59">IFERROR(LARGE(IF((Results!$C$2:$C$1001=$A59)*(Results!$B$2:$B$1001=900)*(Results!$K$2:$K$1001&gt;0),Results!$K$2:$K$1001),2),"")</f>
        <v/>
      </c>
      <c r="L59" s="16">
        <f t="array" ref="L59">IF($A59="","",IFERROR(LARGE(IF((Results!$C$2:$C$1001=$A59)*(Results!$B$2:$B$1001=500)*(Results!$K$2:$K$1001&gt;0),Results!$K$2:$K$1001),1),0)+IFERROR(LARGE(IF((Results!$C$2:$C$1001=$A59)*(Results!$B$2:$B$1001=500)*(Results!$K$2:$K$1001&gt;0),Results!$K$2:$K$1001),2),0)+IFERROR(LARGE(IF((Results!$C$2:$C$1001=$A59)*(Results!$B$2:$B$1001=600)*(Results!$K$2:$K$1001&gt;0),Results!$K$2:$K$1001),1),0)+IFERROR(LARGE(IF((Results!$C$2:$C$1001=$A59)*(Results!$B$2:$B$1001=600)*(Results!$K$2:$K$1001&gt;0),Results!$K$2:$K$1001),2),0)+IFERROR(LARGE(IF((Results!$C$2:$C$1001=$A59)*(Results!$B$2:$B$1001=700)*(Results!$K$2:$K$1001&gt;0),Results!$K$2:$K$1001),1),0)+IFERROR(LARGE(IF((Results!$C$2:$C$1001=$A59)*(Results!$B$2:$B$1001=700)*(Results!$K$2:$K$1001&gt;0),Results!$K$2:$K$1001),2),0)+IFERROR(LARGE(IF((Results!$C$2:$C$1001=$A59)*(Results!$B$2:$B$1001=800)*(Results!$K$2:$K$1001&gt;0),Results!$K$2:$K$1001),1),0)+IFERROR(LARGE(IF((Results!$C$2:$C$1001=$A59)*(Results!$B$2:$B$1001=800)*(Results!$K$2:$K$1001&gt;0),Results!$K$2:$K$1001),2),0)+IFERROR(LARGE(IF((Results!$C$2:$C$1001=$A59)*(Results!$B$2:$B$1001=900)*(Results!$K$2:$K$1001&gt;0),Results!$K$2:$K$1001),1),0)+IFERROR(LARGE(IF((Results!$C$2:$C$1001=$A59)*(Results!$B$2:$B$1001=900)*(Results!$K$2:$K$1001&gt;0),Results!$K$2:$K$1001),2),0))</f>
        <v/>
      </c>
      <c r="M59" s="32">
        <f>IFERROR(IF(OR(L59=0,L59=""),"",RANK(L59,$L$4:$L$70,0)),"")</f>
        <v/>
      </c>
      <c r="N59" s="16">
        <f>IF($A59="","",IFERROR(AVERAGEIF(B59:K59,"&gt;"&amp;0),0))</f>
        <v/>
      </c>
    </row>
    <row r="60" ht="13.5" customHeight="1">
      <c r="A60" s="5">
        <f t="array" ref="A60">IFERROR(INDEX(Results!$C$2:$C$1001,MATCH(0,COUNTIF($A$3:A59,Results!$C$2:$C$1001)+(Results!$C$2:$C$1001=""),0)),"")</f>
        <v/>
      </c>
      <c r="B60" s="16">
        <f t="array" ref="B60">IFERROR(LARGE(IF((Results!$C$2:$C$1001=$A60)*(Results!$B$2:$B$1001=500)*(Results!$K$2:$K$1001&gt;0),Results!$K$2:$K$1001),1),"")</f>
        <v/>
      </c>
      <c r="C60" s="16">
        <f t="array" ref="C60">IFERROR(LARGE(IF((Results!$C$2:$C$1001=$A60)*(Results!$B$2:$B$1001=500)*(Results!$K$2:$K$1001&gt;0),Results!$K$2:$K$1001),2),"")</f>
        <v/>
      </c>
      <c r="D60" s="16">
        <f t="array" ref="D60">IFERROR(LARGE(IF((Results!$C$2:$C$1001=$A60)*(Results!$B$2:$B$1001=600)*(Results!$K$2:$K$1001&gt;0),Results!$K$2:$K$1001),1),"")</f>
        <v/>
      </c>
      <c r="E60" s="16">
        <f t="array" ref="E60">IFERROR(LARGE(IF((Results!$C$2:$C$1001=$A60)*(Results!$B$2:$B$1001=600)*(Results!$K$2:$K$1001&gt;0),Results!$K$2:$K$1001),2),"")</f>
        <v/>
      </c>
      <c r="F60" s="16">
        <f t="array" ref="F60">IFERROR(LARGE(IF((Results!$C$2:$C$1001=$A60)*(Results!$B$2:$B$1001=700)*(Results!$K$2:$K$1001&gt;0),Results!$K$2:$K$1001),1),"")</f>
        <v/>
      </c>
      <c r="G60" s="16">
        <f t="array" ref="G60">IFERROR(LARGE(IF((Results!$C$2:$C$1001=$A60)*(Results!$B$2:$B$1001=700)*(Results!$K$2:$K$1001&gt;0),Results!$K$2:$K$1001),2),"")</f>
        <v/>
      </c>
      <c r="H60" s="16">
        <f t="array" ref="H60">IFERROR(LARGE(IF((Results!$C$2:$C$1001=$A60)*(Results!$B$2:$B$1001=800)*(Results!$K$2:$K$1001&gt;0),Results!$K$2:$K$1001),1),"")</f>
        <v/>
      </c>
      <c r="I60" s="16">
        <f t="array" ref="I60">IFERROR(LARGE(IF((Results!$C$2:$C$1001=$A60)*(Results!$B$2:$B$1001=800)*(Results!$K$2:$K$1001&gt;0),Results!$K$2:$K$1001),2),"")</f>
        <v/>
      </c>
      <c r="J60" s="16">
        <f t="array" ref="J60">IFERROR(LARGE(IF((Results!$C$2:$C$1001=$A60)*(Results!$B$2:$B$1001=900)*(Results!$K$2:$K$1001&gt;0),Results!$K$2:$K$1001),1),"")</f>
        <v/>
      </c>
      <c r="K60" s="16">
        <f t="array" ref="K60">IFERROR(LARGE(IF((Results!$C$2:$C$1001=$A60)*(Results!$B$2:$B$1001=900)*(Results!$K$2:$K$1001&gt;0),Results!$K$2:$K$1001),2),"")</f>
        <v/>
      </c>
      <c r="L60" s="16">
        <f t="array" ref="L60">IF($A60="","",IFERROR(LARGE(IF((Results!$C$2:$C$1001=$A60)*(Results!$B$2:$B$1001=500)*(Results!$K$2:$K$1001&gt;0),Results!$K$2:$K$1001),1),0)+IFERROR(LARGE(IF((Results!$C$2:$C$1001=$A60)*(Results!$B$2:$B$1001=500)*(Results!$K$2:$K$1001&gt;0),Results!$K$2:$K$1001),2),0)+IFERROR(LARGE(IF((Results!$C$2:$C$1001=$A60)*(Results!$B$2:$B$1001=600)*(Results!$K$2:$K$1001&gt;0),Results!$K$2:$K$1001),1),0)+IFERROR(LARGE(IF((Results!$C$2:$C$1001=$A60)*(Results!$B$2:$B$1001=600)*(Results!$K$2:$K$1001&gt;0),Results!$K$2:$K$1001),2),0)+IFERROR(LARGE(IF((Results!$C$2:$C$1001=$A60)*(Results!$B$2:$B$1001=700)*(Results!$K$2:$K$1001&gt;0),Results!$K$2:$K$1001),1),0)+IFERROR(LARGE(IF((Results!$C$2:$C$1001=$A60)*(Results!$B$2:$B$1001=700)*(Results!$K$2:$K$1001&gt;0),Results!$K$2:$K$1001),2),0)+IFERROR(LARGE(IF((Results!$C$2:$C$1001=$A60)*(Results!$B$2:$B$1001=800)*(Results!$K$2:$K$1001&gt;0),Results!$K$2:$K$1001),1),0)+IFERROR(LARGE(IF((Results!$C$2:$C$1001=$A60)*(Results!$B$2:$B$1001=800)*(Results!$K$2:$K$1001&gt;0),Results!$K$2:$K$1001),2),0)+IFERROR(LARGE(IF((Results!$C$2:$C$1001=$A60)*(Results!$B$2:$B$1001=900)*(Results!$K$2:$K$1001&gt;0),Results!$K$2:$K$1001),1),0)+IFERROR(LARGE(IF((Results!$C$2:$C$1001=$A60)*(Results!$B$2:$B$1001=900)*(Results!$K$2:$K$1001&gt;0),Results!$K$2:$K$1001),2),0))</f>
        <v/>
      </c>
      <c r="M60" s="32">
        <f>IFERROR(IF(OR(L60=0,L60=""),"",RANK(L60,$L$4:$L$70,0)),"")</f>
        <v/>
      </c>
      <c r="N60" s="16">
        <f>IF($A60="","",IFERROR(AVERAGEIF(B60:K60,"&gt;"&amp;0),0))</f>
        <v/>
      </c>
    </row>
    <row r="61" ht="13.5" customHeight="1">
      <c r="A61" s="5">
        <f t="array" ref="A61">IFERROR(INDEX(Results!$C$2:$C$1001,MATCH(0,COUNTIF($A$3:A60,Results!$C$2:$C$1001)+(Results!$C$2:$C$1001=""),0)),"")</f>
        <v/>
      </c>
      <c r="B61" s="16">
        <f t="array" ref="B61">IFERROR(LARGE(IF((Results!$C$2:$C$1001=$A61)*(Results!$B$2:$B$1001=500)*(Results!$K$2:$K$1001&gt;0),Results!$K$2:$K$1001),1),"")</f>
        <v/>
      </c>
      <c r="C61" s="16">
        <f t="array" ref="C61">IFERROR(LARGE(IF((Results!$C$2:$C$1001=$A61)*(Results!$B$2:$B$1001=500)*(Results!$K$2:$K$1001&gt;0),Results!$K$2:$K$1001),2),"")</f>
        <v/>
      </c>
      <c r="D61" s="16">
        <f t="array" ref="D61">IFERROR(LARGE(IF((Results!$C$2:$C$1001=$A61)*(Results!$B$2:$B$1001=600)*(Results!$K$2:$K$1001&gt;0),Results!$K$2:$K$1001),1),"")</f>
        <v/>
      </c>
      <c r="E61" s="16">
        <f t="array" ref="E61">IFERROR(LARGE(IF((Results!$C$2:$C$1001=$A61)*(Results!$B$2:$B$1001=600)*(Results!$K$2:$K$1001&gt;0),Results!$K$2:$K$1001),2),"")</f>
        <v/>
      </c>
      <c r="F61" s="16">
        <f t="array" ref="F61">IFERROR(LARGE(IF((Results!$C$2:$C$1001=$A61)*(Results!$B$2:$B$1001=700)*(Results!$K$2:$K$1001&gt;0),Results!$K$2:$K$1001),1),"")</f>
        <v/>
      </c>
      <c r="G61" s="16">
        <f t="array" ref="G61">IFERROR(LARGE(IF((Results!$C$2:$C$1001=$A61)*(Results!$B$2:$B$1001=700)*(Results!$K$2:$K$1001&gt;0),Results!$K$2:$K$1001),2),"")</f>
        <v/>
      </c>
      <c r="H61" s="16">
        <f t="array" ref="H61">IFERROR(LARGE(IF((Results!$C$2:$C$1001=$A61)*(Results!$B$2:$B$1001=800)*(Results!$K$2:$K$1001&gt;0),Results!$K$2:$K$1001),1),"")</f>
        <v/>
      </c>
      <c r="I61" s="16">
        <f t="array" ref="I61">IFERROR(LARGE(IF((Results!$C$2:$C$1001=$A61)*(Results!$B$2:$B$1001=800)*(Results!$K$2:$K$1001&gt;0),Results!$K$2:$K$1001),2),"")</f>
        <v/>
      </c>
      <c r="J61" s="16">
        <f t="array" ref="J61">IFERROR(LARGE(IF((Results!$C$2:$C$1001=$A61)*(Results!$B$2:$B$1001=900)*(Results!$K$2:$K$1001&gt;0),Results!$K$2:$K$1001),1),"")</f>
        <v/>
      </c>
      <c r="K61" s="16">
        <f t="array" ref="K61">IFERROR(LARGE(IF((Results!$C$2:$C$1001=$A61)*(Results!$B$2:$B$1001=900)*(Results!$K$2:$K$1001&gt;0),Results!$K$2:$K$1001),2),"")</f>
        <v/>
      </c>
      <c r="L61" s="16">
        <f t="array" ref="L61">IF($A61="","",IFERROR(LARGE(IF((Results!$C$2:$C$1001=$A61)*(Results!$B$2:$B$1001=500)*(Results!$K$2:$K$1001&gt;0),Results!$K$2:$K$1001),1),0)+IFERROR(LARGE(IF((Results!$C$2:$C$1001=$A61)*(Results!$B$2:$B$1001=500)*(Results!$K$2:$K$1001&gt;0),Results!$K$2:$K$1001),2),0)+IFERROR(LARGE(IF((Results!$C$2:$C$1001=$A61)*(Results!$B$2:$B$1001=600)*(Results!$K$2:$K$1001&gt;0),Results!$K$2:$K$1001),1),0)+IFERROR(LARGE(IF((Results!$C$2:$C$1001=$A61)*(Results!$B$2:$B$1001=600)*(Results!$K$2:$K$1001&gt;0),Results!$K$2:$K$1001),2),0)+IFERROR(LARGE(IF((Results!$C$2:$C$1001=$A61)*(Results!$B$2:$B$1001=700)*(Results!$K$2:$K$1001&gt;0),Results!$K$2:$K$1001),1),0)+IFERROR(LARGE(IF((Results!$C$2:$C$1001=$A61)*(Results!$B$2:$B$1001=700)*(Results!$K$2:$K$1001&gt;0),Results!$K$2:$K$1001),2),0)+IFERROR(LARGE(IF((Results!$C$2:$C$1001=$A61)*(Results!$B$2:$B$1001=800)*(Results!$K$2:$K$1001&gt;0),Results!$K$2:$K$1001),1),0)+IFERROR(LARGE(IF((Results!$C$2:$C$1001=$A61)*(Results!$B$2:$B$1001=800)*(Results!$K$2:$K$1001&gt;0),Results!$K$2:$K$1001),2),0)+IFERROR(LARGE(IF((Results!$C$2:$C$1001=$A61)*(Results!$B$2:$B$1001=900)*(Results!$K$2:$K$1001&gt;0),Results!$K$2:$K$1001),1),0)+IFERROR(LARGE(IF((Results!$C$2:$C$1001=$A61)*(Results!$B$2:$B$1001=900)*(Results!$K$2:$K$1001&gt;0),Results!$K$2:$K$1001),2),0))</f>
        <v/>
      </c>
      <c r="M61" s="32">
        <f>IFERROR(IF(OR(L61=0,L61=""),"",RANK(L61,$L$4:$L$70,0)),"")</f>
        <v/>
      </c>
      <c r="N61" s="16">
        <f>IF($A61="","",IFERROR(AVERAGEIF(B61:K61,"&gt;"&amp;0),0))</f>
        <v/>
      </c>
    </row>
    <row r="62" ht="13.5" customHeight="1">
      <c r="A62" s="5">
        <f t="array" ref="A62">IFERROR(INDEX(Results!$C$2:$C$1001,MATCH(0,COUNTIF($A$3:A61,Results!$C$2:$C$1001)+(Results!$C$2:$C$1001=""),0)),"")</f>
        <v/>
      </c>
      <c r="B62" s="16">
        <f t="array" ref="B62">IFERROR(LARGE(IF((Results!$C$2:$C$1001=$A62)*(Results!$B$2:$B$1001=500)*(Results!$K$2:$K$1001&gt;0),Results!$K$2:$K$1001),1),"")</f>
        <v/>
      </c>
      <c r="C62" s="16">
        <f t="array" ref="C62">IFERROR(LARGE(IF((Results!$C$2:$C$1001=$A62)*(Results!$B$2:$B$1001=500)*(Results!$K$2:$K$1001&gt;0),Results!$K$2:$K$1001),2),"")</f>
        <v/>
      </c>
      <c r="D62" s="16">
        <f t="array" ref="D62">IFERROR(LARGE(IF((Results!$C$2:$C$1001=$A62)*(Results!$B$2:$B$1001=600)*(Results!$K$2:$K$1001&gt;0),Results!$K$2:$K$1001),1),"")</f>
        <v/>
      </c>
      <c r="E62" s="16">
        <f t="array" ref="E62">IFERROR(LARGE(IF((Results!$C$2:$C$1001=$A62)*(Results!$B$2:$B$1001=600)*(Results!$K$2:$K$1001&gt;0),Results!$K$2:$K$1001),2),"")</f>
        <v/>
      </c>
      <c r="F62" s="16">
        <f t="array" ref="F62">IFERROR(LARGE(IF((Results!$C$2:$C$1001=$A62)*(Results!$B$2:$B$1001=700)*(Results!$K$2:$K$1001&gt;0),Results!$K$2:$K$1001),1),"")</f>
        <v/>
      </c>
      <c r="G62" s="16">
        <f t="array" ref="G62">IFERROR(LARGE(IF((Results!$C$2:$C$1001=$A62)*(Results!$B$2:$B$1001=700)*(Results!$K$2:$K$1001&gt;0),Results!$K$2:$K$1001),2),"")</f>
        <v/>
      </c>
      <c r="H62" s="16">
        <f t="array" ref="H62">IFERROR(LARGE(IF((Results!$C$2:$C$1001=$A62)*(Results!$B$2:$B$1001=800)*(Results!$K$2:$K$1001&gt;0),Results!$K$2:$K$1001),1),"")</f>
        <v/>
      </c>
      <c r="I62" s="16">
        <f t="array" ref="I62">IFERROR(LARGE(IF((Results!$C$2:$C$1001=$A62)*(Results!$B$2:$B$1001=800)*(Results!$K$2:$K$1001&gt;0),Results!$K$2:$K$1001),2),"")</f>
        <v/>
      </c>
      <c r="J62" s="16">
        <f t="array" ref="J62">IFERROR(LARGE(IF((Results!$C$2:$C$1001=$A62)*(Results!$B$2:$B$1001=900)*(Results!$K$2:$K$1001&gt;0),Results!$K$2:$K$1001),1),"")</f>
        <v/>
      </c>
      <c r="K62" s="16">
        <f t="array" ref="K62">IFERROR(LARGE(IF((Results!$C$2:$C$1001=$A62)*(Results!$B$2:$B$1001=900)*(Results!$K$2:$K$1001&gt;0),Results!$K$2:$K$1001),2),"")</f>
        <v/>
      </c>
      <c r="L62" s="16">
        <f t="array" ref="L62">IF($A62="","",IFERROR(LARGE(IF((Results!$C$2:$C$1001=$A62)*(Results!$B$2:$B$1001=500)*(Results!$K$2:$K$1001&gt;0),Results!$K$2:$K$1001),1),0)+IFERROR(LARGE(IF((Results!$C$2:$C$1001=$A62)*(Results!$B$2:$B$1001=500)*(Results!$K$2:$K$1001&gt;0),Results!$K$2:$K$1001),2),0)+IFERROR(LARGE(IF((Results!$C$2:$C$1001=$A62)*(Results!$B$2:$B$1001=600)*(Results!$K$2:$K$1001&gt;0),Results!$K$2:$K$1001),1),0)+IFERROR(LARGE(IF((Results!$C$2:$C$1001=$A62)*(Results!$B$2:$B$1001=600)*(Results!$K$2:$K$1001&gt;0),Results!$K$2:$K$1001),2),0)+IFERROR(LARGE(IF((Results!$C$2:$C$1001=$A62)*(Results!$B$2:$B$1001=700)*(Results!$K$2:$K$1001&gt;0),Results!$K$2:$K$1001),1),0)+IFERROR(LARGE(IF((Results!$C$2:$C$1001=$A62)*(Results!$B$2:$B$1001=700)*(Results!$K$2:$K$1001&gt;0),Results!$K$2:$K$1001),2),0)+IFERROR(LARGE(IF((Results!$C$2:$C$1001=$A62)*(Results!$B$2:$B$1001=800)*(Results!$K$2:$K$1001&gt;0),Results!$K$2:$K$1001),1),0)+IFERROR(LARGE(IF((Results!$C$2:$C$1001=$A62)*(Results!$B$2:$B$1001=800)*(Results!$K$2:$K$1001&gt;0),Results!$K$2:$K$1001),2),0)+IFERROR(LARGE(IF((Results!$C$2:$C$1001=$A62)*(Results!$B$2:$B$1001=900)*(Results!$K$2:$K$1001&gt;0),Results!$K$2:$K$1001),1),0)+IFERROR(LARGE(IF((Results!$C$2:$C$1001=$A62)*(Results!$B$2:$B$1001=900)*(Results!$K$2:$K$1001&gt;0),Results!$K$2:$K$1001),2),0))</f>
        <v/>
      </c>
      <c r="M62" s="32">
        <f>IFERROR(IF(OR(L62=0,L62=""),"",RANK(L62,$L$4:$L$70,0)),"")</f>
        <v/>
      </c>
      <c r="N62" s="16">
        <f>IF($A62="","",IFERROR(AVERAGEIF(B62:K62,"&gt;"&amp;0),0))</f>
        <v/>
      </c>
    </row>
    <row r="63" ht="13.5" customHeight="1">
      <c r="A63" s="5">
        <f t="array" ref="A63">IFERROR(INDEX(Results!$C$2:$C$1001,MATCH(0,COUNTIF($A$3:A62,Results!$C$2:$C$1001)+(Results!$C$2:$C$1001=""),0)),"")</f>
        <v/>
      </c>
      <c r="B63" s="16">
        <f t="array" ref="B63">IFERROR(LARGE(IF((Results!$C$2:$C$1001=$A63)*(Results!$B$2:$B$1001=500)*(Results!$K$2:$K$1001&gt;0),Results!$K$2:$K$1001),1),"")</f>
        <v/>
      </c>
      <c r="C63" s="16">
        <f t="array" ref="C63">IFERROR(LARGE(IF((Results!$C$2:$C$1001=$A63)*(Results!$B$2:$B$1001=500)*(Results!$K$2:$K$1001&gt;0),Results!$K$2:$K$1001),2),"")</f>
        <v/>
      </c>
      <c r="D63" s="16">
        <f t="array" ref="D63">IFERROR(LARGE(IF((Results!$C$2:$C$1001=$A63)*(Results!$B$2:$B$1001=600)*(Results!$K$2:$K$1001&gt;0),Results!$K$2:$K$1001),1),"")</f>
        <v/>
      </c>
      <c r="E63" s="16">
        <f t="array" ref="E63">IFERROR(LARGE(IF((Results!$C$2:$C$1001=$A63)*(Results!$B$2:$B$1001=600)*(Results!$K$2:$K$1001&gt;0),Results!$K$2:$K$1001),2),"")</f>
        <v/>
      </c>
      <c r="F63" s="16">
        <f t="array" ref="F63">IFERROR(LARGE(IF((Results!$C$2:$C$1001=$A63)*(Results!$B$2:$B$1001=700)*(Results!$K$2:$K$1001&gt;0),Results!$K$2:$K$1001),1),"")</f>
        <v/>
      </c>
      <c r="G63" s="16">
        <f t="array" ref="G63">IFERROR(LARGE(IF((Results!$C$2:$C$1001=$A63)*(Results!$B$2:$B$1001=700)*(Results!$K$2:$K$1001&gt;0),Results!$K$2:$K$1001),2),"")</f>
        <v/>
      </c>
      <c r="H63" s="16">
        <f t="array" ref="H63">IFERROR(LARGE(IF((Results!$C$2:$C$1001=$A63)*(Results!$B$2:$B$1001=800)*(Results!$K$2:$K$1001&gt;0),Results!$K$2:$K$1001),1),"")</f>
        <v/>
      </c>
      <c r="I63" s="16">
        <f t="array" ref="I63">IFERROR(LARGE(IF((Results!$C$2:$C$1001=$A63)*(Results!$B$2:$B$1001=800)*(Results!$K$2:$K$1001&gt;0),Results!$K$2:$K$1001),2),"")</f>
        <v/>
      </c>
      <c r="J63" s="16">
        <f t="array" ref="J63">IFERROR(LARGE(IF((Results!$C$2:$C$1001=$A63)*(Results!$B$2:$B$1001=900)*(Results!$K$2:$K$1001&gt;0),Results!$K$2:$K$1001),1),"")</f>
        <v/>
      </c>
      <c r="K63" s="16">
        <f t="array" ref="K63">IFERROR(LARGE(IF((Results!$C$2:$C$1001=$A63)*(Results!$B$2:$B$1001=900)*(Results!$K$2:$K$1001&gt;0),Results!$K$2:$K$1001),2),"")</f>
        <v/>
      </c>
      <c r="L63" s="16">
        <f t="array" ref="L63">IF($A63="","",IFERROR(LARGE(IF((Results!$C$2:$C$1001=$A63)*(Results!$B$2:$B$1001=500)*(Results!$K$2:$K$1001&gt;0),Results!$K$2:$K$1001),1),0)+IFERROR(LARGE(IF((Results!$C$2:$C$1001=$A63)*(Results!$B$2:$B$1001=500)*(Results!$K$2:$K$1001&gt;0),Results!$K$2:$K$1001),2),0)+IFERROR(LARGE(IF((Results!$C$2:$C$1001=$A63)*(Results!$B$2:$B$1001=600)*(Results!$K$2:$K$1001&gt;0),Results!$K$2:$K$1001),1),0)+IFERROR(LARGE(IF((Results!$C$2:$C$1001=$A63)*(Results!$B$2:$B$1001=600)*(Results!$K$2:$K$1001&gt;0),Results!$K$2:$K$1001),2),0)+IFERROR(LARGE(IF((Results!$C$2:$C$1001=$A63)*(Results!$B$2:$B$1001=700)*(Results!$K$2:$K$1001&gt;0),Results!$K$2:$K$1001),1),0)+IFERROR(LARGE(IF((Results!$C$2:$C$1001=$A63)*(Results!$B$2:$B$1001=700)*(Results!$K$2:$K$1001&gt;0),Results!$K$2:$K$1001),2),0)+IFERROR(LARGE(IF((Results!$C$2:$C$1001=$A63)*(Results!$B$2:$B$1001=800)*(Results!$K$2:$K$1001&gt;0),Results!$K$2:$K$1001),1),0)+IFERROR(LARGE(IF((Results!$C$2:$C$1001=$A63)*(Results!$B$2:$B$1001=800)*(Results!$K$2:$K$1001&gt;0),Results!$K$2:$K$1001),2),0)+IFERROR(LARGE(IF((Results!$C$2:$C$1001=$A63)*(Results!$B$2:$B$1001=900)*(Results!$K$2:$K$1001&gt;0),Results!$K$2:$K$1001),1),0)+IFERROR(LARGE(IF((Results!$C$2:$C$1001=$A63)*(Results!$B$2:$B$1001=900)*(Results!$K$2:$K$1001&gt;0),Results!$K$2:$K$1001),2),0))</f>
        <v/>
      </c>
      <c r="M63" s="32">
        <f>IFERROR(IF(OR(L63=0,L63=""),"",RANK(L63,$L$4:$L$70,0)),"")</f>
        <v/>
      </c>
      <c r="N63" s="16">
        <f>IF($A63="","",IFERROR(AVERAGEIF(B63:K63,"&gt;"&amp;0),0))</f>
        <v/>
      </c>
    </row>
    <row r="64" ht="13.5" customHeight="1">
      <c r="A64" s="5">
        <f t="array" ref="A64">IFERROR(INDEX(Results!$C$2:$C$1001,MATCH(0,COUNTIF($A$3:A63,Results!$C$2:$C$1001)+(Results!$C$2:$C$1001=""),0)),"")</f>
        <v/>
      </c>
      <c r="B64" s="16">
        <f t="array" ref="B64">IFERROR(LARGE(IF((Results!$C$2:$C$1001=$A64)*(Results!$B$2:$B$1001=500)*(Results!$K$2:$K$1001&gt;0),Results!$K$2:$K$1001),1),"")</f>
        <v/>
      </c>
      <c r="C64" s="16">
        <f t="array" ref="C64">IFERROR(LARGE(IF((Results!$C$2:$C$1001=$A64)*(Results!$B$2:$B$1001=500)*(Results!$K$2:$K$1001&gt;0),Results!$K$2:$K$1001),2),"")</f>
        <v/>
      </c>
      <c r="D64" s="16">
        <f t="array" ref="D64">IFERROR(LARGE(IF((Results!$C$2:$C$1001=$A64)*(Results!$B$2:$B$1001=600)*(Results!$K$2:$K$1001&gt;0),Results!$K$2:$K$1001),1),"")</f>
        <v/>
      </c>
      <c r="E64" s="16">
        <f t="array" ref="E64">IFERROR(LARGE(IF((Results!$C$2:$C$1001=$A64)*(Results!$B$2:$B$1001=600)*(Results!$K$2:$K$1001&gt;0),Results!$K$2:$K$1001),2),"")</f>
        <v/>
      </c>
      <c r="F64" s="16">
        <f t="array" ref="F64">IFERROR(LARGE(IF((Results!$C$2:$C$1001=$A64)*(Results!$B$2:$B$1001=700)*(Results!$K$2:$K$1001&gt;0),Results!$K$2:$K$1001),1),"")</f>
        <v/>
      </c>
      <c r="G64" s="16">
        <f t="array" ref="G64">IFERROR(LARGE(IF((Results!$C$2:$C$1001=$A64)*(Results!$B$2:$B$1001=700)*(Results!$K$2:$K$1001&gt;0),Results!$K$2:$K$1001),2),"")</f>
        <v/>
      </c>
      <c r="H64" s="16">
        <f t="array" ref="H64">IFERROR(LARGE(IF((Results!$C$2:$C$1001=$A64)*(Results!$B$2:$B$1001=800)*(Results!$K$2:$K$1001&gt;0),Results!$K$2:$K$1001),1),"")</f>
        <v/>
      </c>
      <c r="I64" s="16">
        <f t="array" ref="I64">IFERROR(LARGE(IF((Results!$C$2:$C$1001=$A64)*(Results!$B$2:$B$1001=800)*(Results!$K$2:$K$1001&gt;0),Results!$K$2:$K$1001),2),"")</f>
        <v/>
      </c>
      <c r="J64" s="16">
        <f t="array" ref="J64">IFERROR(LARGE(IF((Results!$C$2:$C$1001=$A64)*(Results!$B$2:$B$1001=900)*(Results!$K$2:$K$1001&gt;0),Results!$K$2:$K$1001),1),"")</f>
        <v/>
      </c>
      <c r="K64" s="16">
        <f t="array" ref="K64">IFERROR(LARGE(IF((Results!$C$2:$C$1001=$A64)*(Results!$B$2:$B$1001=900)*(Results!$K$2:$K$1001&gt;0),Results!$K$2:$K$1001),2),"")</f>
        <v/>
      </c>
      <c r="L64" s="16">
        <f t="array" ref="L64">IF($A64="","",IFERROR(LARGE(IF((Results!$C$2:$C$1001=$A64)*(Results!$B$2:$B$1001=500)*(Results!$K$2:$K$1001&gt;0),Results!$K$2:$K$1001),1),0)+IFERROR(LARGE(IF((Results!$C$2:$C$1001=$A64)*(Results!$B$2:$B$1001=500)*(Results!$K$2:$K$1001&gt;0),Results!$K$2:$K$1001),2),0)+IFERROR(LARGE(IF((Results!$C$2:$C$1001=$A64)*(Results!$B$2:$B$1001=600)*(Results!$K$2:$K$1001&gt;0),Results!$K$2:$K$1001),1),0)+IFERROR(LARGE(IF((Results!$C$2:$C$1001=$A64)*(Results!$B$2:$B$1001=600)*(Results!$K$2:$K$1001&gt;0),Results!$K$2:$K$1001),2),0)+IFERROR(LARGE(IF((Results!$C$2:$C$1001=$A64)*(Results!$B$2:$B$1001=700)*(Results!$K$2:$K$1001&gt;0),Results!$K$2:$K$1001),1),0)+IFERROR(LARGE(IF((Results!$C$2:$C$1001=$A64)*(Results!$B$2:$B$1001=700)*(Results!$K$2:$K$1001&gt;0),Results!$K$2:$K$1001),2),0)+IFERROR(LARGE(IF((Results!$C$2:$C$1001=$A64)*(Results!$B$2:$B$1001=800)*(Results!$K$2:$K$1001&gt;0),Results!$K$2:$K$1001),1),0)+IFERROR(LARGE(IF((Results!$C$2:$C$1001=$A64)*(Results!$B$2:$B$1001=800)*(Results!$K$2:$K$1001&gt;0),Results!$K$2:$K$1001),2),0)+IFERROR(LARGE(IF((Results!$C$2:$C$1001=$A64)*(Results!$B$2:$B$1001=900)*(Results!$K$2:$K$1001&gt;0),Results!$K$2:$K$1001),1),0)+IFERROR(LARGE(IF((Results!$C$2:$C$1001=$A64)*(Results!$B$2:$B$1001=900)*(Results!$K$2:$K$1001&gt;0),Results!$K$2:$K$1001),2),0))</f>
        <v/>
      </c>
      <c r="M64" s="32">
        <f>IFERROR(IF(OR(L64=0,L64=""),"",RANK(L64,$L$4:$L$70,0)),"")</f>
        <v/>
      </c>
      <c r="N64" s="16">
        <f>IF($A64="","",IFERROR(AVERAGEIF(B64:K64,"&gt;"&amp;0),0))</f>
        <v/>
      </c>
    </row>
    <row r="65" ht="13.5" customHeight="1">
      <c r="A65" s="5">
        <f t="array" ref="A65">IFERROR(INDEX(Results!$C$2:$C$1001,MATCH(0,COUNTIF($A$3:A64,Results!$C$2:$C$1001)+(Results!$C$2:$C$1001=""),0)),"")</f>
        <v/>
      </c>
      <c r="B65" s="16">
        <f t="array" ref="B65">IFERROR(LARGE(IF((Results!$C$2:$C$1001=$A65)*(Results!$B$2:$B$1001=500)*(Results!$K$2:$K$1001&gt;0),Results!$K$2:$K$1001),1),"")</f>
        <v/>
      </c>
      <c r="C65" s="16">
        <f t="array" ref="C65">IFERROR(LARGE(IF((Results!$C$2:$C$1001=$A65)*(Results!$B$2:$B$1001=500)*(Results!$K$2:$K$1001&gt;0),Results!$K$2:$K$1001),2),"")</f>
        <v/>
      </c>
      <c r="D65" s="16">
        <f t="array" ref="D65">IFERROR(LARGE(IF((Results!$C$2:$C$1001=$A65)*(Results!$B$2:$B$1001=600)*(Results!$K$2:$K$1001&gt;0),Results!$K$2:$K$1001),1),"")</f>
        <v/>
      </c>
      <c r="E65" s="16">
        <f t="array" ref="E65">IFERROR(LARGE(IF((Results!$C$2:$C$1001=$A65)*(Results!$B$2:$B$1001=600)*(Results!$K$2:$K$1001&gt;0),Results!$K$2:$K$1001),2),"")</f>
        <v/>
      </c>
      <c r="F65" s="16">
        <f t="array" ref="F65">IFERROR(LARGE(IF((Results!$C$2:$C$1001=$A65)*(Results!$B$2:$B$1001=700)*(Results!$K$2:$K$1001&gt;0),Results!$K$2:$K$1001),1),"")</f>
        <v/>
      </c>
      <c r="G65" s="16">
        <f t="array" ref="G65">IFERROR(LARGE(IF((Results!$C$2:$C$1001=$A65)*(Results!$B$2:$B$1001=700)*(Results!$K$2:$K$1001&gt;0),Results!$K$2:$K$1001),2),"")</f>
        <v/>
      </c>
      <c r="H65" s="16">
        <f t="array" ref="H65">IFERROR(LARGE(IF((Results!$C$2:$C$1001=$A65)*(Results!$B$2:$B$1001=800)*(Results!$K$2:$K$1001&gt;0),Results!$K$2:$K$1001),1),"")</f>
        <v/>
      </c>
      <c r="I65" s="16">
        <f t="array" ref="I65">IFERROR(LARGE(IF((Results!$C$2:$C$1001=$A65)*(Results!$B$2:$B$1001=800)*(Results!$K$2:$K$1001&gt;0),Results!$K$2:$K$1001),2),"")</f>
        <v/>
      </c>
      <c r="J65" s="16">
        <f t="array" ref="J65">IFERROR(LARGE(IF((Results!$C$2:$C$1001=$A65)*(Results!$B$2:$B$1001=900)*(Results!$K$2:$K$1001&gt;0),Results!$K$2:$K$1001),1),"")</f>
        <v/>
      </c>
      <c r="K65" s="16">
        <f t="array" ref="K65">IFERROR(LARGE(IF((Results!$C$2:$C$1001=$A65)*(Results!$B$2:$B$1001=900)*(Results!$K$2:$K$1001&gt;0),Results!$K$2:$K$1001),2),"")</f>
        <v/>
      </c>
      <c r="L65" s="16">
        <f t="array" ref="L65">IF($A65="","",IFERROR(LARGE(IF((Results!$C$2:$C$1001=$A65)*(Results!$B$2:$B$1001=500)*(Results!$K$2:$K$1001&gt;0),Results!$K$2:$K$1001),1),0)+IFERROR(LARGE(IF((Results!$C$2:$C$1001=$A65)*(Results!$B$2:$B$1001=500)*(Results!$K$2:$K$1001&gt;0),Results!$K$2:$K$1001),2),0)+IFERROR(LARGE(IF((Results!$C$2:$C$1001=$A65)*(Results!$B$2:$B$1001=600)*(Results!$K$2:$K$1001&gt;0),Results!$K$2:$K$1001),1),0)+IFERROR(LARGE(IF((Results!$C$2:$C$1001=$A65)*(Results!$B$2:$B$1001=600)*(Results!$K$2:$K$1001&gt;0),Results!$K$2:$K$1001),2),0)+IFERROR(LARGE(IF((Results!$C$2:$C$1001=$A65)*(Results!$B$2:$B$1001=700)*(Results!$K$2:$K$1001&gt;0),Results!$K$2:$K$1001),1),0)+IFERROR(LARGE(IF((Results!$C$2:$C$1001=$A65)*(Results!$B$2:$B$1001=700)*(Results!$K$2:$K$1001&gt;0),Results!$K$2:$K$1001),2),0)+IFERROR(LARGE(IF((Results!$C$2:$C$1001=$A65)*(Results!$B$2:$B$1001=800)*(Results!$K$2:$K$1001&gt;0),Results!$K$2:$K$1001),1),0)+IFERROR(LARGE(IF((Results!$C$2:$C$1001=$A65)*(Results!$B$2:$B$1001=800)*(Results!$K$2:$K$1001&gt;0),Results!$K$2:$K$1001),2),0)+IFERROR(LARGE(IF((Results!$C$2:$C$1001=$A65)*(Results!$B$2:$B$1001=900)*(Results!$K$2:$K$1001&gt;0),Results!$K$2:$K$1001),1),0)+IFERROR(LARGE(IF((Results!$C$2:$C$1001=$A65)*(Results!$B$2:$B$1001=900)*(Results!$K$2:$K$1001&gt;0),Results!$K$2:$K$1001),2),0))</f>
        <v/>
      </c>
      <c r="M65" s="32">
        <f>IFERROR(IF(OR(L65=0,L65=""),"",RANK(L65,$L$4:$L$70,0)),"")</f>
        <v/>
      </c>
      <c r="N65" s="16">
        <f>IF($A65="","",IFERROR(AVERAGEIF(B65:K65,"&gt;"&amp;0),0))</f>
        <v/>
      </c>
    </row>
    <row r="66" ht="13.5" customHeight="1">
      <c r="A66" s="5">
        <f t="array" ref="A66">IFERROR(INDEX(Results!$C$2:$C$1001,MATCH(0,COUNTIF($A$3:A65,Results!$C$2:$C$1001)+(Results!$C$2:$C$1001=""),0)),"")</f>
        <v/>
      </c>
      <c r="B66" s="16">
        <f t="array" ref="B66">IFERROR(LARGE(IF((Results!$C$2:$C$1001=$A66)*(Results!$B$2:$B$1001=500)*(Results!$K$2:$K$1001&gt;0),Results!$K$2:$K$1001),1),"")</f>
        <v/>
      </c>
      <c r="C66" s="16">
        <f t="array" ref="C66">IFERROR(LARGE(IF((Results!$C$2:$C$1001=$A66)*(Results!$B$2:$B$1001=500)*(Results!$K$2:$K$1001&gt;0),Results!$K$2:$K$1001),2),"")</f>
        <v/>
      </c>
      <c r="D66" s="16">
        <f t="array" ref="D66">IFERROR(LARGE(IF((Results!$C$2:$C$1001=$A66)*(Results!$B$2:$B$1001=600)*(Results!$K$2:$K$1001&gt;0),Results!$K$2:$K$1001),1),"")</f>
        <v/>
      </c>
      <c r="E66" s="16">
        <f t="array" ref="E66">IFERROR(LARGE(IF((Results!$C$2:$C$1001=$A66)*(Results!$B$2:$B$1001=600)*(Results!$K$2:$K$1001&gt;0),Results!$K$2:$K$1001),2),"")</f>
        <v/>
      </c>
      <c r="F66" s="16">
        <f t="array" ref="F66">IFERROR(LARGE(IF((Results!$C$2:$C$1001=$A66)*(Results!$B$2:$B$1001=700)*(Results!$K$2:$K$1001&gt;0),Results!$K$2:$K$1001),1),"")</f>
        <v/>
      </c>
      <c r="G66" s="16">
        <f t="array" ref="G66">IFERROR(LARGE(IF((Results!$C$2:$C$1001=$A66)*(Results!$B$2:$B$1001=700)*(Results!$K$2:$K$1001&gt;0),Results!$K$2:$K$1001),2),"")</f>
        <v/>
      </c>
      <c r="H66" s="16">
        <f t="array" ref="H66">IFERROR(LARGE(IF((Results!$C$2:$C$1001=$A66)*(Results!$B$2:$B$1001=800)*(Results!$K$2:$K$1001&gt;0),Results!$K$2:$K$1001),1),"")</f>
        <v/>
      </c>
      <c r="I66" s="16">
        <f t="array" ref="I66">IFERROR(LARGE(IF((Results!$C$2:$C$1001=$A66)*(Results!$B$2:$B$1001=800)*(Results!$K$2:$K$1001&gt;0),Results!$K$2:$K$1001),2),"")</f>
        <v/>
      </c>
      <c r="J66" s="16">
        <f t="array" ref="J66">IFERROR(LARGE(IF((Results!$C$2:$C$1001=$A66)*(Results!$B$2:$B$1001=900)*(Results!$K$2:$K$1001&gt;0),Results!$K$2:$K$1001),1),"")</f>
        <v/>
      </c>
      <c r="K66" s="16">
        <f t="array" ref="K66">IFERROR(LARGE(IF((Results!$C$2:$C$1001=$A66)*(Results!$B$2:$B$1001=900)*(Results!$K$2:$K$1001&gt;0),Results!$K$2:$K$1001),2),"")</f>
        <v/>
      </c>
      <c r="L66" s="16">
        <f t="array" ref="L66">IF($A66="","",IFERROR(LARGE(IF((Results!$C$2:$C$1001=$A66)*(Results!$B$2:$B$1001=500)*(Results!$K$2:$K$1001&gt;0),Results!$K$2:$K$1001),1),0)+IFERROR(LARGE(IF((Results!$C$2:$C$1001=$A66)*(Results!$B$2:$B$1001=500)*(Results!$K$2:$K$1001&gt;0),Results!$K$2:$K$1001),2),0)+IFERROR(LARGE(IF((Results!$C$2:$C$1001=$A66)*(Results!$B$2:$B$1001=600)*(Results!$K$2:$K$1001&gt;0),Results!$K$2:$K$1001),1),0)+IFERROR(LARGE(IF((Results!$C$2:$C$1001=$A66)*(Results!$B$2:$B$1001=600)*(Results!$K$2:$K$1001&gt;0),Results!$K$2:$K$1001),2),0)+IFERROR(LARGE(IF((Results!$C$2:$C$1001=$A66)*(Results!$B$2:$B$1001=700)*(Results!$K$2:$K$1001&gt;0),Results!$K$2:$K$1001),1),0)+IFERROR(LARGE(IF((Results!$C$2:$C$1001=$A66)*(Results!$B$2:$B$1001=700)*(Results!$K$2:$K$1001&gt;0),Results!$K$2:$K$1001),2),0)+IFERROR(LARGE(IF((Results!$C$2:$C$1001=$A66)*(Results!$B$2:$B$1001=800)*(Results!$K$2:$K$1001&gt;0),Results!$K$2:$K$1001),1),0)+IFERROR(LARGE(IF((Results!$C$2:$C$1001=$A66)*(Results!$B$2:$B$1001=800)*(Results!$K$2:$K$1001&gt;0),Results!$K$2:$K$1001),2),0)+IFERROR(LARGE(IF((Results!$C$2:$C$1001=$A66)*(Results!$B$2:$B$1001=900)*(Results!$K$2:$K$1001&gt;0),Results!$K$2:$K$1001),1),0)+IFERROR(LARGE(IF((Results!$C$2:$C$1001=$A66)*(Results!$B$2:$B$1001=900)*(Results!$K$2:$K$1001&gt;0),Results!$K$2:$K$1001),2),0))</f>
        <v/>
      </c>
      <c r="M66" s="32">
        <f>IFERROR(IF(OR(L66=0,L66=""),"",RANK(L66,$L$4:$L$70,0)),"")</f>
        <v/>
      </c>
      <c r="N66" s="16">
        <f>IF($A66="","",IFERROR(AVERAGEIF(B66:K66,"&gt;"&amp;0),0))</f>
        <v/>
      </c>
    </row>
    <row r="67" ht="13.5" customHeight="1">
      <c r="A67" s="5">
        <f t="array" ref="A67">IFERROR(INDEX(Results!$C$2:$C$1001,MATCH(0,COUNTIF($A$3:A66,Results!$C$2:$C$1001)+(Results!$C$2:$C$1001=""),0)),"")</f>
        <v/>
      </c>
      <c r="B67" s="16">
        <f t="array" ref="B67">IFERROR(LARGE(IF((Results!$C$2:$C$1001=$A67)*(Results!$B$2:$B$1001=500)*(Results!$K$2:$K$1001&gt;0),Results!$K$2:$K$1001),1),"")</f>
        <v/>
      </c>
      <c r="C67" s="16">
        <f t="array" ref="C67">IFERROR(LARGE(IF((Results!$C$2:$C$1001=$A67)*(Results!$B$2:$B$1001=500)*(Results!$K$2:$K$1001&gt;0),Results!$K$2:$K$1001),2),"")</f>
        <v/>
      </c>
      <c r="D67" s="16">
        <f t="array" ref="D67">IFERROR(LARGE(IF((Results!$C$2:$C$1001=$A67)*(Results!$B$2:$B$1001=600)*(Results!$K$2:$K$1001&gt;0),Results!$K$2:$K$1001),1),"")</f>
        <v/>
      </c>
      <c r="E67" s="16">
        <f t="array" ref="E67">IFERROR(LARGE(IF((Results!$C$2:$C$1001=$A67)*(Results!$B$2:$B$1001=600)*(Results!$K$2:$K$1001&gt;0),Results!$K$2:$K$1001),2),"")</f>
        <v/>
      </c>
      <c r="F67" s="16">
        <f t="array" ref="F67">IFERROR(LARGE(IF((Results!$C$2:$C$1001=$A67)*(Results!$B$2:$B$1001=700)*(Results!$K$2:$K$1001&gt;0),Results!$K$2:$K$1001),1),"")</f>
        <v/>
      </c>
      <c r="G67" s="16">
        <f t="array" ref="G67">IFERROR(LARGE(IF((Results!$C$2:$C$1001=$A67)*(Results!$B$2:$B$1001=700)*(Results!$K$2:$K$1001&gt;0),Results!$K$2:$K$1001),2),"")</f>
        <v/>
      </c>
      <c r="H67" s="16">
        <f t="array" ref="H67">IFERROR(LARGE(IF((Results!$C$2:$C$1001=$A67)*(Results!$B$2:$B$1001=800)*(Results!$K$2:$K$1001&gt;0),Results!$K$2:$K$1001),1),"")</f>
        <v/>
      </c>
      <c r="I67" s="16">
        <f t="array" ref="I67">IFERROR(LARGE(IF((Results!$C$2:$C$1001=$A67)*(Results!$B$2:$B$1001=800)*(Results!$K$2:$K$1001&gt;0),Results!$K$2:$K$1001),2),"")</f>
        <v/>
      </c>
      <c r="J67" s="16">
        <f t="array" ref="J67">IFERROR(LARGE(IF((Results!$C$2:$C$1001=$A67)*(Results!$B$2:$B$1001=900)*(Results!$K$2:$K$1001&gt;0),Results!$K$2:$K$1001),1),"")</f>
        <v/>
      </c>
      <c r="K67" s="16">
        <f t="array" ref="K67">IFERROR(LARGE(IF((Results!$C$2:$C$1001=$A67)*(Results!$B$2:$B$1001=900)*(Results!$K$2:$K$1001&gt;0),Results!$K$2:$K$1001),2),"")</f>
        <v/>
      </c>
      <c r="L67" s="16">
        <f t="array" ref="L67">IF($A67="","",IFERROR(LARGE(IF((Results!$C$2:$C$1001=$A67)*(Results!$B$2:$B$1001=500)*(Results!$K$2:$K$1001&gt;0),Results!$K$2:$K$1001),1),0)+IFERROR(LARGE(IF((Results!$C$2:$C$1001=$A67)*(Results!$B$2:$B$1001=500)*(Results!$K$2:$K$1001&gt;0),Results!$K$2:$K$1001),2),0)+IFERROR(LARGE(IF((Results!$C$2:$C$1001=$A67)*(Results!$B$2:$B$1001=600)*(Results!$K$2:$K$1001&gt;0),Results!$K$2:$K$1001),1),0)+IFERROR(LARGE(IF((Results!$C$2:$C$1001=$A67)*(Results!$B$2:$B$1001=600)*(Results!$K$2:$K$1001&gt;0),Results!$K$2:$K$1001),2),0)+IFERROR(LARGE(IF((Results!$C$2:$C$1001=$A67)*(Results!$B$2:$B$1001=700)*(Results!$K$2:$K$1001&gt;0),Results!$K$2:$K$1001),1),0)+IFERROR(LARGE(IF((Results!$C$2:$C$1001=$A67)*(Results!$B$2:$B$1001=700)*(Results!$K$2:$K$1001&gt;0),Results!$K$2:$K$1001),2),0)+IFERROR(LARGE(IF((Results!$C$2:$C$1001=$A67)*(Results!$B$2:$B$1001=800)*(Results!$K$2:$K$1001&gt;0),Results!$K$2:$K$1001),1),0)+IFERROR(LARGE(IF((Results!$C$2:$C$1001=$A67)*(Results!$B$2:$B$1001=800)*(Results!$K$2:$K$1001&gt;0),Results!$K$2:$K$1001),2),0)+IFERROR(LARGE(IF((Results!$C$2:$C$1001=$A67)*(Results!$B$2:$B$1001=900)*(Results!$K$2:$K$1001&gt;0),Results!$K$2:$K$1001),1),0)+IFERROR(LARGE(IF((Results!$C$2:$C$1001=$A67)*(Results!$B$2:$B$1001=900)*(Results!$K$2:$K$1001&gt;0),Results!$K$2:$K$1001),2),0))</f>
        <v/>
      </c>
      <c r="M67" s="32">
        <f>IFERROR(IF(OR(L67=0,L67=""),"",RANK(L67,$L$4:$L$70,0)),"")</f>
        <v/>
      </c>
      <c r="N67" s="16">
        <f>IF($A67="","",IFERROR(AVERAGEIF(B67:K67,"&gt;"&amp;0),0))</f>
        <v/>
      </c>
    </row>
    <row r="68" ht="13.5" customHeight="1">
      <c r="A68" s="5">
        <f t="array" ref="A68">IFERROR(INDEX(Results!$C$2:$C$1001,MATCH(0,COUNTIF($A$3:A67,Results!$C$2:$C$1001)+(Results!$C$2:$C$1001=""),0)),"")</f>
        <v/>
      </c>
      <c r="B68" s="16">
        <f t="array" ref="B68">IFERROR(LARGE(IF((Results!$C$2:$C$1001=$A68)*(Results!$B$2:$B$1001=500)*(Results!$K$2:$K$1001&gt;0),Results!$K$2:$K$1001),1),"")</f>
        <v/>
      </c>
      <c r="C68" s="16">
        <f t="array" ref="C68">IFERROR(LARGE(IF((Results!$C$2:$C$1001=$A68)*(Results!$B$2:$B$1001=500)*(Results!$K$2:$K$1001&gt;0),Results!$K$2:$K$1001),2),"")</f>
        <v/>
      </c>
      <c r="D68" s="16">
        <f t="array" ref="D68">IFERROR(LARGE(IF((Results!$C$2:$C$1001=$A68)*(Results!$B$2:$B$1001=600)*(Results!$K$2:$K$1001&gt;0),Results!$K$2:$K$1001),1),"")</f>
        <v/>
      </c>
      <c r="E68" s="16">
        <f t="array" ref="E68">IFERROR(LARGE(IF((Results!$C$2:$C$1001=$A68)*(Results!$B$2:$B$1001=600)*(Results!$K$2:$K$1001&gt;0),Results!$K$2:$K$1001),2),"")</f>
        <v/>
      </c>
      <c r="F68" s="16">
        <f t="array" ref="F68">IFERROR(LARGE(IF((Results!$C$2:$C$1001=$A68)*(Results!$B$2:$B$1001=700)*(Results!$K$2:$K$1001&gt;0),Results!$K$2:$K$1001),1),"")</f>
        <v/>
      </c>
      <c r="G68" s="16">
        <f t="array" ref="G68">IFERROR(LARGE(IF((Results!$C$2:$C$1001=$A68)*(Results!$B$2:$B$1001=700)*(Results!$K$2:$K$1001&gt;0),Results!$K$2:$K$1001),2),"")</f>
        <v/>
      </c>
      <c r="H68" s="16">
        <f t="array" ref="H68">IFERROR(LARGE(IF((Results!$C$2:$C$1001=$A68)*(Results!$B$2:$B$1001=800)*(Results!$K$2:$K$1001&gt;0),Results!$K$2:$K$1001),1),"")</f>
        <v/>
      </c>
      <c r="I68" s="16">
        <f t="array" ref="I68">IFERROR(LARGE(IF((Results!$C$2:$C$1001=$A68)*(Results!$B$2:$B$1001=800)*(Results!$K$2:$K$1001&gt;0),Results!$K$2:$K$1001),2),"")</f>
        <v/>
      </c>
      <c r="J68" s="16">
        <f t="array" ref="J68">IFERROR(LARGE(IF((Results!$C$2:$C$1001=$A68)*(Results!$B$2:$B$1001=900)*(Results!$K$2:$K$1001&gt;0),Results!$K$2:$K$1001),1),"")</f>
        <v/>
      </c>
      <c r="K68" s="16">
        <f t="array" ref="K68">IFERROR(LARGE(IF((Results!$C$2:$C$1001=$A68)*(Results!$B$2:$B$1001=900)*(Results!$K$2:$K$1001&gt;0),Results!$K$2:$K$1001),2),"")</f>
        <v/>
      </c>
      <c r="L68" s="16">
        <f t="array" ref="L68">IF($A68="","",IFERROR(LARGE(IF((Results!$C$2:$C$1001=$A68)*(Results!$B$2:$B$1001=500)*(Results!$K$2:$K$1001&gt;0),Results!$K$2:$K$1001),1),0)+IFERROR(LARGE(IF((Results!$C$2:$C$1001=$A68)*(Results!$B$2:$B$1001=500)*(Results!$K$2:$K$1001&gt;0),Results!$K$2:$K$1001),2),0)+IFERROR(LARGE(IF((Results!$C$2:$C$1001=$A68)*(Results!$B$2:$B$1001=600)*(Results!$K$2:$K$1001&gt;0),Results!$K$2:$K$1001),1),0)+IFERROR(LARGE(IF((Results!$C$2:$C$1001=$A68)*(Results!$B$2:$B$1001=600)*(Results!$K$2:$K$1001&gt;0),Results!$K$2:$K$1001),2),0)+IFERROR(LARGE(IF((Results!$C$2:$C$1001=$A68)*(Results!$B$2:$B$1001=700)*(Results!$K$2:$K$1001&gt;0),Results!$K$2:$K$1001),1),0)+IFERROR(LARGE(IF((Results!$C$2:$C$1001=$A68)*(Results!$B$2:$B$1001=700)*(Results!$K$2:$K$1001&gt;0),Results!$K$2:$K$1001),2),0)+IFERROR(LARGE(IF((Results!$C$2:$C$1001=$A68)*(Results!$B$2:$B$1001=800)*(Results!$K$2:$K$1001&gt;0),Results!$K$2:$K$1001),1),0)+IFERROR(LARGE(IF((Results!$C$2:$C$1001=$A68)*(Results!$B$2:$B$1001=800)*(Results!$K$2:$K$1001&gt;0),Results!$K$2:$K$1001),2),0)+IFERROR(LARGE(IF((Results!$C$2:$C$1001=$A68)*(Results!$B$2:$B$1001=900)*(Results!$K$2:$K$1001&gt;0),Results!$K$2:$K$1001),1),0)+IFERROR(LARGE(IF((Results!$C$2:$C$1001=$A68)*(Results!$B$2:$B$1001=900)*(Results!$K$2:$K$1001&gt;0),Results!$K$2:$K$1001),2),0))</f>
        <v/>
      </c>
      <c r="M68" s="32">
        <f>IFERROR(IF(OR(L68=0,L68=""),"",RANK(L68,$L$4:$L$70,0)),"")</f>
        <v/>
      </c>
      <c r="N68" s="16">
        <f>IF($A68="","",IFERROR(AVERAGEIF(B68:K68,"&gt;"&amp;0),0))</f>
        <v/>
      </c>
    </row>
    <row r="69" ht="13.5" customHeight="1">
      <c r="A69" s="5">
        <f t="array" ref="A69">IFERROR(INDEX(Results!$C$2:$C$1001,MATCH(0,COUNTIF($A$3:A68,Results!$C$2:$C$1001)+(Results!$C$2:$C$1001=""),0)),"")</f>
        <v/>
      </c>
      <c r="B69" s="16">
        <f t="array" ref="B69">IFERROR(LARGE(IF((Results!$C$2:$C$1001=$A69)*(Results!$B$2:$B$1001=500)*(Results!$K$2:$K$1001&gt;0),Results!$K$2:$K$1001),1),"")</f>
        <v/>
      </c>
      <c r="C69" s="16">
        <f t="array" ref="C69">IFERROR(LARGE(IF((Results!$C$2:$C$1001=$A69)*(Results!$B$2:$B$1001=500)*(Results!$K$2:$K$1001&gt;0),Results!$K$2:$K$1001),2),"")</f>
        <v/>
      </c>
      <c r="D69" s="16">
        <f t="array" ref="D69">IFERROR(LARGE(IF((Results!$C$2:$C$1001=$A69)*(Results!$B$2:$B$1001=600)*(Results!$K$2:$K$1001&gt;0),Results!$K$2:$K$1001),1),"")</f>
        <v/>
      </c>
      <c r="E69" s="16">
        <f t="array" ref="E69">IFERROR(LARGE(IF((Results!$C$2:$C$1001=$A69)*(Results!$B$2:$B$1001=600)*(Results!$K$2:$K$1001&gt;0),Results!$K$2:$K$1001),2),"")</f>
        <v/>
      </c>
      <c r="F69" s="16">
        <f t="array" ref="F69">IFERROR(LARGE(IF((Results!$C$2:$C$1001=$A69)*(Results!$B$2:$B$1001=700)*(Results!$K$2:$K$1001&gt;0),Results!$K$2:$K$1001),1),"")</f>
        <v/>
      </c>
      <c r="G69" s="16">
        <f t="array" ref="G69">IFERROR(LARGE(IF((Results!$C$2:$C$1001=$A69)*(Results!$B$2:$B$1001=700)*(Results!$K$2:$K$1001&gt;0),Results!$K$2:$K$1001),2),"")</f>
        <v/>
      </c>
      <c r="H69" s="16">
        <f t="array" ref="H69">IFERROR(LARGE(IF((Results!$C$2:$C$1001=$A69)*(Results!$B$2:$B$1001=800)*(Results!$K$2:$K$1001&gt;0),Results!$K$2:$K$1001),1),"")</f>
        <v/>
      </c>
      <c r="I69" s="16">
        <f t="array" ref="I69">IFERROR(LARGE(IF((Results!$C$2:$C$1001=$A69)*(Results!$B$2:$B$1001=800)*(Results!$K$2:$K$1001&gt;0),Results!$K$2:$K$1001),2),"")</f>
        <v/>
      </c>
      <c r="J69" s="16">
        <f t="array" ref="J69">IFERROR(LARGE(IF((Results!$C$2:$C$1001=$A69)*(Results!$B$2:$B$1001=900)*(Results!$K$2:$K$1001&gt;0),Results!$K$2:$K$1001),1),"")</f>
        <v/>
      </c>
      <c r="K69" s="16">
        <f t="array" ref="K69">IFERROR(LARGE(IF((Results!$C$2:$C$1001=$A69)*(Results!$B$2:$B$1001=900)*(Results!$K$2:$K$1001&gt;0),Results!$K$2:$K$1001),2),"")</f>
        <v/>
      </c>
      <c r="L69" s="16">
        <f t="array" ref="L69">IF($A69="","",IFERROR(LARGE(IF((Results!$C$2:$C$1001=$A69)*(Results!$B$2:$B$1001=500)*(Results!$K$2:$K$1001&gt;0),Results!$K$2:$K$1001),1),0)+IFERROR(LARGE(IF((Results!$C$2:$C$1001=$A69)*(Results!$B$2:$B$1001=500)*(Results!$K$2:$K$1001&gt;0),Results!$K$2:$K$1001),2),0)+IFERROR(LARGE(IF((Results!$C$2:$C$1001=$A69)*(Results!$B$2:$B$1001=600)*(Results!$K$2:$K$1001&gt;0),Results!$K$2:$K$1001),1),0)+IFERROR(LARGE(IF((Results!$C$2:$C$1001=$A69)*(Results!$B$2:$B$1001=600)*(Results!$K$2:$K$1001&gt;0),Results!$K$2:$K$1001),2),0)+IFERROR(LARGE(IF((Results!$C$2:$C$1001=$A69)*(Results!$B$2:$B$1001=700)*(Results!$K$2:$K$1001&gt;0),Results!$K$2:$K$1001),1),0)+IFERROR(LARGE(IF((Results!$C$2:$C$1001=$A69)*(Results!$B$2:$B$1001=700)*(Results!$K$2:$K$1001&gt;0),Results!$K$2:$K$1001),2),0)+IFERROR(LARGE(IF((Results!$C$2:$C$1001=$A69)*(Results!$B$2:$B$1001=800)*(Results!$K$2:$K$1001&gt;0),Results!$K$2:$K$1001),1),0)+IFERROR(LARGE(IF((Results!$C$2:$C$1001=$A69)*(Results!$B$2:$B$1001=800)*(Results!$K$2:$K$1001&gt;0),Results!$K$2:$K$1001),2),0)+IFERROR(LARGE(IF((Results!$C$2:$C$1001=$A69)*(Results!$B$2:$B$1001=900)*(Results!$K$2:$K$1001&gt;0),Results!$K$2:$K$1001),1),0)+IFERROR(LARGE(IF((Results!$C$2:$C$1001=$A69)*(Results!$B$2:$B$1001=900)*(Results!$K$2:$K$1001&gt;0),Results!$K$2:$K$1001),2),0))</f>
        <v/>
      </c>
      <c r="M69" s="32">
        <f>IFERROR(IF(OR(L69=0,L69=""),"",RANK(L69,$L$4:$L$70,0)),"")</f>
        <v/>
      </c>
      <c r="N69" s="16">
        <f>IF($A69="","",IFERROR(AVERAGEIF(B69:K69,"&gt;"&amp;0),0))</f>
        <v/>
      </c>
    </row>
    <row r="70" ht="13.5" customHeight="1">
      <c r="A70" s="5">
        <f t="array" ref="A70">IFERROR(INDEX(Results!$C$2:$C$1001,MATCH(0,COUNTIF($A$3:A69,Results!$C$2:$C$1001)+(Results!$C$2:$C$1001=""),0)),"")</f>
        <v/>
      </c>
      <c r="B70" s="16">
        <f t="array" ref="B70">IFERROR(LARGE(IF((Results!$C$2:$C$1001=$A70)*(Results!$B$2:$B$1001=500)*(Results!$K$2:$K$1001&gt;0),Results!$K$2:$K$1001),1),"")</f>
        <v/>
      </c>
      <c r="C70" s="16">
        <f t="array" ref="C70">IFERROR(LARGE(IF((Results!$C$2:$C$1001=$A70)*(Results!$B$2:$B$1001=500)*(Results!$K$2:$K$1001&gt;0),Results!$K$2:$K$1001),2),"")</f>
        <v/>
      </c>
      <c r="D70" s="16">
        <f t="array" ref="D70">IFERROR(LARGE(IF((Results!$C$2:$C$1001=$A70)*(Results!$B$2:$B$1001=600)*(Results!$K$2:$K$1001&gt;0),Results!$K$2:$K$1001),1),"")</f>
        <v/>
      </c>
      <c r="E70" s="16">
        <f t="array" ref="E70">IFERROR(LARGE(IF((Results!$C$2:$C$1001=$A70)*(Results!$B$2:$B$1001=600)*(Results!$K$2:$K$1001&gt;0),Results!$K$2:$K$1001),2),"")</f>
        <v/>
      </c>
      <c r="F70" s="16">
        <f t="array" ref="F70">IFERROR(LARGE(IF((Results!$C$2:$C$1001=$A70)*(Results!$B$2:$B$1001=700)*(Results!$K$2:$K$1001&gt;0),Results!$K$2:$K$1001),1),"")</f>
        <v/>
      </c>
      <c r="G70" s="16">
        <f t="array" ref="G70">IFERROR(LARGE(IF((Results!$C$2:$C$1001=$A70)*(Results!$B$2:$B$1001=700)*(Results!$K$2:$K$1001&gt;0),Results!$K$2:$K$1001),2),"")</f>
        <v/>
      </c>
      <c r="H70" s="16">
        <f t="array" ref="H70">IFERROR(LARGE(IF((Results!$C$2:$C$1001=$A70)*(Results!$B$2:$B$1001=800)*(Results!$K$2:$K$1001&gt;0),Results!$K$2:$K$1001),1),"")</f>
        <v/>
      </c>
      <c r="I70" s="16">
        <f t="array" ref="I70">IFERROR(LARGE(IF((Results!$C$2:$C$1001=$A70)*(Results!$B$2:$B$1001=800)*(Results!$K$2:$K$1001&gt;0),Results!$K$2:$K$1001),2),"")</f>
        <v/>
      </c>
      <c r="J70" s="16">
        <f t="array" ref="J70">IFERROR(LARGE(IF((Results!$C$2:$C$1001=$A70)*(Results!$B$2:$B$1001=900)*(Results!$K$2:$K$1001&gt;0),Results!$K$2:$K$1001),1),"")</f>
        <v/>
      </c>
      <c r="K70" s="16">
        <f t="array" ref="K70">IFERROR(LARGE(IF((Results!$C$2:$C$1001=$A70)*(Results!$B$2:$B$1001=900)*(Results!$K$2:$K$1001&gt;0),Results!$K$2:$K$1001),2),"")</f>
        <v/>
      </c>
      <c r="L70" s="16">
        <f t="array" ref="L70">IF($A70="","",IFERROR(LARGE(IF((Results!$C$2:$C$1001=$A70)*(Results!$B$2:$B$1001=500)*(Results!$K$2:$K$1001&gt;0),Results!$K$2:$K$1001),1),0)+IFERROR(LARGE(IF((Results!$C$2:$C$1001=$A70)*(Results!$B$2:$B$1001=500)*(Results!$K$2:$K$1001&gt;0),Results!$K$2:$K$1001),2),0)+IFERROR(LARGE(IF((Results!$C$2:$C$1001=$A70)*(Results!$B$2:$B$1001=600)*(Results!$K$2:$K$1001&gt;0),Results!$K$2:$K$1001),1),0)+IFERROR(LARGE(IF((Results!$C$2:$C$1001=$A70)*(Results!$B$2:$B$1001=600)*(Results!$K$2:$K$1001&gt;0),Results!$K$2:$K$1001),2),0)+IFERROR(LARGE(IF((Results!$C$2:$C$1001=$A70)*(Results!$B$2:$B$1001=700)*(Results!$K$2:$K$1001&gt;0),Results!$K$2:$K$1001),1),0)+IFERROR(LARGE(IF((Results!$C$2:$C$1001=$A70)*(Results!$B$2:$B$1001=700)*(Results!$K$2:$K$1001&gt;0),Results!$K$2:$K$1001),2),0)+IFERROR(LARGE(IF((Results!$C$2:$C$1001=$A70)*(Results!$B$2:$B$1001=800)*(Results!$K$2:$K$1001&gt;0),Results!$K$2:$K$1001),1),0)+IFERROR(LARGE(IF((Results!$C$2:$C$1001=$A70)*(Results!$B$2:$B$1001=800)*(Results!$K$2:$K$1001&gt;0),Results!$K$2:$K$1001),2),0)+IFERROR(LARGE(IF((Results!$C$2:$C$1001=$A70)*(Results!$B$2:$B$1001=900)*(Results!$K$2:$K$1001&gt;0),Results!$K$2:$K$1001),1),0)+IFERROR(LARGE(IF((Results!$C$2:$C$1001=$A70)*(Results!$B$2:$B$1001=900)*(Results!$K$2:$K$1001&gt;0),Results!$K$2:$K$1001),2),0))</f>
        <v/>
      </c>
      <c r="M70" s="32">
        <f>IFERROR(IF(OR(L70=0,L70=""),"",RANK(L70,$L$4:$L$70,0)),"")</f>
        <v/>
      </c>
      <c r="N70" s="16">
        <f>IF($A70="","",IFERROR(AVERAGEIF(B70:K70,"&gt;"&amp;0),0))</f>
        <v/>
      </c>
    </row>
    <row r="71" ht="13.5" customHeight="1">
      <c r="A71" s="2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4" t="n"/>
    </row>
    <row r="72" ht="13.5" customHeight="1">
      <c r="A72" s="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4" t="n"/>
    </row>
    <row r="73" ht="13.5" customHeight="1">
      <c r="A73" s="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4" t="n"/>
    </row>
    <row r="74" ht="13.5" customHeight="1">
      <c r="A74" s="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4" t="n"/>
    </row>
    <row r="75" ht="13.5" customHeight="1">
      <c r="A75" s="2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4" t="n"/>
    </row>
    <row r="76" ht="13.5" customHeight="1">
      <c r="A76" s="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4" t="n"/>
    </row>
    <row r="77" ht="13.5" customHeight="1">
      <c r="A77" s="2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4" t="n"/>
    </row>
    <row r="78" ht="13.5" customHeight="1">
      <c r="A78" s="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4" t="n"/>
    </row>
    <row r="79" ht="13.5" customHeight="1">
      <c r="A79" s="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4" t="n"/>
    </row>
    <row r="80" ht="13.5" customHeight="1">
      <c r="A80" s="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4" t="n"/>
    </row>
    <row r="81" ht="13.5" customHeight="1">
      <c r="A81" s="2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4" t="n"/>
    </row>
    <row r="82" ht="13.5" customHeight="1">
      <c r="A82" s="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4" t="n"/>
    </row>
    <row r="83" ht="13.5" customHeight="1">
      <c r="A83" s="2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4" t="n"/>
    </row>
    <row r="84" ht="13.5" customHeight="1">
      <c r="A84" s="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4" t="n"/>
    </row>
    <row r="85" ht="13.5" customHeight="1">
      <c r="A85" s="2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4" t="n"/>
    </row>
    <row r="86" ht="13.5" customHeight="1">
      <c r="A86" s="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4" t="n"/>
    </row>
    <row r="87" ht="13.5" customHeight="1">
      <c r="A87" s="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4" t="n"/>
    </row>
    <row r="88" ht="13.5" customHeight="1">
      <c r="A88" s="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4" t="n"/>
    </row>
    <row r="89" ht="13.5" customHeight="1">
      <c r="A89" s="2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4" t="n"/>
    </row>
    <row r="90" ht="13.5" customHeight="1">
      <c r="A90" s="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4" t="n"/>
    </row>
    <row r="91" ht="13.5" customHeight="1">
      <c r="A91" s="2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4" t="n"/>
    </row>
    <row r="92" ht="13.5" customHeight="1">
      <c r="A92" s="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4" t="n"/>
    </row>
    <row r="93" ht="13.5" customHeight="1">
      <c r="A93" s="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4" t="n"/>
    </row>
    <row r="94" ht="13.5" customHeight="1">
      <c r="A94" s="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4" t="n"/>
    </row>
    <row r="95" ht="13.5" customHeight="1">
      <c r="A95" s="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4" t="n"/>
    </row>
    <row r="96" ht="13.5" customHeight="1">
      <c r="A96" s="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4" t="n"/>
    </row>
    <row r="97" ht="13.5" customHeight="1">
      <c r="A97" s="2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4" t="n"/>
    </row>
    <row r="98" ht="13.5" customHeight="1">
      <c r="A98" s="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4" t="n"/>
    </row>
    <row r="99" ht="13.5" customHeight="1">
      <c r="A99" s="2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4" t="n"/>
    </row>
    <row r="100" ht="13.5" customHeight="1">
      <c r="A100" s="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4" t="n"/>
    </row>
    <row r="101" ht="13.5" customHeight="1">
      <c r="A101" s="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4" t="n"/>
    </row>
    <row r="102" ht="13.5" customHeight="1">
      <c r="A102" s="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4" t="n"/>
    </row>
    <row r="103" ht="13.5" customHeight="1">
      <c r="A103" s="2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4" t="n"/>
    </row>
    <row r="104" ht="13.5" customHeight="1">
      <c r="A104" s="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4" t="n"/>
    </row>
    <row r="105" ht="13.5" customHeight="1">
      <c r="A105" s="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4" t="n"/>
    </row>
    <row r="106" ht="13.5" customHeight="1">
      <c r="A106" s="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4" t="n"/>
    </row>
    <row r="107" ht="13.5" customHeight="1">
      <c r="A107" s="2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4" t="n"/>
    </row>
    <row r="108" ht="13.5" customHeight="1">
      <c r="A108" s="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4" t="n"/>
    </row>
    <row r="109" ht="13.5" customHeight="1">
      <c r="A109" s="2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4" t="n"/>
    </row>
    <row r="110" ht="13.5" customHeight="1">
      <c r="A110" s="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4" t="n"/>
    </row>
    <row r="111" ht="13.5" customHeight="1">
      <c r="A111" s="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4" t="n"/>
    </row>
    <row r="112" ht="13.5" customHeight="1">
      <c r="A112" s="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4" t="n"/>
    </row>
    <row r="113" ht="13.5" customHeight="1">
      <c r="A113" s="2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4" t="n"/>
    </row>
    <row r="114" ht="13.5" customHeight="1">
      <c r="A114" s="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4" t="n"/>
    </row>
    <row r="115" ht="13.5" customHeight="1">
      <c r="A115" s="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4" t="n"/>
    </row>
    <row r="116" ht="13.5" customHeight="1">
      <c r="A116" s="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4" t="n"/>
    </row>
    <row r="117" ht="13.5" customHeight="1">
      <c r="A117" s="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4" t="n"/>
    </row>
    <row r="118" ht="13.5" customHeight="1">
      <c r="A118" s="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4" t="n"/>
    </row>
    <row r="119" ht="13.5" customHeight="1">
      <c r="A119" s="2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4" t="n"/>
    </row>
    <row r="120" ht="13.5" customHeight="1">
      <c r="A120" s="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4" t="n"/>
    </row>
    <row r="121" ht="13.5" customHeight="1">
      <c r="A121" s="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4" t="n"/>
    </row>
    <row r="122" ht="13.5" customHeight="1">
      <c r="A122" s="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4" t="n"/>
    </row>
    <row r="123" ht="13.5" customHeight="1">
      <c r="A123" s="2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4" t="n"/>
    </row>
    <row r="124" ht="13.5" customHeight="1">
      <c r="A124" s="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4" t="n"/>
    </row>
    <row r="125" ht="13.5" customHeight="1">
      <c r="A125" s="2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4" t="n"/>
    </row>
    <row r="126" ht="13.5" customHeight="1">
      <c r="A126" s="2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4" t="n"/>
    </row>
    <row r="127" ht="13.5" customHeight="1">
      <c r="A127" s="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4" t="n"/>
    </row>
    <row r="128" ht="13.5" customHeight="1">
      <c r="A128" s="2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4" t="n"/>
    </row>
    <row r="129" ht="13.5" customHeight="1">
      <c r="A129" s="2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4" t="n"/>
    </row>
    <row r="130" ht="13.5" customHeight="1">
      <c r="A130" s="2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4" t="n"/>
    </row>
    <row r="131" ht="13.5" customHeight="1">
      <c r="A131" s="2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4" t="n"/>
    </row>
    <row r="132" ht="13.5" customHeight="1">
      <c r="A132" s="2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4" t="n"/>
    </row>
    <row r="133" ht="13.5" customHeight="1">
      <c r="A133" s="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4" t="n"/>
    </row>
    <row r="134" ht="13.5" customHeight="1">
      <c r="A134" s="2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4" t="n"/>
    </row>
    <row r="135" ht="13.5" customHeight="1">
      <c r="A135" s="2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4" t="n"/>
    </row>
    <row r="136" ht="13.5" customHeight="1">
      <c r="A136" s="2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4" t="n"/>
    </row>
    <row r="137" ht="13.5" customHeight="1">
      <c r="A137" s="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4" t="n"/>
    </row>
    <row r="138" ht="13.5" customHeight="1">
      <c r="A138" s="2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4" t="n"/>
    </row>
    <row r="139" ht="13.5" customHeight="1">
      <c r="A139" s="2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4" t="n"/>
    </row>
    <row r="140" ht="13.5" customHeight="1">
      <c r="A140" s="2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4" t="n"/>
    </row>
    <row r="141" ht="13.5" customHeight="1">
      <c r="A141" s="2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4" t="n"/>
    </row>
    <row r="142" ht="13.5" customHeight="1">
      <c r="A142" s="2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4" t="n"/>
    </row>
    <row r="143" ht="13.5" customHeight="1">
      <c r="A143" s="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4" t="n"/>
    </row>
    <row r="144" ht="13.5" customHeight="1">
      <c r="A144" s="2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4" t="n"/>
    </row>
    <row r="145" ht="13.5" customHeight="1">
      <c r="A145" s="2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4" t="n"/>
    </row>
    <row r="146" ht="13.5" customHeight="1">
      <c r="A146" s="2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4" t="n"/>
    </row>
    <row r="147" ht="13.5" customHeight="1">
      <c r="A147" s="2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4" t="n"/>
    </row>
    <row r="148" ht="13.5" customHeight="1">
      <c r="A148" s="2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4" t="n"/>
    </row>
    <row r="149" ht="13.5" customHeight="1">
      <c r="A149" s="2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4" t="n"/>
    </row>
    <row r="150" ht="13.5" customHeight="1">
      <c r="A150" s="2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4" t="n"/>
    </row>
    <row r="151" ht="13.5" customHeight="1">
      <c r="A151" s="2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4" t="n"/>
    </row>
    <row r="152" ht="13.5" customHeight="1">
      <c r="A152" s="2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4" t="n"/>
    </row>
    <row r="153" ht="13.5" customHeight="1">
      <c r="A153" s="2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4" t="n"/>
    </row>
    <row r="154" ht="13.5" customHeight="1">
      <c r="A154" s="2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4" t="n"/>
    </row>
    <row r="155" ht="13.5" customHeight="1">
      <c r="A155" s="2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4" t="n"/>
    </row>
    <row r="156" ht="13.5" customHeight="1">
      <c r="A156" s="2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4" t="n"/>
    </row>
    <row r="157" ht="13.5" customHeight="1">
      <c r="A157" s="2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4" t="n"/>
    </row>
    <row r="158" ht="13.5" customHeight="1">
      <c r="A158" s="2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4" t="n"/>
    </row>
    <row r="159" ht="13.5" customHeight="1">
      <c r="A159" s="2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4" t="n"/>
    </row>
    <row r="160" ht="13.5" customHeight="1">
      <c r="A160" s="2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4" t="n"/>
    </row>
    <row r="161" ht="13.5" customHeight="1">
      <c r="A161" s="2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4" t="n"/>
    </row>
    <row r="162" ht="13.5" customHeight="1">
      <c r="A162" s="2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4" t="n"/>
    </row>
    <row r="163" ht="13.5" customHeight="1">
      <c r="A163" s="2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4" t="n"/>
    </row>
    <row r="164" ht="13.5" customHeight="1">
      <c r="A164" s="2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4" t="n"/>
    </row>
    <row r="165" ht="13.5" customHeight="1">
      <c r="A165" s="2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4" t="n"/>
    </row>
    <row r="166" ht="13.5" customHeight="1">
      <c r="A166" s="2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4" t="n"/>
    </row>
    <row r="167" ht="13.5" customHeight="1">
      <c r="A167" s="2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4" t="n"/>
    </row>
    <row r="168" ht="13.5" customHeight="1">
      <c r="A168" s="2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4" t="n"/>
    </row>
    <row r="169" ht="13.5" customHeight="1">
      <c r="A169" s="2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4" t="n"/>
    </row>
    <row r="170" ht="13.5" customHeight="1">
      <c r="A170" s="2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4" t="n"/>
    </row>
    <row r="171" ht="13.5" customHeight="1">
      <c r="A171" s="2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4" t="n"/>
    </row>
    <row r="172" ht="13.5" customHeight="1">
      <c r="A172" s="2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4" t="n"/>
    </row>
    <row r="173" ht="13.5" customHeight="1">
      <c r="A173" s="2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4" t="n"/>
    </row>
    <row r="174" ht="13.5" customHeight="1">
      <c r="A174" s="2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4" t="n"/>
    </row>
    <row r="175" ht="13.5" customHeight="1">
      <c r="A175" s="2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4" t="n"/>
    </row>
    <row r="176" ht="13.5" customHeight="1">
      <c r="A176" s="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4" t="n"/>
    </row>
    <row r="177" ht="13.5" customHeight="1">
      <c r="A177" s="2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4" t="n"/>
    </row>
    <row r="178" ht="13.5" customHeight="1">
      <c r="A178" s="2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4" t="n"/>
    </row>
    <row r="179" ht="13.5" customHeight="1">
      <c r="A179" s="2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4" t="n"/>
    </row>
    <row r="180" ht="13.5" customHeight="1">
      <c r="A180" s="2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4" t="n"/>
    </row>
    <row r="181" ht="13.5" customHeight="1">
      <c r="A181" s="2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4" t="n"/>
    </row>
    <row r="182" ht="13.5" customHeight="1">
      <c r="A182" s="2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4" t="n"/>
    </row>
    <row r="183" ht="13.5" customHeight="1">
      <c r="A183" s="2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4" t="n"/>
    </row>
    <row r="184" ht="13.5" customHeight="1">
      <c r="A184" s="2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4" t="n"/>
    </row>
    <row r="185" ht="13.5" customHeight="1">
      <c r="A185" s="2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4" t="n"/>
    </row>
    <row r="186" ht="13.5" customHeight="1">
      <c r="A186" s="2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4" t="n"/>
    </row>
    <row r="187" ht="13.5" customHeight="1">
      <c r="A187" s="2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4" t="n"/>
    </row>
    <row r="188" ht="13.5" customHeight="1">
      <c r="A188" s="2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4" t="n"/>
    </row>
    <row r="189" ht="13.5" customHeight="1">
      <c r="A189" s="2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4" t="n"/>
    </row>
    <row r="190" ht="13.5" customHeight="1">
      <c r="A190" s="2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4" t="n"/>
    </row>
    <row r="191" ht="13.5" customHeight="1">
      <c r="A191" s="2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4" t="n"/>
    </row>
    <row r="192" ht="13.5" customHeight="1">
      <c r="A192" s="2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4" t="n"/>
    </row>
    <row r="193" ht="13.5" customHeight="1">
      <c r="A193" s="2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4" t="n"/>
    </row>
    <row r="194" ht="13.5" customHeight="1">
      <c r="A194" s="2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4" t="n"/>
    </row>
    <row r="195" ht="13.5" customHeight="1">
      <c r="A195" s="2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4" t="n"/>
    </row>
    <row r="196" ht="13.5" customHeight="1">
      <c r="A196" s="2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4" t="n"/>
    </row>
    <row r="197" ht="13.5" customHeight="1">
      <c r="A197" s="2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4" t="n"/>
    </row>
    <row r="198" ht="13.5" customHeight="1">
      <c r="A198" s="2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4" t="n"/>
    </row>
    <row r="199" ht="13.5" customHeight="1">
      <c r="A199" s="2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4" t="n"/>
    </row>
    <row r="200" ht="13.5" customHeight="1">
      <c r="A200" s="2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4" t="n"/>
    </row>
    <row r="201" ht="13.5" customHeight="1">
      <c r="A201" s="2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4" t="n"/>
    </row>
    <row r="202" ht="13.5" customHeight="1">
      <c r="A202" s="2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4" t="n"/>
    </row>
    <row r="203" ht="13.5" customHeight="1">
      <c r="A203" s="2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4" t="n"/>
    </row>
  </sheetData>
  <autoFilter ref="A3:N3"/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6" customWidth="1" min="14" max="14"/>
  </cols>
  <sheetData>
    <row r="1">
      <c r="A1" s="47" t="inlineStr">
        <is>
          <t>End of Year MCSI Club Champion 2026 — V5 factors (Sporter merged)</t>
        </is>
      </c>
    </row>
    <row r="2">
      <c r="A2" s="43" t="inlineStr">
        <is>
          <t>Best-2-per-distance using V5 factors. V5 calibrated at top-40% K&amp;Q 2024+ cohort with Sporter Open + Sporter Production merged into a single Sporter factor (1.383).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500m Best 1</t>
        </is>
      </c>
      <c r="D3" s="48" t="inlineStr">
        <is>
          <t>500m Best 2</t>
        </is>
      </c>
      <c r="E3" s="48" t="inlineStr">
        <is>
          <t>600m Best 1</t>
        </is>
      </c>
      <c r="F3" s="48" t="inlineStr">
        <is>
          <t>600m Best 2</t>
        </is>
      </c>
      <c r="G3" s="48" t="inlineStr">
        <is>
          <t>700m Best 1</t>
        </is>
      </c>
      <c r="H3" s="48" t="inlineStr">
        <is>
          <t>700m Best 2</t>
        </is>
      </c>
      <c r="I3" s="48" t="inlineStr">
        <is>
          <t>800m Best 1</t>
        </is>
      </c>
      <c r="J3" s="48" t="inlineStr">
        <is>
          <t>800m Best 2</t>
        </is>
      </c>
      <c r="K3" s="48" t="inlineStr">
        <is>
          <t>900m Best 1</t>
        </is>
      </c>
      <c r="L3" s="48" t="inlineStr">
        <is>
          <t>900m Best 2</t>
        </is>
      </c>
      <c r="M3" s="48" t="inlineStr">
        <is>
          <t>Grand Total</t>
        </is>
      </c>
      <c r="N3" s="48" t="inlineStr">
        <is>
          <t>Rank</t>
        </is>
      </c>
    </row>
    <row r="4">
      <c r="A4" s="41" t="inlineStr">
        <is>
          <t>Comerford, Dan</t>
        </is>
      </c>
      <c r="B4" s="49" t="inlineStr">
        <is>
          <t>Sporter</t>
        </is>
      </c>
      <c r="C4" s="41" t="n">
        <v>89.76000000000001</v>
      </c>
      <c r="D4" s="41" t="n">
        <v>88.79000000000001</v>
      </c>
      <c r="E4" s="41" t="n">
        <v>88.79000000000001</v>
      </c>
      <c r="F4" s="41" t="n">
        <v>87.81999999999999</v>
      </c>
      <c r="G4" s="41" t="n">
        <v>91.69</v>
      </c>
      <c r="H4" s="41" t="n">
        <v>87.13</v>
      </c>
      <c r="I4" s="41" t="n">
        <v>88.79000000000001</v>
      </c>
      <c r="J4" s="41" t="n">
        <v>87.81999999999999</v>
      </c>
      <c r="K4" s="41" t="n">
        <v>87.81999999999999</v>
      </c>
      <c r="L4" s="41" t="inlineStr"/>
      <c r="M4" s="40" t="n">
        <v>798.41</v>
      </c>
      <c r="N4" s="49" t="n">
        <v>1</v>
      </c>
    </row>
    <row r="5">
      <c r="A5" s="41" t="inlineStr">
        <is>
          <t>Toh, Keith</t>
        </is>
      </c>
      <c r="B5" s="49" t="inlineStr">
        <is>
          <t>TR</t>
        </is>
      </c>
      <c r="C5" s="41" t="n">
        <v>91.64</v>
      </c>
      <c r="D5" s="41" t="n">
        <v>88.67</v>
      </c>
      <c r="E5" s="41" t="n">
        <v>88.67</v>
      </c>
      <c r="F5" s="41" t="n">
        <v>82.59999999999999</v>
      </c>
      <c r="G5" s="41" t="n">
        <v>84.58</v>
      </c>
      <c r="H5" s="41" t="n">
        <v>83.59</v>
      </c>
      <c r="I5" s="41" t="n">
        <v>88.67</v>
      </c>
      <c r="J5" s="41" t="n">
        <v>74.13</v>
      </c>
      <c r="K5" s="41" t="n">
        <v>87.69</v>
      </c>
      <c r="L5" s="41" t="inlineStr"/>
      <c r="M5" s="40" t="n">
        <v>770.24</v>
      </c>
      <c r="N5" s="49" t="n">
        <v>2</v>
      </c>
    </row>
    <row r="6">
      <c r="A6" s="41" t="inlineStr">
        <is>
          <t>Kilpatrick, Brian</t>
        </is>
      </c>
      <c r="B6" s="49" t="inlineStr">
        <is>
          <t>Sporter</t>
        </is>
      </c>
      <c r="C6" s="41" t="n">
        <v>88.79000000000001</v>
      </c>
      <c r="D6" s="41" t="n">
        <v>88.09999999999999</v>
      </c>
      <c r="E6" s="41" t="n">
        <v>88.09999999999999</v>
      </c>
      <c r="F6" s="41" t="n">
        <v>84.5</v>
      </c>
      <c r="G6" s="41" t="n">
        <v>89.76000000000001</v>
      </c>
      <c r="H6" s="41" t="n">
        <v>84.22</v>
      </c>
      <c r="I6" s="41" t="n">
        <v>88.79000000000001</v>
      </c>
      <c r="J6" s="41" t="n">
        <v>81.59999999999999</v>
      </c>
      <c r="K6" s="41" t="n">
        <v>75.93000000000001</v>
      </c>
      <c r="L6" s="41" t="inlineStr"/>
      <c r="M6" s="40" t="n">
        <v>769.79</v>
      </c>
      <c r="N6" s="49" t="n">
        <v>3</v>
      </c>
    </row>
    <row r="7">
      <c r="A7" t="inlineStr">
        <is>
          <t>Beretta, Chris</t>
        </is>
      </c>
      <c r="B7" s="50" t="inlineStr">
        <is>
          <t>FO</t>
        </is>
      </c>
      <c r="C7" t="n">
        <v>83.09</v>
      </c>
      <c r="D7" t="n">
        <v>82.11</v>
      </c>
      <c r="E7" t="n">
        <v>87.88</v>
      </c>
      <c r="F7" t="n">
        <v>76.48999999999999</v>
      </c>
      <c r="G7" t="n">
        <v>89.28</v>
      </c>
      <c r="H7" t="n">
        <v>81.69</v>
      </c>
      <c r="I7" t="n">
        <v>84.5</v>
      </c>
      <c r="J7" t="n">
        <v>75.08</v>
      </c>
      <c r="K7" t="n">
        <v>84.5</v>
      </c>
      <c r="L7" t="inlineStr"/>
      <c r="M7" s="47" t="n">
        <v>744.62</v>
      </c>
      <c r="N7" s="50" t="n">
        <v>4</v>
      </c>
    </row>
    <row r="8">
      <c r="A8" t="inlineStr">
        <is>
          <t>Staley, Eric</t>
        </is>
      </c>
      <c r="B8" s="50" t="inlineStr">
        <is>
          <t>Sporter</t>
        </is>
      </c>
      <c r="C8" t="n">
        <v>84.22</v>
      </c>
      <c r="D8" t="n">
        <v>83.26000000000001</v>
      </c>
      <c r="E8" t="n">
        <v>86.84999999999999</v>
      </c>
      <c r="F8" t="n">
        <v>85.19</v>
      </c>
      <c r="G8" t="n">
        <v>83.53</v>
      </c>
      <c r="H8" t="n">
        <v>82.56999999999999</v>
      </c>
      <c r="I8" t="n">
        <v>88.79000000000001</v>
      </c>
      <c r="J8" t="n">
        <v>72.33</v>
      </c>
      <c r="K8" t="n">
        <v>75.65000000000001</v>
      </c>
      <c r="L8" t="inlineStr"/>
      <c r="M8" s="47" t="n">
        <v>742.39</v>
      </c>
      <c r="N8" s="50" t="n">
        <v>5</v>
      </c>
    </row>
    <row r="9">
      <c r="A9" t="inlineStr">
        <is>
          <t>Patto, Nick</t>
        </is>
      </c>
      <c r="B9" s="50" t="inlineStr">
        <is>
          <t>FO</t>
        </is>
      </c>
      <c r="C9" t="n">
        <v>88.86</v>
      </c>
      <c r="D9" t="n">
        <v>79.3</v>
      </c>
      <c r="E9" t="n">
        <v>79.86</v>
      </c>
      <c r="F9" t="n">
        <v>79.72</v>
      </c>
      <c r="G9" t="n">
        <v>87.88</v>
      </c>
      <c r="H9" t="n">
        <v>81.69</v>
      </c>
      <c r="I9" t="n">
        <v>86.47</v>
      </c>
      <c r="J9" t="n">
        <v>76.48999999999999</v>
      </c>
      <c r="K9" t="n">
        <v>81.69</v>
      </c>
      <c r="L9" t="inlineStr"/>
      <c r="M9" s="47" t="n">
        <v>741.96</v>
      </c>
      <c r="N9" s="50" t="n">
        <v>6</v>
      </c>
    </row>
    <row r="10">
      <c r="A10" t="inlineStr">
        <is>
          <t>Hanna, John</t>
        </is>
      </c>
      <c r="B10" s="50" t="inlineStr">
        <is>
          <t>Sporter</t>
        </is>
      </c>
      <c r="C10" t="n">
        <v>88.09999999999999</v>
      </c>
      <c r="D10" t="n">
        <v>86.84999999999999</v>
      </c>
      <c r="E10" t="n">
        <v>76.62</v>
      </c>
      <c r="F10" t="n">
        <v>75.65000000000001</v>
      </c>
      <c r="G10" t="n">
        <v>86.84999999999999</v>
      </c>
      <c r="H10" t="n">
        <v>81.87</v>
      </c>
      <c r="I10" t="n">
        <v>77.31</v>
      </c>
      <c r="J10" t="n">
        <v>72.33</v>
      </c>
      <c r="K10" t="n">
        <v>75.65000000000001</v>
      </c>
      <c r="L10" t="inlineStr"/>
      <c r="M10" s="47" t="n">
        <v>721.23</v>
      </c>
      <c r="N10" s="50" t="n">
        <v>7</v>
      </c>
    </row>
    <row r="11">
      <c r="A11" t="inlineStr">
        <is>
          <t>Chay, Tony</t>
        </is>
      </c>
      <c r="B11" s="50" t="inlineStr">
        <is>
          <t>Sporter</t>
        </is>
      </c>
      <c r="C11" t="n">
        <v>85.19</v>
      </c>
      <c r="D11" t="n">
        <v>77.59</v>
      </c>
      <c r="E11" t="n">
        <v>70.67</v>
      </c>
      <c r="F11" t="n">
        <v>61.41</v>
      </c>
      <c r="G11" t="n">
        <v>82.29000000000001</v>
      </c>
      <c r="H11" t="n">
        <v>75.65000000000001</v>
      </c>
      <c r="I11" t="n">
        <v>80.91</v>
      </c>
      <c r="J11" t="n">
        <v>80.20999999999999</v>
      </c>
      <c r="K11" t="n">
        <v>78.28</v>
      </c>
      <c r="L11" t="inlineStr"/>
      <c r="M11" s="47" t="n">
        <v>692.2</v>
      </c>
      <c r="N11" s="50" t="n">
        <v>8</v>
      </c>
    </row>
    <row r="12">
      <c r="A12" t="inlineStr">
        <is>
          <t>Cook, Andrew</t>
        </is>
      </c>
      <c r="B12" s="50" t="inlineStr">
        <is>
          <t>FS</t>
        </is>
      </c>
      <c r="C12" t="n">
        <v>89.23999999999999</v>
      </c>
      <c r="D12" t="n">
        <v>86.58</v>
      </c>
      <c r="E12" t="n">
        <v>85.25</v>
      </c>
      <c r="F12" t="n">
        <v>78.77</v>
      </c>
      <c r="G12" t="n">
        <v>90.70999999999999</v>
      </c>
      <c r="H12" t="n">
        <v>82.75</v>
      </c>
      <c r="I12" t="n">
        <v>87.17</v>
      </c>
      <c r="J12" t="inlineStr"/>
      <c r="K12" t="n">
        <v>71.83</v>
      </c>
      <c r="L12" t="inlineStr"/>
      <c r="M12" s="47" t="n">
        <v>672.3</v>
      </c>
      <c r="N12" s="50" t="n">
        <v>9</v>
      </c>
    </row>
    <row r="13">
      <c r="A13" t="inlineStr">
        <is>
          <t>Gwyn, Stephen</t>
        </is>
      </c>
      <c r="B13" s="50" t="inlineStr">
        <is>
          <t>Sporter</t>
        </is>
      </c>
      <c r="C13" t="n">
        <v>84.22</v>
      </c>
      <c r="D13" t="n">
        <v>81.61</v>
      </c>
      <c r="E13" t="n">
        <v>81.90000000000001</v>
      </c>
      <c r="F13" t="n">
        <v>81.59999999999999</v>
      </c>
      <c r="G13" t="n">
        <v>85.28</v>
      </c>
      <c r="H13" t="n">
        <v>65.69</v>
      </c>
      <c r="I13" t="n">
        <v>85.98999999999999</v>
      </c>
      <c r="J13" t="inlineStr"/>
      <c r="K13" t="n">
        <v>80.91</v>
      </c>
      <c r="L13" t="inlineStr"/>
      <c r="M13" s="47" t="n">
        <v>647.2</v>
      </c>
      <c r="N13" s="50" t="n">
        <v>10</v>
      </c>
    </row>
    <row r="14">
      <c r="A14" t="inlineStr">
        <is>
          <t>Heath, David</t>
        </is>
      </c>
      <c r="B14" s="50" t="inlineStr">
        <is>
          <t>TR</t>
        </is>
      </c>
      <c r="C14" t="n">
        <v>86.98</v>
      </c>
      <c r="D14" t="n">
        <v>85.98999999999999</v>
      </c>
      <c r="E14" t="n">
        <v>79.92</v>
      </c>
      <c r="F14" t="n">
        <v>77.94</v>
      </c>
      <c r="G14" t="n">
        <v>89.66</v>
      </c>
      <c r="H14" t="n">
        <v>82.59999999999999</v>
      </c>
      <c r="I14" t="n">
        <v>75.54000000000001</v>
      </c>
      <c r="J14" t="n">
        <v>0</v>
      </c>
      <c r="K14" t="n">
        <v>67.06999999999999</v>
      </c>
      <c r="L14" t="inlineStr"/>
      <c r="M14" s="47" t="n">
        <v>645.7</v>
      </c>
      <c r="N14" s="50" t="n">
        <v>11</v>
      </c>
    </row>
    <row r="15">
      <c r="A15" t="inlineStr">
        <is>
          <t>Donnelly, Lisa</t>
        </is>
      </c>
      <c r="B15" s="50" t="inlineStr">
        <is>
          <t>FS</t>
        </is>
      </c>
      <c r="C15" t="n">
        <v>89.68000000000001</v>
      </c>
      <c r="D15" t="n">
        <v>84.08</v>
      </c>
      <c r="E15" t="n">
        <v>83.19</v>
      </c>
      <c r="F15" t="n">
        <v>67.41</v>
      </c>
      <c r="G15" t="n">
        <v>90.70999999999999</v>
      </c>
      <c r="H15" t="n">
        <v>70.36</v>
      </c>
      <c r="I15" t="n">
        <v>77.73</v>
      </c>
      <c r="J15" t="inlineStr"/>
      <c r="K15" t="n">
        <v>74.78</v>
      </c>
      <c r="L15" t="inlineStr"/>
      <c r="M15" s="47" t="n">
        <v>637.9400000000001</v>
      </c>
      <c r="N15" s="50" t="n">
        <v>12</v>
      </c>
    </row>
    <row r="16">
      <c r="A16" t="inlineStr">
        <is>
          <t>Shepherd, David</t>
        </is>
      </c>
      <c r="B16" s="50" t="inlineStr">
        <is>
          <t>FS</t>
        </is>
      </c>
      <c r="C16" t="n">
        <v>83.63</v>
      </c>
      <c r="D16" t="n">
        <v>82.16</v>
      </c>
      <c r="E16" t="n">
        <v>85.7</v>
      </c>
      <c r="F16" t="n">
        <v>71.83</v>
      </c>
      <c r="G16" t="n">
        <v>82.16</v>
      </c>
      <c r="H16" t="n">
        <v>64.90000000000001</v>
      </c>
      <c r="I16" t="n">
        <v>77.73</v>
      </c>
      <c r="J16" t="inlineStr"/>
      <c r="K16" t="n">
        <v>76.26000000000001</v>
      </c>
      <c r="L16" t="inlineStr"/>
      <c r="M16" s="47" t="n">
        <v>624.37</v>
      </c>
      <c r="N16" s="50" t="n">
        <v>13</v>
      </c>
    </row>
    <row r="17">
      <c r="A17" t="inlineStr">
        <is>
          <t>Smaldino, Richard</t>
        </is>
      </c>
      <c r="B17" s="50" t="inlineStr">
        <is>
          <t>Sporter</t>
        </is>
      </c>
      <c r="C17" t="n">
        <v>87.13</v>
      </c>
      <c r="D17" t="n">
        <v>87.13</v>
      </c>
      <c r="E17" t="n">
        <v>87.13</v>
      </c>
      <c r="F17" t="n">
        <v>83.95</v>
      </c>
      <c r="G17" t="n">
        <v>88.79000000000001</v>
      </c>
      <c r="H17" t="n">
        <v>84.22</v>
      </c>
      <c r="I17" t="n">
        <v>79.25</v>
      </c>
      <c r="J17" t="inlineStr"/>
      <c r="K17" t="inlineStr"/>
      <c r="L17" t="inlineStr"/>
      <c r="M17" s="47" t="n">
        <v>597.6</v>
      </c>
      <c r="N17" s="50" t="n">
        <v>14</v>
      </c>
    </row>
    <row r="18">
      <c r="A18" t="inlineStr">
        <is>
          <t>Porter, Stephen</t>
        </is>
      </c>
      <c r="B18" s="50" t="inlineStr">
        <is>
          <t>FTR</t>
        </is>
      </c>
      <c r="C18" t="n">
        <v>81.34</v>
      </c>
      <c r="D18" t="n">
        <v>75.23</v>
      </c>
      <c r="E18" t="n">
        <v>77.73</v>
      </c>
      <c r="F18" t="n">
        <v>73.75</v>
      </c>
      <c r="G18" t="n">
        <v>73.31</v>
      </c>
      <c r="H18" t="n">
        <v>0</v>
      </c>
      <c r="I18" t="n">
        <v>73.52</v>
      </c>
      <c r="J18" t="n">
        <v>65.93000000000001</v>
      </c>
      <c r="K18" t="n">
        <v>66.27</v>
      </c>
      <c r="L18" t="inlineStr"/>
      <c r="M18" s="47" t="n">
        <v>587.08</v>
      </c>
      <c r="N18" s="50" t="n">
        <v>15</v>
      </c>
    </row>
    <row r="19">
      <c r="A19" t="inlineStr">
        <is>
          <t>Greed, Adrian</t>
        </is>
      </c>
      <c r="B19" s="50" t="inlineStr">
        <is>
          <t>TR</t>
        </is>
      </c>
      <c r="C19" t="n">
        <v>84.3</v>
      </c>
      <c r="D19" t="n">
        <v>80.63</v>
      </c>
      <c r="E19" t="n">
        <v>84.3</v>
      </c>
      <c r="F19" t="n">
        <v>79.64</v>
      </c>
      <c r="G19" t="n">
        <v>86.27</v>
      </c>
      <c r="H19" t="n">
        <v>84.01000000000001</v>
      </c>
      <c r="I19" t="n">
        <v>85.98999999999999</v>
      </c>
      <c r="J19" t="inlineStr"/>
      <c r="K19" t="inlineStr"/>
      <c r="L19" t="inlineStr"/>
      <c r="M19" s="47" t="n">
        <v>585.14</v>
      </c>
      <c r="N19" s="50" t="n">
        <v>16</v>
      </c>
    </row>
    <row r="20">
      <c r="A20" t="inlineStr">
        <is>
          <t>Mann, Neil</t>
        </is>
      </c>
      <c r="B20" s="50" t="inlineStr">
        <is>
          <t>Sporter</t>
        </is>
      </c>
      <c r="C20" t="n">
        <v>82.56999999999999</v>
      </c>
      <c r="D20" t="n">
        <v>78.28</v>
      </c>
      <c r="E20" t="n">
        <v>85.19</v>
      </c>
      <c r="F20" t="n">
        <v>74.95999999999999</v>
      </c>
      <c r="G20" t="n">
        <v>85.19</v>
      </c>
      <c r="H20" t="n">
        <v>80.91</v>
      </c>
      <c r="I20" t="n">
        <v>80.63</v>
      </c>
      <c r="J20" t="inlineStr"/>
      <c r="K20" t="inlineStr"/>
      <c r="L20" t="inlineStr"/>
      <c r="M20" s="47" t="n">
        <v>567.73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88.86</v>
      </c>
      <c r="D21" t="n">
        <v>86.47</v>
      </c>
      <c r="E21" t="n">
        <v>85.48</v>
      </c>
      <c r="F21" t="n">
        <v>78.88</v>
      </c>
      <c r="G21" t="n">
        <v>86.47</v>
      </c>
      <c r="H21" t="n">
        <v>84.08</v>
      </c>
      <c r="I21" t="inlineStr"/>
      <c r="J21" t="inlineStr"/>
      <c r="K21" t="inlineStr"/>
      <c r="L21" t="inlineStr"/>
      <c r="M21" s="47" t="n">
        <v>510.24</v>
      </c>
      <c r="N21" s="50" t="n">
        <v>18</v>
      </c>
    </row>
    <row r="22">
      <c r="A22" t="inlineStr">
        <is>
          <t>Wilson, Brendan</t>
        </is>
      </c>
      <c r="B22" s="50" t="inlineStr">
        <is>
          <t>FS</t>
        </is>
      </c>
      <c r="C22" t="n">
        <v>88.65000000000001</v>
      </c>
      <c r="D22" t="n">
        <v>82.75</v>
      </c>
      <c r="E22" t="n">
        <v>78.77</v>
      </c>
      <c r="F22" t="n">
        <v>75.81</v>
      </c>
      <c r="G22" t="n">
        <v>88.2</v>
      </c>
      <c r="H22" t="n">
        <v>81.27</v>
      </c>
      <c r="I22" t="inlineStr"/>
      <c r="J22" t="inlineStr"/>
      <c r="K22" t="inlineStr"/>
      <c r="L22" t="inlineStr"/>
      <c r="M22" s="47" t="n">
        <v>495.45</v>
      </c>
      <c r="N22" s="50" t="n">
        <v>19</v>
      </c>
    </row>
    <row r="23">
      <c r="A23" t="inlineStr">
        <is>
          <t>Viccars, Adrian</t>
        </is>
      </c>
      <c r="B23" s="50" t="inlineStr">
        <is>
          <t>Sporter</t>
        </is>
      </c>
      <c r="C23" t="n">
        <v>85.19</v>
      </c>
      <c r="D23" t="inlineStr"/>
      <c r="E23" t="n">
        <v>83.53</v>
      </c>
      <c r="F23" t="n">
        <v>83.53</v>
      </c>
      <c r="G23" t="n">
        <v>82.84</v>
      </c>
      <c r="H23" t="n">
        <v>80.91</v>
      </c>
      <c r="I23" t="n">
        <v>79.25</v>
      </c>
      <c r="J23" t="inlineStr"/>
      <c r="K23" t="inlineStr"/>
      <c r="L23" t="inlineStr"/>
      <c r="M23" s="47" t="n">
        <v>495.25</v>
      </c>
      <c r="N23" s="50" t="n">
        <v>20</v>
      </c>
    </row>
    <row r="24">
      <c r="A24" t="inlineStr">
        <is>
          <t>Gierer, Gerald</t>
        </is>
      </c>
      <c r="B24" s="50" t="inlineStr">
        <is>
          <t>Sporter</t>
        </is>
      </c>
      <c r="C24" t="n">
        <v>86.16</v>
      </c>
      <c r="D24" t="n">
        <v>0</v>
      </c>
      <c r="E24" t="n">
        <v>78</v>
      </c>
      <c r="F24" t="n">
        <v>76.62</v>
      </c>
      <c r="G24" t="n">
        <v>87.81999999999999</v>
      </c>
      <c r="H24" t="n">
        <v>85.19</v>
      </c>
      <c r="I24" t="n">
        <v>79.25</v>
      </c>
      <c r="J24" t="n">
        <v>0</v>
      </c>
      <c r="K24" t="n">
        <v>0</v>
      </c>
      <c r="L24" t="inlineStr"/>
      <c r="M24" s="47" t="n">
        <v>493.04</v>
      </c>
      <c r="N24" s="50" t="n">
        <v>21</v>
      </c>
    </row>
    <row r="25">
      <c r="A25" t="inlineStr">
        <is>
          <t>Hemkes, Rudy</t>
        </is>
      </c>
      <c r="B25" s="50" t="inlineStr">
        <is>
          <t>Sporter</t>
        </is>
      </c>
      <c r="C25" t="n">
        <v>85.19</v>
      </c>
      <c r="D25" t="inlineStr"/>
      <c r="E25" t="n">
        <v>71.64</v>
      </c>
      <c r="F25" t="inlineStr"/>
      <c r="G25" t="n">
        <v>81.59999999999999</v>
      </c>
      <c r="H25" t="inlineStr"/>
      <c r="I25" t="n">
        <v>86.16</v>
      </c>
      <c r="J25" t="n">
        <v>78.28</v>
      </c>
      <c r="K25" t="n">
        <v>85.19</v>
      </c>
      <c r="L25" t="inlineStr"/>
      <c r="M25" s="47" t="n">
        <v>488.06</v>
      </c>
      <c r="N25" s="50" t="n">
        <v>22</v>
      </c>
    </row>
    <row r="26">
      <c r="A26" t="inlineStr">
        <is>
          <t>Chappell, Daryl</t>
        </is>
      </c>
      <c r="B26" s="50" t="inlineStr">
        <is>
          <t>FO</t>
        </is>
      </c>
      <c r="C26" t="n">
        <v>83.66</v>
      </c>
      <c r="D26" t="n">
        <v>81.69</v>
      </c>
      <c r="E26" t="n">
        <v>80.28</v>
      </c>
      <c r="F26" t="n">
        <v>79.3</v>
      </c>
      <c r="G26" t="n">
        <v>87.31</v>
      </c>
      <c r="H26" t="n">
        <v>74.52</v>
      </c>
      <c r="I26" t="inlineStr"/>
      <c r="J26" t="inlineStr"/>
      <c r="K26" t="inlineStr"/>
      <c r="L26" t="inlineStr"/>
      <c r="M26" s="47" t="n">
        <v>486.76</v>
      </c>
      <c r="N26" s="50" t="n">
        <v>23</v>
      </c>
    </row>
    <row r="27">
      <c r="A27" t="inlineStr">
        <is>
          <t>Thomson, Peter</t>
        </is>
      </c>
      <c r="B27" s="50" t="inlineStr">
        <is>
          <t>Sporter</t>
        </is>
      </c>
      <c r="C27" t="n">
        <v>80.91</v>
      </c>
      <c r="D27" t="inlineStr"/>
      <c r="E27" t="n">
        <v>77.31</v>
      </c>
      <c r="F27" t="n">
        <v>75.65000000000001</v>
      </c>
      <c r="G27" t="n">
        <v>86.84999999999999</v>
      </c>
      <c r="H27" t="n">
        <v>74.95999999999999</v>
      </c>
      <c r="I27" t="n">
        <v>78.28</v>
      </c>
      <c r="J27" t="inlineStr"/>
      <c r="K27" t="inlineStr"/>
      <c r="L27" t="inlineStr"/>
      <c r="M27" s="47" t="n">
        <v>473.96</v>
      </c>
      <c r="N27" s="50" t="n">
        <v>24</v>
      </c>
    </row>
    <row r="28">
      <c r="A28" t="inlineStr">
        <is>
          <t>Heath, Warwick</t>
        </is>
      </c>
      <c r="B28" s="50" t="inlineStr">
        <is>
          <t>FTR</t>
        </is>
      </c>
      <c r="C28" t="n">
        <v>77.86</v>
      </c>
      <c r="D28" t="n">
        <v>70.18000000000001</v>
      </c>
      <c r="E28" t="n">
        <v>74.97</v>
      </c>
      <c r="F28" t="n">
        <v>62.35</v>
      </c>
      <c r="G28" t="n">
        <v>78.88</v>
      </c>
      <c r="H28" t="n">
        <v>70.61</v>
      </c>
      <c r="I28" t="inlineStr"/>
      <c r="J28" t="inlineStr"/>
      <c r="K28" t="inlineStr"/>
      <c r="L28" t="inlineStr"/>
      <c r="M28" s="47" t="n">
        <v>434.85</v>
      </c>
      <c r="N28" s="50" t="n">
        <v>25</v>
      </c>
    </row>
    <row r="29">
      <c r="A29" t="inlineStr">
        <is>
          <t>Hulett, Peter</t>
        </is>
      </c>
      <c r="B29" s="50" t="inlineStr">
        <is>
          <t>TR</t>
        </is>
      </c>
      <c r="C29" t="n">
        <v>76.53</v>
      </c>
      <c r="D29" t="inlineStr"/>
      <c r="E29" t="n">
        <v>72.15000000000001</v>
      </c>
      <c r="F29" t="n">
        <v>70.45999999999999</v>
      </c>
      <c r="G29" t="n">
        <v>73.84999999999999</v>
      </c>
      <c r="H29" t="n">
        <v>71.45</v>
      </c>
      <c r="I29" t="n">
        <v>65.38</v>
      </c>
      <c r="J29" t="inlineStr"/>
      <c r="K29" t="inlineStr"/>
      <c r="L29" t="inlineStr"/>
      <c r="M29" s="47" t="n">
        <v>429.82</v>
      </c>
      <c r="N29" s="50" t="n">
        <v>26</v>
      </c>
    </row>
    <row r="30">
      <c r="A30" t="inlineStr">
        <is>
          <t>Hulett, Carol</t>
        </is>
      </c>
      <c r="B30" s="50" t="inlineStr">
        <is>
          <t>FS</t>
        </is>
      </c>
      <c r="C30" t="n">
        <v>68.88</v>
      </c>
      <c r="D30" t="inlineStr"/>
      <c r="E30" t="n">
        <v>76.26000000000001</v>
      </c>
      <c r="F30" t="n">
        <v>73.31</v>
      </c>
      <c r="G30" t="n">
        <v>75.81</v>
      </c>
      <c r="H30" t="n">
        <v>64.90000000000001</v>
      </c>
      <c r="I30" t="n">
        <v>65.93000000000001</v>
      </c>
      <c r="J30" t="inlineStr"/>
      <c r="K30" t="inlineStr"/>
      <c r="L30" t="inlineStr"/>
      <c r="M30" s="47" t="n">
        <v>425.09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D31" t="inlineStr"/>
      <c r="E31" t="n">
        <v>85.28</v>
      </c>
      <c r="F31" t="inlineStr"/>
      <c r="G31" t="n">
        <v>78.22</v>
      </c>
      <c r="H31" t="inlineStr"/>
      <c r="I31" t="n">
        <v>85.56999999999999</v>
      </c>
      <c r="J31" t="n">
        <v>57.61</v>
      </c>
      <c r="K31" t="n">
        <v>84.3</v>
      </c>
      <c r="L31" t="inlineStr"/>
      <c r="M31" s="47" t="n">
        <v>390.98</v>
      </c>
      <c r="N31" s="50" t="n">
        <v>28</v>
      </c>
    </row>
    <row r="32">
      <c r="A32" t="inlineStr">
        <is>
          <t>Hojeij, Daniel</t>
        </is>
      </c>
      <c r="B32" s="50" t="inlineStr">
        <is>
          <t>Sporter</t>
        </is>
      </c>
      <c r="C32" t="n">
        <v>90.72</v>
      </c>
      <c r="D32" t="inlineStr"/>
      <c r="E32" t="n">
        <v>87.81999999999999</v>
      </c>
      <c r="F32" t="inlineStr"/>
      <c r="G32" t="n">
        <v>92.66</v>
      </c>
      <c r="H32" t="inlineStr"/>
      <c r="I32" t="inlineStr"/>
      <c r="J32" t="inlineStr"/>
      <c r="K32" t="inlineStr"/>
      <c r="L32" t="inlineStr"/>
      <c r="M32" s="47" t="n">
        <v>271.2</v>
      </c>
      <c r="N32" s="50" t="n">
        <v>29</v>
      </c>
    </row>
    <row r="33">
      <c r="A33" t="inlineStr">
        <is>
          <t>Smolderen, Peter</t>
        </is>
      </c>
      <c r="B33" s="50" t="inlineStr">
        <is>
          <t>Sporter</t>
        </is>
      </c>
      <c r="C33" t="n">
        <v>89.76000000000001</v>
      </c>
      <c r="D33" t="inlineStr"/>
      <c r="E33" t="inlineStr"/>
      <c r="F33" t="inlineStr"/>
      <c r="G33" t="inlineStr"/>
      <c r="H33" t="inlineStr"/>
      <c r="I33" t="n">
        <v>82.56999999999999</v>
      </c>
      <c r="J33" t="inlineStr"/>
      <c r="K33" t="n">
        <v>78.28</v>
      </c>
      <c r="L33" t="inlineStr"/>
      <c r="M33" s="47" t="n">
        <v>250.61</v>
      </c>
      <c r="N33" s="50" t="n">
        <v>30</v>
      </c>
    </row>
    <row r="34">
      <c r="A34" t="inlineStr">
        <is>
          <t>Dare, Brodie</t>
        </is>
      </c>
      <c r="B34" s="50" t="inlineStr">
        <is>
          <t>Sporter</t>
        </is>
      </c>
      <c r="C34" t="n">
        <v>87.13</v>
      </c>
      <c r="D34" t="inlineStr"/>
      <c r="E34" t="n">
        <v>83.53</v>
      </c>
      <c r="F34" t="inlineStr"/>
      <c r="G34" t="n">
        <v>79.25</v>
      </c>
      <c r="H34" t="inlineStr"/>
      <c r="I34" t="inlineStr"/>
      <c r="J34" t="inlineStr"/>
      <c r="K34" t="inlineStr"/>
      <c r="L34" t="inlineStr"/>
      <c r="M34" s="47" t="n">
        <v>249.91</v>
      </c>
      <c r="N34" s="50" t="n">
        <v>31</v>
      </c>
    </row>
    <row r="35">
      <c r="A35" t="inlineStr">
        <is>
          <t>Austin, Bill</t>
        </is>
      </c>
      <c r="B35" s="50" t="inlineStr">
        <is>
          <t>Sporter</t>
        </is>
      </c>
      <c r="C35" t="n">
        <v>80.91</v>
      </c>
      <c r="D35" t="inlineStr"/>
      <c r="E35" t="inlineStr"/>
      <c r="F35" t="inlineStr"/>
      <c r="G35" t="inlineStr"/>
      <c r="H35" t="inlineStr"/>
      <c r="I35" t="n">
        <v>84.22</v>
      </c>
      <c r="J35" t="inlineStr"/>
      <c r="K35" t="n">
        <v>80.63</v>
      </c>
      <c r="L35" t="inlineStr"/>
      <c r="M35" s="47" t="n">
        <v>245.76</v>
      </c>
      <c r="N35" s="50" t="n">
        <v>32</v>
      </c>
    </row>
    <row r="36">
      <c r="A36" t="inlineStr">
        <is>
          <t>Cubbidge, Helen</t>
        </is>
      </c>
      <c r="B36" s="50" t="inlineStr">
        <is>
          <t>Sporter</t>
        </is>
      </c>
      <c r="C36" t="inlineStr"/>
      <c r="D36" t="inlineStr"/>
      <c r="E36" t="n">
        <v>84.22</v>
      </c>
      <c r="F36" t="inlineStr"/>
      <c r="G36" t="n">
        <v>80.91</v>
      </c>
      <c r="H36" t="inlineStr"/>
      <c r="I36" t="n">
        <v>77.86</v>
      </c>
      <c r="J36" t="inlineStr"/>
      <c r="K36" t="inlineStr"/>
      <c r="L36" t="inlineStr"/>
      <c r="M36" s="47" t="n">
        <v>242.99</v>
      </c>
      <c r="N36" s="50" t="n">
        <v>33</v>
      </c>
    </row>
    <row r="37">
      <c r="A37" t="inlineStr">
        <is>
          <t>Parks, Ian</t>
        </is>
      </c>
      <c r="B37" s="50" t="inlineStr">
        <is>
          <t>FO</t>
        </is>
      </c>
      <c r="C37" t="n">
        <v>83.52</v>
      </c>
      <c r="D37" t="inlineStr"/>
      <c r="E37" t="n">
        <v>73.67</v>
      </c>
      <c r="F37" t="inlineStr"/>
      <c r="G37" t="n">
        <v>67.48999999999999</v>
      </c>
      <c r="H37" t="inlineStr"/>
      <c r="I37" t="inlineStr"/>
      <c r="J37" t="inlineStr"/>
      <c r="K37" t="inlineStr"/>
      <c r="L37" t="inlineStr"/>
      <c r="M37" s="47" t="n">
        <v>224.68</v>
      </c>
      <c r="N37" s="50" t="n">
        <v>34</v>
      </c>
    </row>
    <row r="38">
      <c r="A38" t="inlineStr">
        <is>
          <t>Green, Daniel</t>
        </is>
      </c>
      <c r="B38" s="50" t="inlineStr">
        <is>
          <t>Sporter</t>
        </is>
      </c>
      <c r="C38" t="inlineStr"/>
      <c r="D38" t="inlineStr"/>
      <c r="E38" t="n">
        <v>79.94</v>
      </c>
      <c r="F38" t="inlineStr"/>
      <c r="G38" t="n">
        <v>74.27</v>
      </c>
      <c r="H38" t="inlineStr"/>
      <c r="I38" t="n">
        <v>65</v>
      </c>
      <c r="J38" t="inlineStr"/>
      <c r="K38" t="inlineStr"/>
      <c r="L38" t="inlineStr"/>
      <c r="M38" s="47" t="n">
        <v>219.21</v>
      </c>
      <c r="N38" s="50" t="n">
        <v>35</v>
      </c>
    </row>
    <row r="39">
      <c r="A39" t="inlineStr">
        <is>
          <t>Lake, Mitch</t>
        </is>
      </c>
      <c r="B39" s="50" t="inlineStr">
        <is>
          <t>Sporter</t>
        </is>
      </c>
      <c r="C39" t="n">
        <v>81.87</v>
      </c>
      <c r="D39" t="inlineStr"/>
      <c r="E39" t="inlineStr"/>
      <c r="F39" t="inlineStr"/>
      <c r="G39" t="inlineStr"/>
      <c r="H39" t="inlineStr"/>
      <c r="I39" t="n">
        <v>0</v>
      </c>
      <c r="J39" t="inlineStr"/>
      <c r="K39" t="n">
        <v>66.38</v>
      </c>
      <c r="L39" t="inlineStr"/>
      <c r="M39" s="47" t="n">
        <v>148.25</v>
      </c>
      <c r="N39" s="5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Viccars</dc:creator>
  <dc:language>en-US</dc:language>
  <dcterms:created xsi:type="dcterms:W3CDTF">2026-06-16T08:07:38Z</dcterms:created>
  <dcterms:modified xsi:type="dcterms:W3CDTF">2026-06-17T11:35:03Z</dcterms:modified>
  <cp:lastModifiedBy>Adrian Viccars</cp:lastModifiedBy>
  <cp:revision>0</cp:revision>
</cp:coreProperties>
</file>