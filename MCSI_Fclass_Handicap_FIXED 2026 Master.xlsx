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f4339e5f6795966/Desktop/a. 2026 Pennant Folder/"/>
    </mc:Choice>
  </mc:AlternateContent>
  <xr:revisionPtr revIDLastSave="397" documentId="8_{1C95042E-30E8-47D8-846F-FC3B4EBD8935}" xr6:coauthVersionLast="47" xr6:coauthVersionMax="47" xr10:uidLastSave="{E5948727-5A93-48A3-BD50-296C8C691AB2}"/>
  <bookViews>
    <workbookView xWindow="-28920" yWindow="780" windowWidth="29040" windowHeight="15720" xr2:uid="{00000000-000D-0000-FFFF-FFFF00000000}"/>
  </bookViews>
  <sheets>
    <sheet name="Scores" sheetId="1" r:id="rId1"/>
    <sheet name="MCSI_Table" sheetId="2" r:id="rId2"/>
    <sheet name="Settings" sheetId="3" r:id="rId3"/>
    <sheet name="Instructions" sheetId="4" r:id="rId4"/>
    <sheet name="Calc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8" i="1"/>
  <c r="W3" i="1"/>
  <c r="W10" i="1"/>
  <c r="W12" i="1"/>
  <c r="W4" i="1"/>
  <c r="W9" i="1"/>
  <c r="W11" i="1"/>
  <c r="W7" i="1"/>
  <c r="W14" i="1"/>
  <c r="W15" i="1"/>
  <c r="W16" i="1"/>
  <c r="W17" i="1"/>
  <c r="W18" i="1"/>
  <c r="W19" i="1"/>
  <c r="W20" i="1"/>
  <c r="W21" i="1"/>
  <c r="W22" i="1"/>
  <c r="W13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V5" i="1"/>
  <c r="V6" i="1"/>
  <c r="V8" i="1"/>
  <c r="V3" i="1"/>
  <c r="V10" i="1"/>
  <c r="V12" i="1"/>
  <c r="V4" i="1"/>
  <c r="V9" i="1"/>
  <c r="V11" i="1"/>
  <c r="V7" i="1"/>
  <c r="V14" i="1"/>
  <c r="V15" i="1"/>
  <c r="V16" i="1"/>
  <c r="V17" i="1"/>
  <c r="V18" i="1"/>
  <c r="V19" i="1"/>
  <c r="V20" i="1"/>
  <c r="V21" i="1"/>
  <c r="V22" i="1"/>
  <c r="V13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H10" i="1"/>
  <c r="H7" i="1"/>
  <c r="H14" i="1"/>
  <c r="H12" i="1"/>
  <c r="H17" i="1"/>
  <c r="H5" i="1"/>
  <c r="H8" i="1"/>
  <c r="H23" i="1"/>
  <c r="H9" i="1"/>
  <c r="H3" i="1"/>
  <c r="H4" i="1"/>
  <c r="H15" i="1"/>
  <c r="H16" i="1"/>
  <c r="S16" i="1" s="1"/>
  <c r="H18" i="1"/>
  <c r="H19" i="1"/>
  <c r="S19" i="1" s="1"/>
  <c r="H20" i="1"/>
  <c r="S20" i="1" s="1"/>
  <c r="H21" i="1"/>
  <c r="S21" i="1" s="1"/>
  <c r="H22" i="1"/>
  <c r="S22" i="1" s="1"/>
  <c r="H13" i="1"/>
  <c r="H24" i="1"/>
  <c r="H25" i="1"/>
  <c r="S25" i="1" s="1"/>
  <c r="H26" i="1"/>
  <c r="S26" i="1" s="1"/>
  <c r="H27" i="1"/>
  <c r="H28" i="1"/>
  <c r="H29" i="1"/>
  <c r="H30" i="1"/>
  <c r="H31" i="1"/>
  <c r="S31" i="1" s="1"/>
  <c r="H32" i="1"/>
  <c r="S32" i="1" s="1"/>
  <c r="H33" i="1"/>
  <c r="S33" i="1" s="1"/>
  <c r="H11" i="1"/>
  <c r="H34" i="1"/>
  <c r="S34" i="1" s="1"/>
  <c r="H35" i="1"/>
  <c r="S35" i="1" s="1"/>
  <c r="H36" i="1"/>
  <c r="S36" i="1" s="1"/>
  <c r="H37" i="1"/>
  <c r="S37" i="1" s="1"/>
  <c r="H38" i="1"/>
  <c r="S38" i="1" s="1"/>
  <c r="H39" i="1"/>
  <c r="S39" i="1" s="1"/>
  <c r="H40" i="1"/>
  <c r="H41" i="1"/>
  <c r="H42" i="1"/>
  <c r="S42" i="1" s="1"/>
  <c r="H43" i="1"/>
  <c r="S43" i="1" s="1"/>
  <c r="H44" i="1"/>
  <c r="S44" i="1" s="1"/>
  <c r="H45" i="1"/>
  <c r="S45" i="1" s="1"/>
  <c r="H46" i="1"/>
  <c r="S46" i="1" s="1"/>
  <c r="H47" i="1"/>
  <c r="S47" i="1" s="1"/>
  <c r="H48" i="1"/>
  <c r="S48" i="1" s="1"/>
  <c r="H49" i="1"/>
  <c r="S49" i="1" s="1"/>
  <c r="H50" i="1"/>
  <c r="S50" i="1" s="1"/>
  <c r="H51" i="1"/>
  <c r="S51" i="1" s="1"/>
  <c r="H6" i="1"/>
  <c r="T51" i="5"/>
  <c r="U51" i="5" s="1"/>
  <c r="P51" i="5"/>
  <c r="Q51" i="5" s="1"/>
  <c r="M51" i="5"/>
  <c r="L51" i="5"/>
  <c r="W51" i="5" s="1"/>
  <c r="T50" i="5"/>
  <c r="U50" i="5" s="1"/>
  <c r="P50" i="5"/>
  <c r="Q50" i="5" s="1"/>
  <c r="M50" i="5"/>
  <c r="L50" i="5"/>
  <c r="W50" i="5" s="1"/>
  <c r="T49" i="5"/>
  <c r="U49" i="5" s="1"/>
  <c r="P49" i="5"/>
  <c r="Q49" i="5" s="1"/>
  <c r="M49" i="5"/>
  <c r="L49" i="5"/>
  <c r="W49" i="5" s="1"/>
  <c r="T48" i="5"/>
  <c r="U48" i="5" s="1"/>
  <c r="P48" i="5"/>
  <c r="Q48" i="5" s="1"/>
  <c r="M48" i="5"/>
  <c r="L48" i="5"/>
  <c r="W48" i="5" s="1"/>
  <c r="T47" i="5"/>
  <c r="U47" i="5" s="1"/>
  <c r="P47" i="5"/>
  <c r="Q47" i="5" s="1"/>
  <c r="M47" i="5"/>
  <c r="L47" i="5"/>
  <c r="W47" i="5" s="1"/>
  <c r="T46" i="5"/>
  <c r="U46" i="5" s="1"/>
  <c r="P46" i="5"/>
  <c r="Q46" i="5" s="1"/>
  <c r="M46" i="5"/>
  <c r="L46" i="5"/>
  <c r="W46" i="5" s="1"/>
  <c r="T45" i="5"/>
  <c r="U45" i="5" s="1"/>
  <c r="P45" i="5"/>
  <c r="Q45" i="5" s="1"/>
  <c r="M45" i="5"/>
  <c r="L45" i="5"/>
  <c r="W45" i="5" s="1"/>
  <c r="T44" i="5"/>
  <c r="U44" i="5" s="1"/>
  <c r="P44" i="5"/>
  <c r="Q44" i="5" s="1"/>
  <c r="M44" i="5"/>
  <c r="L44" i="5"/>
  <c r="W44" i="5" s="1"/>
  <c r="T43" i="5"/>
  <c r="U43" i="5" s="1"/>
  <c r="P43" i="5"/>
  <c r="Q43" i="5" s="1"/>
  <c r="M43" i="5"/>
  <c r="L43" i="5"/>
  <c r="W43" i="5" s="1"/>
  <c r="T42" i="5"/>
  <c r="U42" i="5" s="1"/>
  <c r="P42" i="5"/>
  <c r="Q42" i="5" s="1"/>
  <c r="M42" i="5"/>
  <c r="L42" i="5"/>
  <c r="W42" i="5" s="1"/>
  <c r="T41" i="5"/>
  <c r="U41" i="5" s="1"/>
  <c r="P41" i="5"/>
  <c r="Q41" i="5" s="1"/>
  <c r="M41" i="5"/>
  <c r="L41" i="5"/>
  <c r="W41" i="5" s="1"/>
  <c r="T40" i="5"/>
  <c r="U40" i="5" s="1"/>
  <c r="P40" i="5"/>
  <c r="Q40" i="5" s="1"/>
  <c r="M40" i="5"/>
  <c r="L40" i="5"/>
  <c r="W40" i="5" s="1"/>
  <c r="T39" i="5"/>
  <c r="U39" i="5" s="1"/>
  <c r="P39" i="5"/>
  <c r="Q39" i="5" s="1"/>
  <c r="M39" i="5"/>
  <c r="L39" i="5"/>
  <c r="W39" i="5" s="1"/>
  <c r="T38" i="5"/>
  <c r="U38" i="5" s="1"/>
  <c r="P38" i="5"/>
  <c r="Q38" i="5" s="1"/>
  <c r="M38" i="5"/>
  <c r="L38" i="5"/>
  <c r="W38" i="5" s="1"/>
  <c r="T37" i="5"/>
  <c r="U37" i="5" s="1"/>
  <c r="P37" i="5"/>
  <c r="Q37" i="5" s="1"/>
  <c r="M37" i="5"/>
  <c r="L37" i="5"/>
  <c r="W37" i="5" s="1"/>
  <c r="T36" i="5"/>
  <c r="U36" i="5" s="1"/>
  <c r="P36" i="5"/>
  <c r="Q36" i="5" s="1"/>
  <c r="M36" i="5"/>
  <c r="L36" i="5"/>
  <c r="W36" i="5" s="1"/>
  <c r="T35" i="5"/>
  <c r="U35" i="5" s="1"/>
  <c r="P35" i="5"/>
  <c r="Q35" i="5" s="1"/>
  <c r="M35" i="5"/>
  <c r="L35" i="5"/>
  <c r="W35" i="5" s="1"/>
  <c r="T34" i="5"/>
  <c r="U34" i="5" s="1"/>
  <c r="P34" i="5"/>
  <c r="Q34" i="5" s="1"/>
  <c r="M34" i="5"/>
  <c r="L34" i="5"/>
  <c r="W34" i="5" s="1"/>
  <c r="T33" i="5"/>
  <c r="U33" i="5" s="1"/>
  <c r="P33" i="5"/>
  <c r="Q33" i="5" s="1"/>
  <c r="M33" i="5"/>
  <c r="L33" i="5"/>
  <c r="W33" i="5" s="1"/>
  <c r="T32" i="5"/>
  <c r="U32" i="5" s="1"/>
  <c r="P32" i="5"/>
  <c r="Q32" i="5" s="1"/>
  <c r="M32" i="5"/>
  <c r="L32" i="5"/>
  <c r="W32" i="5" s="1"/>
  <c r="T31" i="5"/>
  <c r="U31" i="5" s="1"/>
  <c r="P31" i="5"/>
  <c r="Q31" i="5" s="1"/>
  <c r="M31" i="5"/>
  <c r="L31" i="5"/>
  <c r="W31" i="5" s="1"/>
  <c r="T30" i="5"/>
  <c r="U30" i="5" s="1"/>
  <c r="P30" i="5"/>
  <c r="Q30" i="5" s="1"/>
  <c r="M30" i="5"/>
  <c r="L30" i="5"/>
  <c r="W30" i="5" s="1"/>
  <c r="T29" i="5"/>
  <c r="U29" i="5" s="1"/>
  <c r="P29" i="5"/>
  <c r="Q29" i="5" s="1"/>
  <c r="M29" i="5"/>
  <c r="L29" i="5"/>
  <c r="W29" i="5" s="1"/>
  <c r="T28" i="5"/>
  <c r="U28" i="5" s="1"/>
  <c r="P28" i="5"/>
  <c r="Q28" i="5" s="1"/>
  <c r="M28" i="5"/>
  <c r="L28" i="5"/>
  <c r="W28" i="5" s="1"/>
  <c r="T27" i="5"/>
  <c r="U27" i="5" s="1"/>
  <c r="P27" i="5"/>
  <c r="Q27" i="5" s="1"/>
  <c r="M27" i="5"/>
  <c r="L27" i="5"/>
  <c r="W27" i="5" s="1"/>
  <c r="T26" i="5"/>
  <c r="U26" i="5" s="1"/>
  <c r="P26" i="5"/>
  <c r="Q26" i="5" s="1"/>
  <c r="M26" i="5"/>
  <c r="L26" i="5"/>
  <c r="W26" i="5" s="1"/>
  <c r="T25" i="5"/>
  <c r="U25" i="5" s="1"/>
  <c r="P25" i="5"/>
  <c r="Q25" i="5" s="1"/>
  <c r="M25" i="5"/>
  <c r="L25" i="5"/>
  <c r="W25" i="5" s="1"/>
  <c r="T24" i="5"/>
  <c r="U24" i="5" s="1"/>
  <c r="P24" i="5"/>
  <c r="Q24" i="5" s="1"/>
  <c r="M24" i="5"/>
  <c r="L24" i="5"/>
  <c r="W24" i="5" s="1"/>
  <c r="T23" i="5"/>
  <c r="U23" i="5" s="1"/>
  <c r="P23" i="5"/>
  <c r="Q23" i="5" s="1"/>
  <c r="M23" i="5"/>
  <c r="L23" i="5"/>
  <c r="W23" i="5" s="1"/>
  <c r="T22" i="5"/>
  <c r="U22" i="5" s="1"/>
  <c r="P22" i="5"/>
  <c r="Q22" i="5" s="1"/>
  <c r="M22" i="5"/>
  <c r="L22" i="5"/>
  <c r="W22" i="5" s="1"/>
  <c r="T21" i="5"/>
  <c r="U21" i="5" s="1"/>
  <c r="P21" i="5"/>
  <c r="Q21" i="5" s="1"/>
  <c r="M21" i="5"/>
  <c r="L21" i="5"/>
  <c r="W21" i="5" s="1"/>
  <c r="T20" i="5"/>
  <c r="U20" i="5" s="1"/>
  <c r="P20" i="5"/>
  <c r="Q20" i="5" s="1"/>
  <c r="M20" i="5"/>
  <c r="L20" i="5"/>
  <c r="W20" i="5" s="1"/>
  <c r="T19" i="5"/>
  <c r="U19" i="5" s="1"/>
  <c r="P19" i="5"/>
  <c r="Q19" i="5" s="1"/>
  <c r="M19" i="5"/>
  <c r="L19" i="5"/>
  <c r="W19" i="5" s="1"/>
  <c r="T18" i="5"/>
  <c r="U18" i="5" s="1"/>
  <c r="P18" i="5"/>
  <c r="Q18" i="5" s="1"/>
  <c r="M18" i="5"/>
  <c r="L18" i="5"/>
  <c r="W18" i="5" s="1"/>
  <c r="T17" i="5"/>
  <c r="U17" i="5" s="1"/>
  <c r="P17" i="5"/>
  <c r="Q17" i="5" s="1"/>
  <c r="M17" i="5"/>
  <c r="L17" i="5"/>
  <c r="W17" i="5" s="1"/>
  <c r="T16" i="5"/>
  <c r="U16" i="5" s="1"/>
  <c r="P16" i="5"/>
  <c r="Q16" i="5" s="1"/>
  <c r="M16" i="5"/>
  <c r="L16" i="5"/>
  <c r="W16" i="5" s="1"/>
  <c r="T15" i="5"/>
  <c r="U15" i="5" s="1"/>
  <c r="P15" i="5"/>
  <c r="Q15" i="5" s="1"/>
  <c r="M15" i="5"/>
  <c r="L15" i="5"/>
  <c r="W15" i="5" s="1"/>
  <c r="T14" i="5"/>
  <c r="U14" i="5" s="1"/>
  <c r="P14" i="5"/>
  <c r="Q14" i="5" s="1"/>
  <c r="M14" i="5"/>
  <c r="L14" i="5"/>
  <c r="W14" i="5" s="1"/>
  <c r="T13" i="5"/>
  <c r="U13" i="5" s="1"/>
  <c r="P13" i="5"/>
  <c r="Q13" i="5" s="1"/>
  <c r="M13" i="5"/>
  <c r="L13" i="5"/>
  <c r="W13" i="5" s="1"/>
  <c r="T12" i="5"/>
  <c r="U12" i="5" s="1"/>
  <c r="P12" i="5"/>
  <c r="Q12" i="5" s="1"/>
  <c r="M12" i="5"/>
  <c r="L12" i="5"/>
  <c r="W12" i="5" s="1"/>
  <c r="T11" i="5"/>
  <c r="U11" i="5" s="1"/>
  <c r="P11" i="5"/>
  <c r="Q11" i="5" s="1"/>
  <c r="M11" i="5"/>
  <c r="L11" i="5"/>
  <c r="W11" i="5" s="1"/>
  <c r="T10" i="5"/>
  <c r="U10" i="5" s="1"/>
  <c r="P10" i="5"/>
  <c r="Q10" i="5" s="1"/>
  <c r="M10" i="5"/>
  <c r="L10" i="5"/>
  <c r="W10" i="5" s="1"/>
  <c r="T9" i="5"/>
  <c r="U9" i="5" s="1"/>
  <c r="P9" i="5"/>
  <c r="Q9" i="5" s="1"/>
  <c r="M9" i="5"/>
  <c r="L9" i="5"/>
  <c r="W9" i="5" s="1"/>
  <c r="T8" i="5"/>
  <c r="U8" i="5" s="1"/>
  <c r="P8" i="5"/>
  <c r="Q8" i="5" s="1"/>
  <c r="M8" i="5"/>
  <c r="L8" i="5"/>
  <c r="W8" i="5" s="1"/>
  <c r="T7" i="5"/>
  <c r="U7" i="5" s="1"/>
  <c r="P7" i="5"/>
  <c r="Q7" i="5" s="1"/>
  <c r="M7" i="5"/>
  <c r="L7" i="5"/>
  <c r="W7" i="5" s="1"/>
  <c r="T6" i="5"/>
  <c r="U6" i="5" s="1"/>
  <c r="P6" i="5"/>
  <c r="Q6" i="5" s="1"/>
  <c r="M6" i="5"/>
  <c r="L6" i="5"/>
  <c r="W6" i="5" s="1"/>
  <c r="T5" i="5"/>
  <c r="U5" i="5" s="1"/>
  <c r="P5" i="5"/>
  <c r="Q5" i="5" s="1"/>
  <c r="M5" i="5"/>
  <c r="L5" i="5"/>
  <c r="W5" i="5" s="1"/>
  <c r="T4" i="5"/>
  <c r="U4" i="5" s="1"/>
  <c r="P4" i="5"/>
  <c r="Q4" i="5" s="1"/>
  <c r="M4" i="5"/>
  <c r="L4" i="5"/>
  <c r="W4" i="5" s="1"/>
  <c r="T3" i="5"/>
  <c r="U3" i="5" s="1"/>
  <c r="P3" i="5"/>
  <c r="Q3" i="5" s="1"/>
  <c r="M3" i="5"/>
  <c r="L3" i="5"/>
  <c r="W3" i="5" s="1"/>
  <c r="P51" i="1"/>
  <c r="Q51" i="1" s="1"/>
  <c r="L51" i="1"/>
  <c r="M51" i="1" s="1"/>
  <c r="I51" i="1"/>
  <c r="P50" i="1"/>
  <c r="Q50" i="1" s="1"/>
  <c r="L50" i="1"/>
  <c r="M50" i="1" s="1"/>
  <c r="I50" i="1"/>
  <c r="P49" i="1"/>
  <c r="Q49" i="1" s="1"/>
  <c r="L49" i="1"/>
  <c r="M49" i="1" s="1"/>
  <c r="I49" i="1"/>
  <c r="P48" i="1"/>
  <c r="Q48" i="1" s="1"/>
  <c r="L48" i="1"/>
  <c r="M48" i="1" s="1"/>
  <c r="I48" i="1"/>
  <c r="P47" i="1"/>
  <c r="Q47" i="1" s="1"/>
  <c r="L47" i="1"/>
  <c r="M47" i="1" s="1"/>
  <c r="I47" i="1"/>
  <c r="P46" i="1"/>
  <c r="Q46" i="1" s="1"/>
  <c r="L46" i="1"/>
  <c r="M46" i="1" s="1"/>
  <c r="I46" i="1"/>
  <c r="P45" i="1"/>
  <c r="Q45" i="1" s="1"/>
  <c r="L45" i="1"/>
  <c r="M45" i="1" s="1"/>
  <c r="I45" i="1"/>
  <c r="P44" i="1"/>
  <c r="Q44" i="1" s="1"/>
  <c r="L44" i="1"/>
  <c r="M44" i="1" s="1"/>
  <c r="I44" i="1"/>
  <c r="P43" i="1"/>
  <c r="Q43" i="1" s="1"/>
  <c r="L43" i="1"/>
  <c r="M43" i="1" s="1"/>
  <c r="I43" i="1"/>
  <c r="P42" i="1"/>
  <c r="Q42" i="1" s="1"/>
  <c r="L42" i="1"/>
  <c r="M42" i="1" s="1"/>
  <c r="I42" i="1"/>
  <c r="P41" i="1"/>
  <c r="Q41" i="1" s="1"/>
  <c r="L41" i="1"/>
  <c r="M41" i="1" s="1"/>
  <c r="I41" i="1"/>
  <c r="P40" i="1"/>
  <c r="Q40" i="1" s="1"/>
  <c r="L40" i="1"/>
  <c r="M40" i="1" s="1"/>
  <c r="I40" i="1"/>
  <c r="P39" i="1"/>
  <c r="Q39" i="1" s="1"/>
  <c r="L39" i="1"/>
  <c r="M39" i="1" s="1"/>
  <c r="I39" i="1"/>
  <c r="P38" i="1"/>
  <c r="Q38" i="1" s="1"/>
  <c r="L38" i="1"/>
  <c r="M38" i="1" s="1"/>
  <c r="I38" i="1"/>
  <c r="P37" i="1"/>
  <c r="Q37" i="1" s="1"/>
  <c r="L37" i="1"/>
  <c r="M37" i="1" s="1"/>
  <c r="I37" i="1"/>
  <c r="P36" i="1"/>
  <c r="Q36" i="1" s="1"/>
  <c r="L36" i="1"/>
  <c r="M36" i="1" s="1"/>
  <c r="I36" i="1"/>
  <c r="P35" i="1"/>
  <c r="Q35" i="1" s="1"/>
  <c r="L35" i="1"/>
  <c r="M35" i="1" s="1"/>
  <c r="I35" i="1"/>
  <c r="P34" i="1"/>
  <c r="Q34" i="1" s="1"/>
  <c r="L34" i="1"/>
  <c r="M34" i="1" s="1"/>
  <c r="I34" i="1"/>
  <c r="P11" i="1"/>
  <c r="Q11" i="1" s="1"/>
  <c r="L11" i="1"/>
  <c r="M11" i="1" s="1"/>
  <c r="I11" i="1"/>
  <c r="P33" i="1"/>
  <c r="Q33" i="1" s="1"/>
  <c r="L33" i="1"/>
  <c r="M33" i="1" s="1"/>
  <c r="I33" i="1"/>
  <c r="P32" i="1"/>
  <c r="Q32" i="1" s="1"/>
  <c r="L32" i="1"/>
  <c r="M32" i="1" s="1"/>
  <c r="I32" i="1"/>
  <c r="P31" i="1"/>
  <c r="Q31" i="1" s="1"/>
  <c r="L31" i="1"/>
  <c r="M31" i="1" s="1"/>
  <c r="I31" i="1"/>
  <c r="P30" i="1"/>
  <c r="Q30" i="1" s="1"/>
  <c r="L30" i="1"/>
  <c r="M30" i="1" s="1"/>
  <c r="I30" i="1"/>
  <c r="P29" i="1"/>
  <c r="Q29" i="1" s="1"/>
  <c r="L29" i="1"/>
  <c r="M29" i="1" s="1"/>
  <c r="I29" i="1"/>
  <c r="P28" i="1"/>
  <c r="Q28" i="1" s="1"/>
  <c r="L28" i="1"/>
  <c r="M28" i="1" s="1"/>
  <c r="I28" i="1"/>
  <c r="P27" i="1"/>
  <c r="Q27" i="1" s="1"/>
  <c r="L27" i="1"/>
  <c r="M27" i="1" s="1"/>
  <c r="I27" i="1"/>
  <c r="P26" i="1"/>
  <c r="Q26" i="1" s="1"/>
  <c r="L26" i="1"/>
  <c r="M26" i="1" s="1"/>
  <c r="I26" i="1"/>
  <c r="P25" i="1"/>
  <c r="Q25" i="1" s="1"/>
  <c r="L25" i="1"/>
  <c r="M25" i="1" s="1"/>
  <c r="I25" i="1"/>
  <c r="P24" i="1"/>
  <c r="Q24" i="1" s="1"/>
  <c r="L24" i="1"/>
  <c r="M24" i="1" s="1"/>
  <c r="I24" i="1"/>
  <c r="P6" i="1"/>
  <c r="Q6" i="1" s="1"/>
  <c r="L6" i="1"/>
  <c r="M6" i="1" s="1"/>
  <c r="I6" i="1"/>
  <c r="P10" i="1"/>
  <c r="Q10" i="1" s="1"/>
  <c r="L10" i="1"/>
  <c r="M10" i="1" s="1"/>
  <c r="I10" i="1"/>
  <c r="P7" i="1"/>
  <c r="Q7" i="1" s="1"/>
  <c r="L7" i="1"/>
  <c r="M7" i="1" s="1"/>
  <c r="I7" i="1"/>
  <c r="P23" i="1"/>
  <c r="Q23" i="1" s="1"/>
  <c r="L23" i="1"/>
  <c r="M23" i="1" s="1"/>
  <c r="I23" i="1"/>
  <c r="P13" i="1"/>
  <c r="Q13" i="1" s="1"/>
  <c r="L13" i="1"/>
  <c r="M13" i="1" s="1"/>
  <c r="I13" i="1"/>
  <c r="P22" i="1"/>
  <c r="Q22" i="1" s="1"/>
  <c r="L22" i="1"/>
  <c r="M22" i="1" s="1"/>
  <c r="I22" i="1"/>
  <c r="P21" i="1"/>
  <c r="Q21" i="1" s="1"/>
  <c r="L21" i="1"/>
  <c r="M21" i="1" s="1"/>
  <c r="I21" i="1"/>
  <c r="P20" i="1"/>
  <c r="Q20" i="1" s="1"/>
  <c r="L20" i="1"/>
  <c r="M20" i="1" s="1"/>
  <c r="I20" i="1"/>
  <c r="P19" i="1"/>
  <c r="Q19" i="1" s="1"/>
  <c r="L19" i="1"/>
  <c r="M19" i="1" s="1"/>
  <c r="I19" i="1"/>
  <c r="P18" i="1"/>
  <c r="Q18" i="1" s="1"/>
  <c r="L18" i="1"/>
  <c r="M18" i="1" s="1"/>
  <c r="I18" i="1"/>
  <c r="P14" i="1"/>
  <c r="Q14" i="1" s="1"/>
  <c r="L14" i="1"/>
  <c r="M14" i="1" s="1"/>
  <c r="I14" i="1"/>
  <c r="P17" i="1"/>
  <c r="Q17" i="1" s="1"/>
  <c r="L17" i="1"/>
  <c r="M17" i="1" s="1"/>
  <c r="I17" i="1"/>
  <c r="P12" i="1"/>
  <c r="Q12" i="1" s="1"/>
  <c r="L12" i="1"/>
  <c r="M12" i="1" s="1"/>
  <c r="I12" i="1"/>
  <c r="P5" i="1"/>
  <c r="Q5" i="1" s="1"/>
  <c r="L5" i="1"/>
  <c r="M5" i="1" s="1"/>
  <c r="I5" i="1"/>
  <c r="P8" i="1"/>
  <c r="Q8" i="1" s="1"/>
  <c r="L8" i="1"/>
  <c r="M8" i="1" s="1"/>
  <c r="I8" i="1"/>
  <c r="P16" i="1"/>
  <c r="Q16" i="1" s="1"/>
  <c r="L16" i="1"/>
  <c r="M16" i="1" s="1"/>
  <c r="I16" i="1"/>
  <c r="P15" i="1"/>
  <c r="Q15" i="1" s="1"/>
  <c r="L15" i="1"/>
  <c r="M15" i="1" s="1"/>
  <c r="I15" i="1"/>
  <c r="P4" i="1"/>
  <c r="Q4" i="1" s="1"/>
  <c r="L4" i="1"/>
  <c r="M4" i="1" s="1"/>
  <c r="I4" i="1"/>
  <c r="P3" i="1"/>
  <c r="Q3" i="1" s="1"/>
  <c r="L3" i="1"/>
  <c r="M3" i="1" s="1"/>
  <c r="I3" i="1"/>
  <c r="P9" i="1"/>
  <c r="Q9" i="1" s="1"/>
  <c r="L9" i="1"/>
  <c r="M9" i="1" s="1"/>
  <c r="I9" i="1"/>
  <c r="S13" i="1" l="1"/>
  <c r="S11" i="1"/>
  <c r="S23" i="1"/>
  <c r="V20" i="5"/>
  <c r="X20" i="5" s="1"/>
  <c r="Y20" i="5" s="1"/>
  <c r="S40" i="1"/>
  <c r="V4" i="5"/>
  <c r="X4" i="5" s="1"/>
  <c r="Y4" i="5" s="1"/>
  <c r="S27" i="1"/>
  <c r="R36" i="1"/>
  <c r="T36" i="1" s="1"/>
  <c r="U36" i="1" s="1"/>
  <c r="R9" i="1"/>
  <c r="R3" i="1"/>
  <c r="R4" i="1"/>
  <c r="R15" i="1"/>
  <c r="R17" i="1"/>
  <c r="R14" i="1"/>
  <c r="R18" i="1"/>
  <c r="R19" i="1"/>
  <c r="T19" i="1" s="1"/>
  <c r="U19" i="1" s="1"/>
  <c r="S6" i="1"/>
  <c r="S24" i="1"/>
  <c r="R49" i="1"/>
  <c r="T49" i="1" s="1"/>
  <c r="U49" i="1" s="1"/>
  <c r="V16" i="5"/>
  <c r="X16" i="5" s="1"/>
  <c r="Y16" i="5" s="1"/>
  <c r="V32" i="5"/>
  <c r="X32" i="5" s="1"/>
  <c r="Y32" i="5" s="1"/>
  <c r="V35" i="5"/>
  <c r="X35" i="5" s="1"/>
  <c r="Y35" i="5" s="1"/>
  <c r="V45" i="5"/>
  <c r="X45" i="5" s="1"/>
  <c r="Y45" i="5" s="1"/>
  <c r="R41" i="1"/>
  <c r="R45" i="1"/>
  <c r="T45" i="1" s="1"/>
  <c r="U45" i="1" s="1"/>
  <c r="V8" i="5"/>
  <c r="X8" i="5" s="1"/>
  <c r="Y8" i="5" s="1"/>
  <c r="V12" i="5"/>
  <c r="X12" i="5" s="1"/>
  <c r="Y12" i="5" s="1"/>
  <c r="V24" i="5"/>
  <c r="X24" i="5" s="1"/>
  <c r="Y24" i="5" s="1"/>
  <c r="V28" i="5"/>
  <c r="X28" i="5" s="1"/>
  <c r="Y28" i="5" s="1"/>
  <c r="S7" i="1"/>
  <c r="R37" i="1"/>
  <c r="T37" i="1" s="1"/>
  <c r="U37" i="1" s="1"/>
  <c r="R38" i="1"/>
  <c r="T38" i="1" s="1"/>
  <c r="U38" i="1" s="1"/>
  <c r="R42" i="1"/>
  <c r="T42" i="1" s="1"/>
  <c r="U42" i="1" s="1"/>
  <c r="R50" i="1"/>
  <c r="T50" i="1" s="1"/>
  <c r="U50" i="1" s="1"/>
  <c r="V9" i="5"/>
  <c r="X9" i="5" s="1"/>
  <c r="Y9" i="5" s="1"/>
  <c r="V17" i="5"/>
  <c r="X17" i="5" s="1"/>
  <c r="Y17" i="5" s="1"/>
  <c r="V25" i="5"/>
  <c r="X25" i="5" s="1"/>
  <c r="Y25" i="5" s="1"/>
  <c r="V33" i="5"/>
  <c r="X33" i="5" s="1"/>
  <c r="Y33" i="5" s="1"/>
  <c r="S3" i="1"/>
  <c r="S15" i="1"/>
  <c r="S8" i="1"/>
  <c r="S5" i="1"/>
  <c r="S12" i="1"/>
  <c r="S14" i="1"/>
  <c r="R7" i="1"/>
  <c r="S29" i="1"/>
  <c r="S41" i="1"/>
  <c r="R48" i="1"/>
  <c r="T48" i="1" s="1"/>
  <c r="U48" i="1" s="1"/>
  <c r="V7" i="5"/>
  <c r="X7" i="5" s="1"/>
  <c r="Y7" i="5" s="1"/>
  <c r="V15" i="5"/>
  <c r="X15" i="5" s="1"/>
  <c r="Y15" i="5" s="1"/>
  <c r="V23" i="5"/>
  <c r="X23" i="5" s="1"/>
  <c r="Y23" i="5" s="1"/>
  <c r="V31" i="5"/>
  <c r="X31" i="5" s="1"/>
  <c r="Y31" i="5" s="1"/>
  <c r="V37" i="5"/>
  <c r="X37" i="5" s="1"/>
  <c r="Y37" i="5" s="1"/>
  <c r="V43" i="5"/>
  <c r="X43" i="5" s="1"/>
  <c r="Y43" i="5" s="1"/>
  <c r="R33" i="1"/>
  <c r="T33" i="1" s="1"/>
  <c r="U33" i="1" s="1"/>
  <c r="R40" i="1"/>
  <c r="R46" i="1"/>
  <c r="T46" i="1" s="1"/>
  <c r="U46" i="1" s="1"/>
  <c r="V5" i="5"/>
  <c r="X5" i="5" s="1"/>
  <c r="Y5" i="5" s="1"/>
  <c r="V13" i="5"/>
  <c r="X13" i="5" s="1"/>
  <c r="Y13" i="5" s="1"/>
  <c r="V21" i="5"/>
  <c r="X21" i="5" s="1"/>
  <c r="Y21" i="5" s="1"/>
  <c r="V29" i="5"/>
  <c r="X29" i="5" s="1"/>
  <c r="Y29" i="5" s="1"/>
  <c r="V41" i="5"/>
  <c r="X41" i="5" s="1"/>
  <c r="Y41" i="5" s="1"/>
  <c r="R6" i="1"/>
  <c r="S30" i="1"/>
  <c r="R44" i="1"/>
  <c r="T44" i="1" s="1"/>
  <c r="U44" i="1" s="1"/>
  <c r="V3" i="5"/>
  <c r="X3" i="5" s="1"/>
  <c r="Y3" i="5" s="1"/>
  <c r="V11" i="5"/>
  <c r="X11" i="5" s="1"/>
  <c r="Y11" i="5" s="1"/>
  <c r="V19" i="5"/>
  <c r="X19" i="5" s="1"/>
  <c r="Y19" i="5" s="1"/>
  <c r="V27" i="5"/>
  <c r="X27" i="5" s="1"/>
  <c r="Y27" i="5" s="1"/>
  <c r="V39" i="5"/>
  <c r="X39" i="5" s="1"/>
  <c r="Y39" i="5" s="1"/>
  <c r="V47" i="5"/>
  <c r="X47" i="5" s="1"/>
  <c r="Y47" i="5" s="1"/>
  <c r="S4" i="1"/>
  <c r="R5" i="1"/>
  <c r="R12" i="1"/>
  <c r="S18" i="1"/>
  <c r="R25" i="1"/>
  <c r="T25" i="1" s="1"/>
  <c r="U25" i="1" s="1"/>
  <c r="S28" i="1"/>
  <c r="R27" i="1"/>
  <c r="V51" i="5"/>
  <c r="X51" i="5" s="1"/>
  <c r="Y51" i="5" s="1"/>
  <c r="V49" i="5"/>
  <c r="X49" i="5" s="1"/>
  <c r="Y49" i="5" s="1"/>
  <c r="S9" i="1"/>
  <c r="S17" i="1"/>
  <c r="R13" i="1"/>
  <c r="S10" i="1"/>
  <c r="R29" i="1"/>
  <c r="R31" i="1"/>
  <c r="T31" i="1" s="1"/>
  <c r="U31" i="1" s="1"/>
  <c r="R34" i="1"/>
  <c r="T34" i="1" s="1"/>
  <c r="U34" i="1" s="1"/>
  <c r="R16" i="1"/>
  <c r="T16" i="1" s="1"/>
  <c r="U16" i="1" s="1"/>
  <c r="R8" i="1"/>
  <c r="R20" i="1"/>
  <c r="T20" i="1" s="1"/>
  <c r="U20" i="1" s="1"/>
  <c r="R21" i="1"/>
  <c r="T21" i="1" s="1"/>
  <c r="U21" i="1" s="1"/>
  <c r="R23" i="1"/>
  <c r="R32" i="1"/>
  <c r="T32" i="1" s="1"/>
  <c r="U32" i="1" s="1"/>
  <c r="R24" i="1"/>
  <c r="R28" i="1"/>
  <c r="R35" i="1"/>
  <c r="T35" i="1" s="1"/>
  <c r="U35" i="1" s="1"/>
  <c r="R22" i="1"/>
  <c r="T22" i="1" s="1"/>
  <c r="U22" i="1" s="1"/>
  <c r="R10" i="1"/>
  <c r="R26" i="1"/>
  <c r="T26" i="1" s="1"/>
  <c r="U26" i="1" s="1"/>
  <c r="R30" i="1"/>
  <c r="R11" i="1"/>
  <c r="R39" i="1"/>
  <c r="T39" i="1" s="1"/>
  <c r="U39" i="1" s="1"/>
  <c r="R43" i="1"/>
  <c r="T43" i="1" s="1"/>
  <c r="U43" i="1" s="1"/>
  <c r="R47" i="1"/>
  <c r="T47" i="1" s="1"/>
  <c r="U47" i="1" s="1"/>
  <c r="R51" i="1"/>
  <c r="T51" i="1" s="1"/>
  <c r="U51" i="1" s="1"/>
  <c r="V6" i="5"/>
  <c r="X6" i="5" s="1"/>
  <c r="Y6" i="5" s="1"/>
  <c r="V10" i="5"/>
  <c r="X10" i="5" s="1"/>
  <c r="Y10" i="5" s="1"/>
  <c r="V14" i="5"/>
  <c r="X14" i="5" s="1"/>
  <c r="Y14" i="5" s="1"/>
  <c r="V18" i="5"/>
  <c r="X18" i="5" s="1"/>
  <c r="Y18" i="5" s="1"/>
  <c r="V22" i="5"/>
  <c r="X22" i="5" s="1"/>
  <c r="Y22" i="5" s="1"/>
  <c r="V26" i="5"/>
  <c r="X26" i="5" s="1"/>
  <c r="Y26" i="5" s="1"/>
  <c r="V30" i="5"/>
  <c r="X30" i="5" s="1"/>
  <c r="Y30" i="5" s="1"/>
  <c r="V34" i="5"/>
  <c r="X34" i="5" s="1"/>
  <c r="Y34" i="5" s="1"/>
  <c r="V36" i="5"/>
  <c r="X36" i="5" s="1"/>
  <c r="Y36" i="5" s="1"/>
  <c r="V38" i="5"/>
  <c r="X38" i="5" s="1"/>
  <c r="Y38" i="5" s="1"/>
  <c r="V40" i="5"/>
  <c r="X40" i="5" s="1"/>
  <c r="Y40" i="5" s="1"/>
  <c r="V42" i="5"/>
  <c r="X42" i="5" s="1"/>
  <c r="Y42" i="5" s="1"/>
  <c r="V44" i="5"/>
  <c r="X44" i="5" s="1"/>
  <c r="Y44" i="5" s="1"/>
  <c r="V46" i="5"/>
  <c r="X46" i="5" s="1"/>
  <c r="Y46" i="5" s="1"/>
  <c r="V48" i="5"/>
  <c r="X48" i="5" s="1"/>
  <c r="Y48" i="5" s="1"/>
  <c r="V50" i="5"/>
  <c r="X50" i="5" s="1"/>
  <c r="Y50" i="5" s="1"/>
  <c r="T13" i="1" l="1"/>
  <c r="T11" i="1"/>
  <c r="T24" i="1"/>
  <c r="U24" i="1" s="1"/>
  <c r="T40" i="1"/>
  <c r="U40" i="1" s="1"/>
  <c r="T8" i="1"/>
  <c r="T23" i="1"/>
  <c r="T3" i="1"/>
  <c r="T29" i="1"/>
  <c r="U29" i="1" s="1"/>
  <c r="T27" i="1"/>
  <c r="U27" i="1" s="1"/>
  <c r="T18" i="1"/>
  <c r="U18" i="1" s="1"/>
  <c r="T7" i="1"/>
  <c r="T12" i="1"/>
  <c r="T14" i="1"/>
  <c r="T15" i="1"/>
  <c r="U15" i="1" s="1"/>
  <c r="T30" i="1"/>
  <c r="U30" i="1" s="1"/>
  <c r="T9" i="1"/>
  <c r="T6" i="1"/>
  <c r="T17" i="1"/>
  <c r="T41" i="1"/>
  <c r="U41" i="1" s="1"/>
  <c r="T10" i="1"/>
  <c r="T28" i="1"/>
  <c r="U28" i="1" s="1"/>
  <c r="T4" i="1"/>
  <c r="T5" i="1"/>
  <c r="U13" i="1" l="1"/>
  <c r="U3" i="1"/>
  <c r="U9" i="1"/>
  <c r="U4" i="1"/>
  <c r="U11" i="1"/>
  <c r="U23" i="1"/>
  <c r="U5" i="1"/>
  <c r="U17" i="1"/>
  <c r="U8" i="1"/>
  <c r="U10" i="1"/>
  <c r="U6" i="1"/>
  <c r="U7" i="1"/>
  <c r="U12" i="1"/>
  <c r="U14" i="1"/>
</calcChain>
</file>

<file path=xl/sharedStrings.xml><?xml version="1.0" encoding="utf-8"?>
<sst xmlns="http://schemas.openxmlformats.org/spreadsheetml/2006/main" count="391" uniqueCount="130">
  <si>
    <t>Name</t>
  </si>
  <si>
    <t>Class</t>
  </si>
  <si>
    <t>Club</t>
  </si>
  <si>
    <t>CRC 2024</t>
  </si>
  <si>
    <t>PCRC 2024</t>
  </si>
  <si>
    <t>GRC 2024</t>
  </si>
  <si>
    <t>WRC 2024</t>
  </si>
  <si>
    <t>BMRC 2024</t>
  </si>
  <si>
    <t>PCRC 2025</t>
  </si>
  <si>
    <t>GRC 2025</t>
  </si>
  <si>
    <t>BMRC 2025</t>
  </si>
  <si>
    <t>R1 Comp Scratch</t>
  </si>
  <si>
    <t>R1 Comp Centres</t>
  </si>
  <si>
    <t>R1 Lookup</t>
  </si>
  <si>
    <t>R1 MCSI</t>
  </si>
  <si>
    <t>R2 Comp Scratch</t>
  </si>
  <si>
    <t>R2 Comp Centres</t>
  </si>
  <si>
    <t>R2 Lookup</t>
  </si>
  <si>
    <t>R2 MCSI</t>
  </si>
  <si>
    <t>Total MCSI</t>
  </si>
  <si>
    <t>Rank</t>
  </si>
  <si>
    <t>Shane Malcolm</t>
  </si>
  <si>
    <t>FS</t>
  </si>
  <si>
    <t>BMRC</t>
  </si>
  <si>
    <t>Bela Ori</t>
  </si>
  <si>
    <t>Maya Ori</t>
  </si>
  <si>
    <t>Richard Glen</t>
  </si>
  <si>
    <t>Beau McMaster</t>
  </si>
  <si>
    <t>Mike Evans</t>
  </si>
  <si>
    <t>CRC</t>
  </si>
  <si>
    <t>Brendan Wilson</t>
  </si>
  <si>
    <t>Garry Rose</t>
  </si>
  <si>
    <t>FO</t>
  </si>
  <si>
    <t>Nichole Lister</t>
  </si>
  <si>
    <t>John Halifax</t>
  </si>
  <si>
    <t>James Hay</t>
  </si>
  <si>
    <t>Michael Hall</t>
  </si>
  <si>
    <t>Adrian Rousler</t>
  </si>
  <si>
    <t>Liam Hall</t>
  </si>
  <si>
    <t>Oliver Bailey</t>
  </si>
  <si>
    <t>Philip Sternhoght</t>
  </si>
  <si>
    <t>Nick Patogiannis</t>
  </si>
  <si>
    <t>GRC</t>
  </si>
  <si>
    <t>David Shepard</t>
  </si>
  <si>
    <t>Neil Mann</t>
  </si>
  <si>
    <t>Andrew Cook</t>
  </si>
  <si>
    <t>Daryl Chapple</t>
  </si>
  <si>
    <t>Jacko Bending</t>
  </si>
  <si>
    <t>Ian Parks</t>
  </si>
  <si>
    <t>Steven Porter</t>
  </si>
  <si>
    <t>Adrian Viccars</t>
  </si>
  <si>
    <t>Chris Beretta</t>
  </si>
  <si>
    <t>Helen Cubbidge</t>
  </si>
  <si>
    <t>Robert Bant</t>
  </si>
  <si>
    <t>Carol Hulett</t>
  </si>
  <si>
    <t>Sudjono Muljoatmodjo</t>
  </si>
  <si>
    <t>FTR</t>
  </si>
  <si>
    <t>Lisa Donnelly</t>
  </si>
  <si>
    <t>David Dredge</t>
  </si>
  <si>
    <t>Jason Webb</t>
  </si>
  <si>
    <t>Ryan Allen</t>
  </si>
  <si>
    <t>Stephen Morovitch</t>
  </si>
  <si>
    <t>Amanda Jewell</t>
  </si>
  <si>
    <t>PCRC</t>
  </si>
  <si>
    <t>Mark Jewell</t>
  </si>
  <si>
    <t>SBRC</t>
  </si>
  <si>
    <t>Clive Bodle</t>
  </si>
  <si>
    <t>Rod Mahon</t>
  </si>
  <si>
    <t>Ron Hass</t>
  </si>
  <si>
    <t>WRC</t>
  </si>
  <si>
    <t>Martin Periera</t>
  </si>
  <si>
    <t>Andrew Deans</t>
  </si>
  <si>
    <t>Bruce Sergeant</t>
  </si>
  <si>
    <t>Henri Morassaiyan</t>
  </si>
  <si>
    <t>Jett Barton</t>
  </si>
  <si>
    <t>Jim Zarakis</t>
  </si>
  <si>
    <t>Neville Gutterson</t>
  </si>
  <si>
    <t>Lookup Score</t>
  </si>
  <si>
    <t>TR</t>
  </si>
  <si>
    <t>MCSI-14 Handicap Calculator Settings</t>
  </si>
  <si>
    <t>Setting</t>
  </si>
  <si>
    <t>Value</t>
  </si>
  <si>
    <t>Notes</t>
  </si>
  <si>
    <t>Calcs Page</t>
  </si>
  <si>
    <t>Average MCSI Score</t>
  </si>
  <si>
    <t>Target MCSI Benchmark</t>
  </si>
  <si>
    <t>Handicap</t>
  </si>
  <si>
    <t>Handicap Adjusted Score</t>
  </si>
  <si>
    <t>Handicap Factor</t>
  </si>
  <si>
    <t>70% of the gap between 190 benchmark and Average MCSI</t>
  </si>
  <si>
    <t>Handicap Cap</t>
  </si>
  <si>
    <t>No hard cap</t>
  </si>
  <si>
    <t>Cap removed - handicap is not limited to 10 points</t>
  </si>
  <si>
    <t>Minimum Prior Scores</t>
  </si>
  <si>
    <t>Minimum previous MCSI scores required for handicap</t>
  </si>
  <si>
    <t>R1/R2 Max Score</t>
  </si>
  <si>
    <t>R1/R2 Max Centres</t>
  </si>
  <si>
    <t>MCSI-14 Handicap Calculator Instructions</t>
  </si>
  <si>
    <t>Enter prior competition MCSI totals in columns D:K. These are not scratch scores.</t>
  </si>
  <si>
    <t>Average MCSI Score is calculated from available prior MCSI totals in D:K.</t>
  </si>
  <si>
    <t>Minimum prior scores is set to 1 in Settings so new shooters can still receive a handicap.</t>
  </si>
  <si>
    <t>Target MCSI Benchmark is set to 190 for TR/FO/FS/FTR in Settings.</t>
  </si>
  <si>
    <t>Handicap formula: (Target MCSI Benchmark - Average MCSI Score) × Handicap Factor.</t>
  </si>
  <si>
    <t>Handicap Factor is currently 0.70.</t>
  </si>
  <si>
    <t>No hard 10-point cap is applied.</t>
  </si>
  <si>
    <t>Handicap Adjusted Score = Total MCSI + Handicap.</t>
  </si>
  <si>
    <t>Rank is calculated from Handicap Adjusted Score, highest score ranked 1.</t>
  </si>
  <si>
    <t>R1/R2 Lookup columns add scratch and centres, then lookup the MCSI value from the MCSI_Table sheet.</t>
  </si>
  <si>
    <t>Update Settings if the benchmark or factor needs changing later.</t>
  </si>
  <si>
    <t>Handicap (2x Range)</t>
  </si>
  <si>
    <t>Total MCSI (R1 + R2)</t>
  </si>
  <si>
    <t>CRC 2026</t>
  </si>
  <si>
    <t>Shooters</t>
  </si>
  <si>
    <t>Average MCSI</t>
  </si>
  <si>
    <t>F-Class (Combined) MCSI Scratch Club Winners</t>
  </si>
  <si>
    <t>Total Handicap Adjusted Score</t>
  </si>
  <si>
    <t>Average Handicap Adjusted Score</t>
  </si>
  <si>
    <t>No of Shooters</t>
  </si>
  <si>
    <t>F-Class (Combined) MCSI Handicap Club Winners</t>
  </si>
  <si>
    <t>Scratch Agg</t>
  </si>
  <si>
    <t>Scratch Agg Centres</t>
  </si>
  <si>
    <t>TR Club Result — Scratch</t>
  </si>
  <si>
    <t>Scratch Total</t>
  </si>
  <si>
    <t>Scratch Average</t>
  </si>
  <si>
    <t>TR Club Result — Handicap</t>
  </si>
  <si>
    <t>Handicap Total</t>
  </si>
  <si>
    <t>Handicap Average</t>
  </si>
  <si>
    <t>Sporter Rifle Club Result — Scratch</t>
  </si>
  <si>
    <t>Sporter Rifle Club Result — Handicap</t>
  </si>
  <si>
    <t>Port Campbell Pennant 2026 - F Class Scratch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</si>
</sst>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2"/>
      <name val="Carlito"/>
    </font>
    <font>
      <b/>
      <sz val="16"/>
      <name val="Carlito"/>
    </font>
    <font>
      <sz val="11"/>
      <color rgb="FFFF0000"/>
      <name val="Carlito"/>
    </font>
    <font>
      <sz val="8"/>
      <name val="Carlito"/>
    </font>
    <font>
      <b/>
      <sz val="11"/>
      <color theme="0"/>
      <name val="Carlito"/>
    </font>
    <font>
      <b/>
      <sz val="14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1F4E78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1F4E78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0" fillId="0" borderId="0" xfId="0" applyNumberFormat="1"/>
    <xf numFmtId="1" fontId="1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2" fontId="3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1" fontId="0" fillId="4" borderId="15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8">
    <dxf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oresTable" displayName="ScoresTable" ref="A2:W51" headerRowDxfId="27" dataDxfId="25" totalsRowDxfId="23" headerRowBorderDxfId="26" tableBorderDxfId="24">
  <autoFilter ref="A2:W51" xr:uid="{00000000-0009-0000-0100-000001000000}"/>
  <sortState xmlns:xlrd2="http://schemas.microsoft.com/office/spreadsheetml/2017/richdata2" ref="A3:W14">
    <sortCondition descending="1" ref="T2:T51"/>
  </sortState>
  <tableColumns count="23">
    <tableColumn id="1" xr3:uid="{00000000-0010-0000-0000-000001000000}" name="Name" dataDxfId="22"/>
    <tableColumn id="2" xr3:uid="{00000000-0010-0000-0000-000002000000}" name="Class" dataDxfId="21"/>
    <tableColumn id="3" xr3:uid="{00000000-0010-0000-0000-000003000000}" name="Club" dataDxfId="20"/>
    <tableColumn id="9" xr3:uid="{00000000-0010-0000-0000-000009000000}" name="PCRC 2025" dataDxfId="19"/>
    <tableColumn id="10" xr3:uid="{00000000-0010-0000-0000-00000A000000}" name="GRC 2025" dataDxfId="18"/>
    <tableColumn id="11" xr3:uid="{00000000-0010-0000-0000-00000B000000}" name="BMRC 2025" dataDxfId="17"/>
    <tableColumn id="4" xr3:uid="{714705E0-EDC8-4164-9EEE-E513A23B0F4E}" name="CRC 2026" dataDxfId="16"/>
    <tableColumn id="12" xr3:uid="{00000000-0010-0000-0000-00000C000000}" name="Average MCSI Score" dataDxfId="15">
      <calculatedColumnFormula>IF(COUNT(D3:G3)=0,"",ROUND(AVERAGE(D3:G3),1))</calculatedColumnFormula>
    </tableColumn>
    <tableColumn id="13" xr3:uid="{00000000-0010-0000-0000-00000D000000}" name="Target MCSI Benchmark" dataDxfId="14"/>
    <tableColumn id="14" xr3:uid="{00000000-0010-0000-0000-00000E000000}" name="R1 Comp Scratch" dataDxfId="13"/>
    <tableColumn id="15" xr3:uid="{00000000-0010-0000-0000-00000F000000}" name="R1 Comp Centres" dataDxfId="12"/>
    <tableColumn id="16" xr3:uid="{00000000-0010-0000-0000-000010000000}" name="R1 Lookup" dataDxfId="11"/>
    <tableColumn id="17" xr3:uid="{00000000-0010-0000-0000-000011000000}" name="R1 MCSI" dataDxfId="10"/>
    <tableColumn id="18" xr3:uid="{00000000-0010-0000-0000-000012000000}" name="R2 Comp Scratch" dataDxfId="9"/>
    <tableColumn id="19" xr3:uid="{00000000-0010-0000-0000-000013000000}" name="R2 Comp Centres" dataDxfId="8"/>
    <tableColumn id="20" xr3:uid="{00000000-0010-0000-0000-000014000000}" name="R2 Lookup" dataDxfId="7"/>
    <tableColumn id="21" xr3:uid="{00000000-0010-0000-0000-000015000000}" name="R2 MCSI" dataDxfId="6"/>
    <tableColumn id="22" xr3:uid="{00000000-0010-0000-0000-000016000000}" name="Total MCSI (R1 + R2)" dataDxfId="5"/>
    <tableColumn id="23" xr3:uid="{00000000-0010-0000-0000-000017000000}" name="Handicap (2x Range)" dataDxfId="4"/>
    <tableColumn id="24" xr3:uid="{00000000-0010-0000-0000-000018000000}" name="Handicap Adjusted Score" dataDxfId="3"/>
    <tableColumn id="25" xr3:uid="{00000000-0010-0000-0000-000019000000}" name="Rank" dataDxfId="2"/>
    <tableColumn id="5" xr3:uid="{D5434B39-5C7E-4FF1-AE8A-52FEFD63F182}" name="Scratch Agg" dataDxfId="1">
      <calculatedColumnFormula>ScoresTable[[#This Row],[R1 Comp Scratch]]+ScoresTable[[#This Row],[R2 Comp Scratch]]</calculatedColumnFormula>
    </tableColumn>
    <tableColumn id="6" xr3:uid="{AC257AC6-8278-40D7-879D-27F0076A8149}" name="Scratch Agg Centres" dataDxfId="0">
      <calculatedColumnFormula>ScoresTable[[#This Row],[R1 Comp Centres]]+ScoresTable[[#This Row],[R2 Comp Centres]]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CSI14Table" displayName="MCSI14Table" ref="A1:E72">
  <tableColumns count="5">
    <tableColumn id="1" xr3:uid="{00000000-0010-0000-0100-000001000000}" name="Lookup Score"/>
    <tableColumn id="2" xr3:uid="{00000000-0010-0000-0100-000002000000}" name="TR"/>
    <tableColumn id="3" xr3:uid="{00000000-0010-0000-0100-000003000000}" name="FS"/>
    <tableColumn id="4" xr3:uid="{00000000-0010-0000-0100-000004000000}" name="FO"/>
    <tableColumn id="5" xr3:uid="{00000000-0010-0000-0100-000005000000}" name="FT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coresTable5" displayName="ScoresTable5" ref="A2:Y51">
  <autoFilter ref="A2:Y51" xr:uid="{00000000-0009-0000-0100-000004000000}"/>
  <tableColumns count="25">
    <tableColumn id="1" xr3:uid="{00000000-0010-0000-0200-000001000000}" name="Name"/>
    <tableColumn id="2" xr3:uid="{00000000-0010-0000-0200-000002000000}" name="Class"/>
    <tableColumn id="3" xr3:uid="{00000000-0010-0000-0200-000003000000}" name="Club"/>
    <tableColumn id="4" xr3:uid="{00000000-0010-0000-0200-000004000000}" name="CRC 2024"/>
    <tableColumn id="5" xr3:uid="{00000000-0010-0000-0200-000005000000}" name="PCRC 2024"/>
    <tableColumn id="6" xr3:uid="{00000000-0010-0000-0200-000006000000}" name="GRC 2024"/>
    <tableColumn id="7" xr3:uid="{00000000-0010-0000-0200-000007000000}" name="WRC 2024"/>
    <tableColumn id="8" xr3:uid="{00000000-0010-0000-0200-000008000000}" name="BMRC 2024"/>
    <tableColumn id="9" xr3:uid="{00000000-0010-0000-0200-000009000000}" name="PCRC 2025"/>
    <tableColumn id="10" xr3:uid="{00000000-0010-0000-0200-00000A000000}" name="GRC 2025"/>
    <tableColumn id="11" xr3:uid="{00000000-0010-0000-0200-00000B000000}" name="BMRC 2025"/>
    <tableColumn id="12" xr3:uid="{00000000-0010-0000-0200-00000C000000}" name="Average Scratch Score"/>
    <tableColumn id="13" xr3:uid="{00000000-0010-0000-0200-00000D000000}" name="Target Score"/>
    <tableColumn id="14" xr3:uid="{00000000-0010-0000-0200-00000E000000}" name="R1 Comp Scratch"/>
    <tableColumn id="15" xr3:uid="{00000000-0010-0000-0200-00000F000000}" name="R1 Comp Centres"/>
    <tableColumn id="16" xr3:uid="{00000000-0010-0000-0200-000010000000}" name="R1 Lookup"/>
    <tableColumn id="17" xr3:uid="{00000000-0010-0000-0200-000011000000}" name="R1 MCSI"/>
    <tableColumn id="18" xr3:uid="{00000000-0010-0000-0200-000012000000}" name="R2 Comp Scratch"/>
    <tableColumn id="19" xr3:uid="{00000000-0010-0000-0200-000013000000}" name="R2 Comp Centres"/>
    <tableColumn id="20" xr3:uid="{00000000-0010-0000-0200-000014000000}" name="R2 Lookup"/>
    <tableColumn id="21" xr3:uid="{00000000-0010-0000-0200-000015000000}" name="R2 MCSI"/>
    <tableColumn id="22" xr3:uid="{00000000-0010-0000-0200-000016000000}" name="Total MCSI"/>
    <tableColumn id="23" xr3:uid="{00000000-0010-0000-0200-000017000000}" name="Handicap"/>
    <tableColumn id="24" xr3:uid="{00000000-0010-0000-0200-000018000000}" name="Handicap Adjusted Score"/>
    <tableColumn id="25" xr3:uid="{00000000-0010-0000-0200-000019000000}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tabSelected="1" zoomScale="90" zoomScaleNormal="90" workbookViewId="0">
      <selection activeCell="S17" sqref="S17"/>
    </sheetView>
  </sheetViews>
  <sheetFormatPr defaultRowHeight="14"/>
  <cols>
    <col min="1" max="1" width="22.33203125" style="55" customWidth="1"/>
    <col min="2" max="2" width="10.58203125" style="54" customWidth="1"/>
    <col min="3" max="7" width="10.58203125" style="55" customWidth="1"/>
    <col min="8" max="14" width="10.58203125" style="54" customWidth="1"/>
    <col min="15" max="15" width="10.58203125" style="55" customWidth="1"/>
    <col min="16" max="23" width="10.58203125" style="54" customWidth="1"/>
    <col min="24" max="24" width="8.58203125" style="55" customWidth="1"/>
    <col min="25" max="16384" width="8.6640625" style="55"/>
  </cols>
  <sheetData>
    <row r="1" spans="1:23" ht="21" customHeight="1">
      <c r="A1" s="38" t="s">
        <v>129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7"/>
    </row>
    <row r="2" spans="1:23" s="14" customFormat="1" ht="64.5" customHeight="1">
      <c r="A2" s="39" t="s">
        <v>0</v>
      </c>
      <c r="B2" s="40" t="s">
        <v>1</v>
      </c>
      <c r="C2" s="40" t="s">
        <v>2</v>
      </c>
      <c r="D2" s="40" t="s">
        <v>8</v>
      </c>
      <c r="E2" s="40" t="s">
        <v>9</v>
      </c>
      <c r="F2" s="40" t="s">
        <v>10</v>
      </c>
      <c r="G2" s="40" t="s">
        <v>111</v>
      </c>
      <c r="H2" s="40" t="s">
        <v>84</v>
      </c>
      <c r="I2" s="40" t="s">
        <v>85</v>
      </c>
      <c r="J2" s="40" t="s">
        <v>11</v>
      </c>
      <c r="K2" s="40" t="s">
        <v>12</v>
      </c>
      <c r="L2" s="40" t="s">
        <v>13</v>
      </c>
      <c r="M2" s="40" t="s">
        <v>14</v>
      </c>
      <c r="N2" s="40" t="s">
        <v>15</v>
      </c>
      <c r="O2" s="40" t="s">
        <v>16</v>
      </c>
      <c r="P2" s="40" t="s">
        <v>17</v>
      </c>
      <c r="Q2" s="40" t="s">
        <v>18</v>
      </c>
      <c r="R2" s="40" t="s">
        <v>110</v>
      </c>
      <c r="S2" s="40" t="s">
        <v>109</v>
      </c>
      <c r="T2" s="40" t="s">
        <v>87</v>
      </c>
      <c r="U2" s="40" t="s">
        <v>20</v>
      </c>
      <c r="V2" s="40" t="s">
        <v>119</v>
      </c>
      <c r="W2" s="40" t="s">
        <v>120</v>
      </c>
    </row>
    <row r="3" spans="1:23" ht="22" customHeight="1">
      <c r="A3" s="41" t="s">
        <v>24</v>
      </c>
      <c r="B3" s="26" t="s">
        <v>22</v>
      </c>
      <c r="C3" s="26" t="s">
        <v>23</v>
      </c>
      <c r="D3" s="42"/>
      <c r="E3" s="42">
        <v>161.5</v>
      </c>
      <c r="F3" s="42">
        <v>141.5</v>
      </c>
      <c r="G3" s="42"/>
      <c r="H3" s="43">
        <f t="shared" ref="H3:H34" si="0">IF(COUNT(D3:G3)=0,"",ROUND(AVERAGE(D3:G3),1))</f>
        <v>151.5</v>
      </c>
      <c r="I3" s="43">
        <f>IFERROR(VLOOKUP(B3,Settings!$A$8:$B$11,2,FALSE),"")</f>
        <v>190</v>
      </c>
      <c r="J3" s="62">
        <v>59</v>
      </c>
      <c r="K3" s="44">
        <v>4</v>
      </c>
      <c r="L3" s="42">
        <f t="shared" ref="L3:L34" si="1">IF(OR(J3="",K3=""),"",J3+K3)</f>
        <v>63</v>
      </c>
      <c r="M3" s="43">
        <f>IFERROR(INDEX(MCSI_Table!$B$2:$E$72,MATCH(L3,MCSI_Table!$A$2:$A$72,0),MATCH(B3,MCSI_Table!$B$1:$E$1,0)),"")</f>
        <v>90</v>
      </c>
      <c r="N3" s="62">
        <v>60</v>
      </c>
      <c r="O3" s="44">
        <v>6</v>
      </c>
      <c r="P3" s="42">
        <f t="shared" ref="P3:P34" si="2">IF(OR(N3="",O3=""),"",N3+O3)</f>
        <v>66</v>
      </c>
      <c r="Q3" s="43">
        <f>IFERROR(INDEX(MCSI_Table!$B$2:$E$72,MATCH(P3,MCSI_Table!$A$2:$A$72,0),MATCH(B3,MCSI_Table!$B$1:$E$1,0)),"")</f>
        <v>94.3</v>
      </c>
      <c r="R3" s="45">
        <f t="shared" ref="R3:R34" si="3">IF(OR(M3="",Q3=""),"",ROUND(M3+Q3,1))</f>
        <v>184.3</v>
      </c>
      <c r="S3" s="43">
        <f>IF(OR(B3="",H3="",COUNT(D3:F3)&lt;Settings!$B$5),"",ROUND((I3-H3)*Settings!$B$3,1))</f>
        <v>27</v>
      </c>
      <c r="T3" s="45">
        <f t="shared" ref="T3:T34" si="4">IF(OR(R3="",S3=""),"",ROUND(R3+S3,1))</f>
        <v>211.3</v>
      </c>
      <c r="U3" s="42">
        <f t="shared" ref="U3:U34" si="5">IF(ISNUMBER(T3),1+COUNTIF($T$3:$T$51,"&gt;"&amp;T3),"")</f>
        <v>1</v>
      </c>
      <c r="V3" s="63">
        <f>ScoresTable[[#This Row],[R1 Comp Scratch]]+ScoresTable[[#This Row],[R2 Comp Scratch]]</f>
        <v>119</v>
      </c>
      <c r="W3" s="59">
        <f>ScoresTable[[#This Row],[R1 Comp Centres]]+ScoresTable[[#This Row],[R2 Comp Centres]]</f>
        <v>10</v>
      </c>
    </row>
    <row r="4" spans="1:23" ht="22" customHeight="1">
      <c r="A4" s="41" t="s">
        <v>25</v>
      </c>
      <c r="B4" s="26" t="s">
        <v>22</v>
      </c>
      <c r="C4" s="26" t="s">
        <v>23</v>
      </c>
      <c r="D4" s="42"/>
      <c r="E4" s="42">
        <v>167.2</v>
      </c>
      <c r="F4" s="42">
        <v>150</v>
      </c>
      <c r="G4" s="42"/>
      <c r="H4" s="43">
        <f t="shared" si="0"/>
        <v>158.6</v>
      </c>
      <c r="I4" s="43">
        <f>IFERROR(VLOOKUP(B4,Settings!$A$8:$B$11,2,FALSE),"")</f>
        <v>190</v>
      </c>
      <c r="J4" s="62">
        <v>58</v>
      </c>
      <c r="K4" s="44">
        <v>3</v>
      </c>
      <c r="L4" s="42">
        <f t="shared" si="1"/>
        <v>61</v>
      </c>
      <c r="M4" s="43">
        <f>IFERROR(INDEX(MCSI_Table!$B$2:$E$72,MATCH(L4,MCSI_Table!$A$2:$A$72,0),MATCH(B4,MCSI_Table!$B$1:$E$1,0)),"")</f>
        <v>87.1</v>
      </c>
      <c r="N4" s="62">
        <v>59</v>
      </c>
      <c r="O4" s="44">
        <v>6</v>
      </c>
      <c r="P4" s="42">
        <f t="shared" si="2"/>
        <v>65</v>
      </c>
      <c r="Q4" s="43">
        <f>IFERROR(INDEX(MCSI_Table!$B$2:$E$72,MATCH(P4,MCSI_Table!$A$2:$A$72,0),MATCH(B4,MCSI_Table!$B$1:$E$1,0)),"")</f>
        <v>92.9</v>
      </c>
      <c r="R4" s="45">
        <f t="shared" si="3"/>
        <v>180</v>
      </c>
      <c r="S4" s="43">
        <f>IF(OR(B4="",H4="",COUNT(D4:F4)&lt;Settings!$B$5),"",ROUND((I4-H4)*Settings!$B$3,1))</f>
        <v>22</v>
      </c>
      <c r="T4" s="45">
        <f t="shared" si="4"/>
        <v>202</v>
      </c>
      <c r="U4" s="42">
        <f t="shared" si="5"/>
        <v>2</v>
      </c>
      <c r="V4" s="63">
        <f>ScoresTable[[#This Row],[R1 Comp Scratch]]+ScoresTable[[#This Row],[R2 Comp Scratch]]</f>
        <v>117</v>
      </c>
      <c r="W4" s="59">
        <f>ScoresTable[[#This Row],[R1 Comp Centres]]+ScoresTable[[#This Row],[R2 Comp Centres]]</f>
        <v>9</v>
      </c>
    </row>
    <row r="5" spans="1:23" ht="22" customHeight="1">
      <c r="A5" s="41" t="s">
        <v>30</v>
      </c>
      <c r="B5" s="26" t="s">
        <v>32</v>
      </c>
      <c r="C5" s="26" t="s">
        <v>29</v>
      </c>
      <c r="D5" s="42"/>
      <c r="E5" s="42">
        <v>180</v>
      </c>
      <c r="F5" s="42">
        <v>138.6</v>
      </c>
      <c r="G5" s="42">
        <v>165.8</v>
      </c>
      <c r="H5" s="43">
        <f t="shared" si="0"/>
        <v>161.5</v>
      </c>
      <c r="I5" s="43">
        <f>IFERROR(VLOOKUP(B5,Settings!$A$8:$B$11,2,FALSE),"")</f>
        <v>190</v>
      </c>
      <c r="J5" s="62">
        <v>60</v>
      </c>
      <c r="K5" s="44">
        <v>7</v>
      </c>
      <c r="L5" s="42">
        <f t="shared" si="1"/>
        <v>67</v>
      </c>
      <c r="M5" s="43">
        <f>IFERROR(INDEX(MCSI_Table!$B$2:$E$72,MATCH(L5,MCSI_Table!$A$2:$A$72,0),MATCH(B5,MCSI_Table!$B$1:$E$1,0)),"")</f>
        <v>92.4</v>
      </c>
      <c r="N5" s="62">
        <v>60</v>
      </c>
      <c r="O5" s="44">
        <v>5</v>
      </c>
      <c r="P5" s="42">
        <f t="shared" si="2"/>
        <v>65</v>
      </c>
      <c r="Q5" s="43">
        <f>IFERROR(INDEX(MCSI_Table!$B$2:$E$72,MATCH(P5,MCSI_Table!$A$2:$A$72,0),MATCH(B5,MCSI_Table!$B$1:$E$1,0)),"")</f>
        <v>88.9</v>
      </c>
      <c r="R5" s="45">
        <f t="shared" si="3"/>
        <v>181.3</v>
      </c>
      <c r="S5" s="43">
        <f>IF(OR(B5="",H5="",COUNT(D5:F5)&lt;Settings!$B$5),"",ROUND((I5-H5)*Settings!$B$3,1))</f>
        <v>20</v>
      </c>
      <c r="T5" s="45">
        <f t="shared" si="4"/>
        <v>201.3</v>
      </c>
      <c r="U5" s="42">
        <f t="shared" si="5"/>
        <v>3</v>
      </c>
      <c r="V5" s="63">
        <f>ScoresTable[[#This Row],[R1 Comp Scratch]]+ScoresTable[[#This Row],[R2 Comp Scratch]]</f>
        <v>120</v>
      </c>
      <c r="W5" s="59">
        <f>ScoresTable[[#This Row],[R1 Comp Centres]]+ScoresTable[[#This Row],[R2 Comp Centres]]</f>
        <v>12</v>
      </c>
    </row>
    <row r="6" spans="1:23" ht="22" customHeight="1">
      <c r="A6" s="41" t="s">
        <v>45</v>
      </c>
      <c r="B6" s="26" t="s">
        <v>22</v>
      </c>
      <c r="C6" s="26" t="s">
        <v>42</v>
      </c>
      <c r="D6" s="42"/>
      <c r="E6" s="42">
        <v>172.8</v>
      </c>
      <c r="F6" s="42">
        <v>147.1</v>
      </c>
      <c r="G6" s="42">
        <v>180</v>
      </c>
      <c r="H6" s="43">
        <f t="shared" si="0"/>
        <v>166.6</v>
      </c>
      <c r="I6" s="43">
        <f>IFERROR(VLOOKUP(B6,Settings!$A$8:$B$11,2,FALSE),"")</f>
        <v>190</v>
      </c>
      <c r="J6" s="62">
        <v>60</v>
      </c>
      <c r="K6" s="44">
        <v>4</v>
      </c>
      <c r="L6" s="42">
        <f t="shared" si="1"/>
        <v>64</v>
      </c>
      <c r="M6" s="43">
        <f>IFERROR(INDEX(MCSI_Table!$B$2:$E$72,MATCH(L6,MCSI_Table!$A$2:$A$72,0),MATCH(B6,MCSI_Table!$B$1:$E$1,0)),"")</f>
        <v>91.4</v>
      </c>
      <c r="N6" s="62">
        <v>57</v>
      </c>
      <c r="O6" s="44">
        <v>6</v>
      </c>
      <c r="P6" s="42">
        <f t="shared" si="2"/>
        <v>63</v>
      </c>
      <c r="Q6" s="43">
        <f>IFERROR(INDEX(MCSI_Table!$B$2:$E$72,MATCH(P6,MCSI_Table!$A$2:$A$72,0),MATCH(B6,MCSI_Table!$B$1:$E$1,0)),"")</f>
        <v>90</v>
      </c>
      <c r="R6" s="45">
        <f t="shared" si="3"/>
        <v>181.4</v>
      </c>
      <c r="S6" s="43">
        <f>IF(OR(B6="",H6="",COUNT(D6:F6)&lt;Settings!$B$5),"",ROUND((I6-H6)*Settings!$B$3,1))</f>
        <v>16.399999999999999</v>
      </c>
      <c r="T6" s="45">
        <f t="shared" si="4"/>
        <v>197.8</v>
      </c>
      <c r="U6" s="42">
        <f t="shared" si="5"/>
        <v>4</v>
      </c>
      <c r="V6" s="63">
        <f>ScoresTable[[#This Row],[R1 Comp Scratch]]+ScoresTable[[#This Row],[R2 Comp Scratch]]</f>
        <v>117</v>
      </c>
      <c r="W6" s="59">
        <f>ScoresTable[[#This Row],[R1 Comp Centres]]+ScoresTable[[#This Row],[R2 Comp Centres]]</f>
        <v>10</v>
      </c>
    </row>
    <row r="7" spans="1:23" ht="22" customHeight="1">
      <c r="A7" s="41" t="s">
        <v>43</v>
      </c>
      <c r="B7" s="26" t="s">
        <v>22</v>
      </c>
      <c r="C7" s="26" t="s">
        <v>42</v>
      </c>
      <c r="D7" s="42"/>
      <c r="E7" s="42">
        <v>164.3</v>
      </c>
      <c r="F7" s="42">
        <v>144.30000000000001</v>
      </c>
      <c r="G7" s="42">
        <v>167.1</v>
      </c>
      <c r="H7" s="43">
        <f t="shared" si="0"/>
        <v>158.6</v>
      </c>
      <c r="I7" s="43">
        <f>IFERROR(VLOOKUP(B7,Settings!$A$8:$B$11,2,FALSE),"")</f>
        <v>190</v>
      </c>
      <c r="J7" s="62">
        <v>57</v>
      </c>
      <c r="K7" s="44">
        <v>2</v>
      </c>
      <c r="L7" s="42">
        <f t="shared" si="1"/>
        <v>59</v>
      </c>
      <c r="M7" s="43">
        <f>IFERROR(INDEX(MCSI_Table!$B$2:$E$72,MATCH(L7,MCSI_Table!$A$2:$A$72,0),MATCH(B7,MCSI_Table!$B$1:$E$1,0)),"")</f>
        <v>84.3</v>
      </c>
      <c r="N7" s="62">
        <v>59</v>
      </c>
      <c r="O7" s="44">
        <v>4</v>
      </c>
      <c r="P7" s="42">
        <f t="shared" si="2"/>
        <v>63</v>
      </c>
      <c r="Q7" s="43">
        <f>IFERROR(INDEX(MCSI_Table!$B$2:$E$72,MATCH(P7,MCSI_Table!$A$2:$A$72,0),MATCH(B7,MCSI_Table!$B$1:$E$1,0)),"")</f>
        <v>90</v>
      </c>
      <c r="R7" s="45">
        <f t="shared" si="3"/>
        <v>174.3</v>
      </c>
      <c r="S7" s="43">
        <f>IF(OR(B7="",H7="",COUNT(D7:F7)&lt;Settings!$B$5),"",ROUND((I7-H7)*Settings!$B$3,1))</f>
        <v>22</v>
      </c>
      <c r="T7" s="45">
        <f t="shared" si="4"/>
        <v>196.3</v>
      </c>
      <c r="U7" s="42">
        <f t="shared" si="5"/>
        <v>5</v>
      </c>
      <c r="V7" s="63">
        <f>ScoresTable[[#This Row],[R1 Comp Scratch]]+ScoresTable[[#This Row],[R2 Comp Scratch]]</f>
        <v>116</v>
      </c>
      <c r="W7" s="59">
        <f>ScoresTable[[#This Row],[R1 Comp Centres]]+ScoresTable[[#This Row],[R2 Comp Centres]]</f>
        <v>6</v>
      </c>
    </row>
    <row r="8" spans="1:23" ht="22" customHeight="1">
      <c r="A8" s="41" t="s">
        <v>28</v>
      </c>
      <c r="B8" s="26" t="s">
        <v>22</v>
      </c>
      <c r="C8" s="26" t="s">
        <v>29</v>
      </c>
      <c r="D8" s="42"/>
      <c r="E8" s="42">
        <v>185.7</v>
      </c>
      <c r="F8" s="42">
        <v>162.9</v>
      </c>
      <c r="G8" s="42">
        <v>161.5</v>
      </c>
      <c r="H8" s="43">
        <f t="shared" si="0"/>
        <v>170</v>
      </c>
      <c r="I8" s="43">
        <f>IFERROR(VLOOKUP(B8,Settings!$A$8:$B$11,2,FALSE),"")</f>
        <v>190</v>
      </c>
      <c r="J8" s="62">
        <v>60</v>
      </c>
      <c r="K8" s="44">
        <v>6</v>
      </c>
      <c r="L8" s="42">
        <f t="shared" si="1"/>
        <v>66</v>
      </c>
      <c r="M8" s="43">
        <f>IFERROR(INDEX(MCSI_Table!$B$2:$E$72,MATCH(L8,MCSI_Table!$A$2:$A$72,0),MATCH(B8,MCSI_Table!$B$1:$E$1,0)),"")</f>
        <v>94.3</v>
      </c>
      <c r="N8" s="62">
        <v>58</v>
      </c>
      <c r="O8" s="44">
        <v>3</v>
      </c>
      <c r="P8" s="42">
        <f t="shared" si="2"/>
        <v>61</v>
      </c>
      <c r="Q8" s="43">
        <f>IFERROR(INDEX(MCSI_Table!$B$2:$E$72,MATCH(P8,MCSI_Table!$A$2:$A$72,0),MATCH(B8,MCSI_Table!$B$1:$E$1,0)),"")</f>
        <v>87.1</v>
      </c>
      <c r="R8" s="45">
        <f t="shared" si="3"/>
        <v>181.4</v>
      </c>
      <c r="S8" s="43">
        <f>IF(OR(B8="",H8="",COUNT(D8:F8)&lt;Settings!$B$5),"",ROUND((I8-H8)*Settings!$B$3,1))</f>
        <v>14</v>
      </c>
      <c r="T8" s="45">
        <f t="shared" si="4"/>
        <v>195.4</v>
      </c>
      <c r="U8" s="42">
        <f t="shared" si="5"/>
        <v>6</v>
      </c>
      <c r="V8" s="63">
        <f>ScoresTable[[#This Row],[R1 Comp Scratch]]+ScoresTable[[#This Row],[R2 Comp Scratch]]</f>
        <v>118</v>
      </c>
      <c r="W8" s="59">
        <f>ScoresTable[[#This Row],[R1 Comp Centres]]+ScoresTable[[#This Row],[R2 Comp Centres]]</f>
        <v>9</v>
      </c>
    </row>
    <row r="9" spans="1:23" ht="22" customHeight="1">
      <c r="A9" s="41" t="s">
        <v>21</v>
      </c>
      <c r="B9" s="26" t="s">
        <v>22</v>
      </c>
      <c r="C9" s="26" t="s">
        <v>23</v>
      </c>
      <c r="D9" s="42"/>
      <c r="E9" s="42"/>
      <c r="F9" s="42">
        <v>152.80000000000001</v>
      </c>
      <c r="G9" s="42"/>
      <c r="H9" s="43">
        <f t="shared" si="0"/>
        <v>152.80000000000001</v>
      </c>
      <c r="I9" s="43">
        <f>IFERROR(VLOOKUP(B9,Settings!$A$8:$B$11,2,FALSE),"")</f>
        <v>190</v>
      </c>
      <c r="J9" s="62">
        <v>58</v>
      </c>
      <c r="K9" s="44">
        <v>3</v>
      </c>
      <c r="L9" s="42">
        <f t="shared" si="1"/>
        <v>61</v>
      </c>
      <c r="M9" s="43">
        <f>IFERROR(INDEX(MCSI_Table!$B$2:$E$72,MATCH(L9,MCSI_Table!$A$2:$A$72,0),MATCH(B9,MCSI_Table!$B$1:$E$1,0)),"")</f>
        <v>87.1</v>
      </c>
      <c r="N9" s="62">
        <v>55</v>
      </c>
      <c r="O9" s="44">
        <v>2</v>
      </c>
      <c r="P9" s="42">
        <f t="shared" si="2"/>
        <v>57</v>
      </c>
      <c r="Q9" s="43">
        <f>IFERROR(INDEX(MCSI_Table!$B$2:$E$72,MATCH(P9,MCSI_Table!$A$2:$A$72,0),MATCH(B9,MCSI_Table!$B$1:$E$1,0)),"")</f>
        <v>81.400000000000006</v>
      </c>
      <c r="R9" s="45">
        <f t="shared" si="3"/>
        <v>168.5</v>
      </c>
      <c r="S9" s="43">
        <f>IF(OR(B9="",H9="",COUNT(D9:F9)&lt;Settings!$B$5),"",ROUND((I9-H9)*Settings!$B$3,1))</f>
        <v>26</v>
      </c>
      <c r="T9" s="45">
        <f t="shared" si="4"/>
        <v>194.5</v>
      </c>
      <c r="U9" s="42">
        <f t="shared" si="5"/>
        <v>7</v>
      </c>
      <c r="V9" s="63">
        <f>ScoresTable[[#This Row],[R1 Comp Scratch]]+ScoresTable[[#This Row],[R2 Comp Scratch]]</f>
        <v>113</v>
      </c>
      <c r="W9" s="59">
        <f>ScoresTable[[#This Row],[R1 Comp Centres]]+ScoresTable[[#This Row],[R2 Comp Centres]]</f>
        <v>5</v>
      </c>
    </row>
    <row r="10" spans="1:23" ht="22" customHeight="1">
      <c r="A10" s="41" t="s">
        <v>44</v>
      </c>
      <c r="B10" s="26" t="s">
        <v>32</v>
      </c>
      <c r="C10" s="26" t="s">
        <v>42</v>
      </c>
      <c r="D10" s="42"/>
      <c r="E10" s="42">
        <v>167.7</v>
      </c>
      <c r="F10" s="42">
        <v>127.9</v>
      </c>
      <c r="G10" s="42">
        <v>167.8</v>
      </c>
      <c r="H10" s="43">
        <f t="shared" si="0"/>
        <v>154.5</v>
      </c>
      <c r="I10" s="43">
        <f>IFERROR(VLOOKUP(B10,Settings!$A$8:$B$11,2,FALSE),"")</f>
        <v>190</v>
      </c>
      <c r="J10" s="62">
        <v>59</v>
      </c>
      <c r="K10" s="44">
        <v>3</v>
      </c>
      <c r="L10" s="42">
        <f t="shared" si="1"/>
        <v>62</v>
      </c>
      <c r="M10" s="43">
        <f>IFERROR(INDEX(MCSI_Table!$B$2:$E$72,MATCH(L10,MCSI_Table!$A$2:$A$72,0),MATCH(B10,MCSI_Table!$B$1:$E$1,0)),"")</f>
        <v>83.8</v>
      </c>
      <c r="N10" s="62">
        <v>57</v>
      </c>
      <c r="O10" s="44">
        <v>3</v>
      </c>
      <c r="P10" s="42">
        <f t="shared" si="2"/>
        <v>60</v>
      </c>
      <c r="Q10" s="43">
        <f>IFERROR(INDEX(MCSI_Table!$B$2:$E$72,MATCH(P10,MCSI_Table!$A$2:$A$72,0),MATCH(B10,MCSI_Table!$B$1:$E$1,0)),"")</f>
        <v>80.5</v>
      </c>
      <c r="R10" s="45">
        <f t="shared" si="3"/>
        <v>164.3</v>
      </c>
      <c r="S10" s="43">
        <f>IF(OR(B10="",H10="",COUNT(D10:F10)&lt;Settings!$B$5),"",ROUND((I10-H10)*Settings!$B$3,1))</f>
        <v>24.9</v>
      </c>
      <c r="T10" s="45">
        <f t="shared" si="4"/>
        <v>189.2</v>
      </c>
      <c r="U10" s="42">
        <f t="shared" si="5"/>
        <v>8</v>
      </c>
      <c r="V10" s="63">
        <f>ScoresTable[[#This Row],[R1 Comp Scratch]]+ScoresTable[[#This Row],[R2 Comp Scratch]]</f>
        <v>116</v>
      </c>
      <c r="W10" s="59">
        <f>ScoresTable[[#This Row],[R1 Comp Centres]]+ScoresTable[[#This Row],[R2 Comp Centres]]</f>
        <v>6</v>
      </c>
    </row>
    <row r="11" spans="1:23" ht="22" customHeight="1">
      <c r="A11" s="41" t="s">
        <v>57</v>
      </c>
      <c r="B11" s="26" t="s">
        <v>22</v>
      </c>
      <c r="C11" s="26" t="s">
        <v>42</v>
      </c>
      <c r="D11" s="42"/>
      <c r="E11" s="42">
        <v>170</v>
      </c>
      <c r="F11" s="42">
        <v>157.1</v>
      </c>
      <c r="G11" s="42"/>
      <c r="H11" s="43">
        <f t="shared" si="0"/>
        <v>163.6</v>
      </c>
      <c r="I11" s="43">
        <f>IFERROR(VLOOKUP(B11,Settings!$A$8:$B$11,2,FALSE),"")</f>
        <v>190</v>
      </c>
      <c r="J11" s="62">
        <v>58</v>
      </c>
      <c r="K11" s="44">
        <v>2</v>
      </c>
      <c r="L11" s="42">
        <f t="shared" si="1"/>
        <v>60</v>
      </c>
      <c r="M11" s="43">
        <f>IFERROR(INDEX(MCSI_Table!$B$2:$E$72,MATCH(L11,MCSI_Table!$A$2:$A$72,0),MATCH(B11,MCSI_Table!$B$1:$E$1,0)),"")</f>
        <v>85.7</v>
      </c>
      <c r="N11" s="62">
        <v>55</v>
      </c>
      <c r="O11" s="44">
        <v>3</v>
      </c>
      <c r="P11" s="42">
        <f t="shared" si="2"/>
        <v>58</v>
      </c>
      <c r="Q11" s="43">
        <f>IFERROR(INDEX(MCSI_Table!$B$2:$E$72,MATCH(P11,MCSI_Table!$A$2:$A$72,0),MATCH(B11,MCSI_Table!$B$1:$E$1,0)),"")</f>
        <v>82.9</v>
      </c>
      <c r="R11" s="45">
        <f t="shared" si="3"/>
        <v>168.6</v>
      </c>
      <c r="S11" s="43">
        <f>IF(OR(B11="",H11="",COUNT(D11:F11)&lt;Settings!$B$5),"",ROUND((I11-H11)*Settings!$B$3,1))</f>
        <v>18.5</v>
      </c>
      <c r="T11" s="45">
        <f t="shared" si="4"/>
        <v>187.1</v>
      </c>
      <c r="U11" s="42">
        <f t="shared" si="5"/>
        <v>9</v>
      </c>
      <c r="V11" s="63">
        <f>ScoresTable[[#This Row],[R1 Comp Scratch]]+ScoresTable[[#This Row],[R2 Comp Scratch]]</f>
        <v>113</v>
      </c>
      <c r="W11" s="59">
        <f>ScoresTable[[#This Row],[R1 Comp Centres]]+ScoresTable[[#This Row],[R2 Comp Centres]]</f>
        <v>5</v>
      </c>
    </row>
    <row r="12" spans="1:23" ht="22" customHeight="1">
      <c r="A12" s="41" t="s">
        <v>31</v>
      </c>
      <c r="B12" s="26" t="s">
        <v>32</v>
      </c>
      <c r="C12" s="26" t="s">
        <v>29</v>
      </c>
      <c r="D12" s="42"/>
      <c r="E12" s="42">
        <v>183</v>
      </c>
      <c r="F12" s="42">
        <v>149.1</v>
      </c>
      <c r="G12" s="42">
        <v>172.7</v>
      </c>
      <c r="H12" s="43">
        <f t="shared" si="0"/>
        <v>168.3</v>
      </c>
      <c r="I12" s="43">
        <f>IFERROR(VLOOKUP(B12,Settings!$A$8:$B$11,2,FALSE),"")</f>
        <v>190</v>
      </c>
      <c r="J12" s="62">
        <v>59</v>
      </c>
      <c r="K12" s="44">
        <v>2</v>
      </c>
      <c r="L12" s="42">
        <f t="shared" si="1"/>
        <v>61</v>
      </c>
      <c r="M12" s="43">
        <f>IFERROR(INDEX(MCSI_Table!$B$2:$E$72,MATCH(L12,MCSI_Table!$A$2:$A$72,0),MATCH(B12,MCSI_Table!$B$1:$E$1,0)),"")</f>
        <v>82.2</v>
      </c>
      <c r="N12" s="62">
        <v>60</v>
      </c>
      <c r="O12" s="44">
        <v>5</v>
      </c>
      <c r="P12" s="42">
        <f t="shared" si="2"/>
        <v>65</v>
      </c>
      <c r="Q12" s="43">
        <f>IFERROR(INDEX(MCSI_Table!$B$2:$E$72,MATCH(P12,MCSI_Table!$A$2:$A$72,0),MATCH(B12,MCSI_Table!$B$1:$E$1,0)),"")</f>
        <v>88.9</v>
      </c>
      <c r="R12" s="45">
        <f t="shared" si="3"/>
        <v>171.1</v>
      </c>
      <c r="S12" s="43">
        <f>IF(OR(B12="",H12="",COUNT(D12:F12)&lt;Settings!$B$5),"",ROUND((I12-H12)*Settings!$B$3,1))</f>
        <v>15.2</v>
      </c>
      <c r="T12" s="45">
        <f t="shared" si="4"/>
        <v>186.3</v>
      </c>
      <c r="U12" s="42">
        <f t="shared" si="5"/>
        <v>10</v>
      </c>
      <c r="V12" s="63">
        <f>ScoresTable[[#This Row],[R1 Comp Scratch]]+ScoresTable[[#This Row],[R2 Comp Scratch]]</f>
        <v>119</v>
      </c>
      <c r="W12" s="59">
        <f>ScoresTable[[#This Row],[R1 Comp Centres]]+ScoresTable[[#This Row],[R2 Comp Centres]]</f>
        <v>7</v>
      </c>
    </row>
    <row r="13" spans="1:23" ht="22" customHeight="1">
      <c r="A13" s="41" t="s">
        <v>40</v>
      </c>
      <c r="B13" s="26" t="s">
        <v>22</v>
      </c>
      <c r="C13" s="26" t="s">
        <v>29</v>
      </c>
      <c r="D13" s="42"/>
      <c r="E13" s="42">
        <v>165</v>
      </c>
      <c r="F13" s="42">
        <v>165</v>
      </c>
      <c r="G13" s="42">
        <v>165</v>
      </c>
      <c r="H13" s="43">
        <f t="shared" si="0"/>
        <v>165</v>
      </c>
      <c r="I13" s="43">
        <f>IFERROR(VLOOKUP(B13,Settings!$A$8:$B$11,2,FALSE),"")</f>
        <v>190</v>
      </c>
      <c r="J13" s="62">
        <v>55</v>
      </c>
      <c r="K13" s="44">
        <v>1</v>
      </c>
      <c r="L13" s="42">
        <f t="shared" si="1"/>
        <v>56</v>
      </c>
      <c r="M13" s="43">
        <f>IFERROR(INDEX(MCSI_Table!$B$2:$E$72,MATCH(L13,MCSI_Table!$A$2:$A$72,0),MATCH(B13,MCSI_Table!$B$1:$E$1,0)),"")</f>
        <v>80</v>
      </c>
      <c r="N13" s="62">
        <v>57</v>
      </c>
      <c r="O13" s="44">
        <v>4</v>
      </c>
      <c r="P13" s="42">
        <f t="shared" si="2"/>
        <v>61</v>
      </c>
      <c r="Q13" s="43">
        <f>IFERROR(INDEX(MCSI_Table!$B$2:$E$72,MATCH(P13,MCSI_Table!$A$2:$A$72,0),MATCH(B13,MCSI_Table!$B$1:$E$1,0)),"")</f>
        <v>87.1</v>
      </c>
      <c r="R13" s="46">
        <f t="shared" si="3"/>
        <v>167.1</v>
      </c>
      <c r="S13" s="43">
        <f>IF(OR(B13="",H13="",COUNT(D13:F13)&lt;Settings!$B$5),"",ROUND((I13-H13)*Settings!$B$3,1))</f>
        <v>17.5</v>
      </c>
      <c r="T13" s="46">
        <f t="shared" si="4"/>
        <v>184.6</v>
      </c>
      <c r="U13" s="42">
        <f t="shared" si="5"/>
        <v>11</v>
      </c>
      <c r="V13" s="63">
        <f>ScoresTable[[#This Row],[R1 Comp Scratch]]+ScoresTable[[#This Row],[R2 Comp Scratch]]</f>
        <v>112</v>
      </c>
      <c r="W13" s="59">
        <f>ScoresTable[[#This Row],[R1 Comp Centres]]+ScoresTable[[#This Row],[R2 Comp Centres]]</f>
        <v>5</v>
      </c>
    </row>
    <row r="14" spans="1:23" ht="22" customHeight="1">
      <c r="A14" s="41" t="s">
        <v>34</v>
      </c>
      <c r="B14" s="26" t="s">
        <v>32</v>
      </c>
      <c r="C14" s="26" t="s">
        <v>29</v>
      </c>
      <c r="D14" s="42"/>
      <c r="E14" s="42"/>
      <c r="F14" s="42">
        <v>176.1</v>
      </c>
      <c r="G14" s="42">
        <v>182</v>
      </c>
      <c r="H14" s="43">
        <f t="shared" si="0"/>
        <v>179.1</v>
      </c>
      <c r="I14" s="43">
        <f>IFERROR(VLOOKUP(B14,Settings!$A$8:$B$11,2,FALSE),"")</f>
        <v>190</v>
      </c>
      <c r="J14" s="62">
        <v>57</v>
      </c>
      <c r="K14" s="44">
        <v>2</v>
      </c>
      <c r="L14" s="42">
        <f t="shared" si="1"/>
        <v>59</v>
      </c>
      <c r="M14" s="43">
        <f>IFERROR(INDEX(MCSI_Table!$B$2:$E$72,MATCH(L14,MCSI_Table!$A$2:$A$72,0),MATCH(B14,MCSI_Table!$B$1:$E$1,0)),"")</f>
        <v>78.8</v>
      </c>
      <c r="N14" s="62">
        <v>60</v>
      </c>
      <c r="O14" s="44">
        <v>4</v>
      </c>
      <c r="P14" s="42">
        <f t="shared" si="2"/>
        <v>64</v>
      </c>
      <c r="Q14" s="43">
        <f>IFERROR(INDEX(MCSI_Table!$B$2:$E$72,MATCH(P14,MCSI_Table!$A$2:$A$72,0),MATCH(B14,MCSI_Table!$B$1:$E$1,0)),"")</f>
        <v>87.2</v>
      </c>
      <c r="R14" s="45">
        <f t="shared" si="3"/>
        <v>166</v>
      </c>
      <c r="S14" s="43">
        <f>IF(OR(B14="",H14="",COUNT(D14:F14)&lt;Settings!$B$5),"",ROUND((I14-H14)*Settings!$B$3,1))</f>
        <v>7.6</v>
      </c>
      <c r="T14" s="45">
        <f t="shared" si="4"/>
        <v>173.6</v>
      </c>
      <c r="U14" s="42">
        <f t="shared" si="5"/>
        <v>12</v>
      </c>
      <c r="V14" s="63">
        <f>ScoresTable[[#This Row],[R1 Comp Scratch]]+ScoresTable[[#This Row],[R2 Comp Scratch]]</f>
        <v>117</v>
      </c>
      <c r="W14" s="59">
        <f>ScoresTable[[#This Row],[R1 Comp Centres]]+ScoresTable[[#This Row],[R2 Comp Centres]]</f>
        <v>6</v>
      </c>
    </row>
    <row r="15" spans="1:23" ht="22" customHeight="1">
      <c r="A15" s="41" t="s">
        <v>26</v>
      </c>
      <c r="B15" s="26" t="s">
        <v>22</v>
      </c>
      <c r="C15" s="26" t="s">
        <v>23</v>
      </c>
      <c r="D15" s="42"/>
      <c r="E15" s="42">
        <v>158.6</v>
      </c>
      <c r="F15" s="42">
        <v>137.1</v>
      </c>
      <c r="G15" s="42"/>
      <c r="H15" s="43">
        <f t="shared" si="0"/>
        <v>147.9</v>
      </c>
      <c r="I15" s="43">
        <f>IFERROR(VLOOKUP(B15,Settings!$A$8:$B$11,2,FALSE),"")</f>
        <v>190</v>
      </c>
      <c r="J15" s="44"/>
      <c r="K15" s="44"/>
      <c r="L15" s="42" t="str">
        <f t="shared" si="1"/>
        <v/>
      </c>
      <c r="M15" s="43" t="str">
        <f>IFERROR(INDEX(MCSI_Table!$B$2:$E$72,MATCH(L15,MCSI_Table!$A$2:$A$72,0),MATCH(B15,MCSI_Table!$B$1:$E$1,0)),"")</f>
        <v/>
      </c>
      <c r="N15" s="44"/>
      <c r="O15" s="44"/>
      <c r="P15" s="42" t="str">
        <f t="shared" si="2"/>
        <v/>
      </c>
      <c r="Q15" s="43" t="str">
        <f>IFERROR(INDEX(MCSI_Table!$B$2:$E$72,MATCH(P15,MCSI_Table!$A$2:$A$72,0),MATCH(B15,MCSI_Table!$B$1:$E$1,0)),"")</f>
        <v/>
      </c>
      <c r="R15" s="43" t="str">
        <f t="shared" si="3"/>
        <v/>
      </c>
      <c r="S15" s="43">
        <f>IF(OR(B15="",H15="",COUNT(D15:F15)&lt;Settings!$B$5),"",ROUND((I15-H15)*Settings!$B$3,1))</f>
        <v>29.5</v>
      </c>
      <c r="T15" s="43" t="str">
        <f t="shared" si="4"/>
        <v/>
      </c>
      <c r="U15" s="42" t="str">
        <f t="shared" si="5"/>
        <v/>
      </c>
      <c r="V15" s="58">
        <f>ScoresTable[[#This Row],[R1 Comp Scratch]]+ScoresTable[[#This Row],[R2 Comp Scratch]]</f>
        <v>0</v>
      </c>
      <c r="W15" s="59">
        <f>ScoresTable[[#This Row],[R1 Comp Centres]]+ScoresTable[[#This Row],[R2 Comp Centres]]</f>
        <v>0</v>
      </c>
    </row>
    <row r="16" spans="1:23" ht="22" customHeight="1">
      <c r="A16" s="41" t="s">
        <v>27</v>
      </c>
      <c r="B16" s="26" t="s">
        <v>22</v>
      </c>
      <c r="C16" s="26" t="s">
        <v>23</v>
      </c>
      <c r="D16" s="42"/>
      <c r="E16" s="42"/>
      <c r="F16" s="42"/>
      <c r="G16" s="42"/>
      <c r="H16" s="43" t="str">
        <f t="shared" si="0"/>
        <v/>
      </c>
      <c r="I16" s="43">
        <f>IFERROR(VLOOKUP(B16,Settings!$A$8:$B$11,2,FALSE),"")</f>
        <v>190</v>
      </c>
      <c r="J16" s="44"/>
      <c r="K16" s="44"/>
      <c r="L16" s="42" t="str">
        <f t="shared" si="1"/>
        <v/>
      </c>
      <c r="M16" s="43" t="str">
        <f>IFERROR(INDEX(MCSI_Table!$B$2:$E$72,MATCH(L16,MCSI_Table!$A$2:$A$72,0),MATCH(B16,MCSI_Table!$B$1:$E$1,0)),"")</f>
        <v/>
      </c>
      <c r="N16" s="44"/>
      <c r="O16" s="44"/>
      <c r="P16" s="42" t="str">
        <f t="shared" si="2"/>
        <v/>
      </c>
      <c r="Q16" s="43" t="str">
        <f>IFERROR(INDEX(MCSI_Table!$B$2:$E$72,MATCH(P16,MCSI_Table!$A$2:$A$72,0),MATCH(B16,MCSI_Table!$B$1:$E$1,0)),"")</f>
        <v/>
      </c>
      <c r="R16" s="43" t="str">
        <f t="shared" si="3"/>
        <v/>
      </c>
      <c r="S16" s="43" t="str">
        <f>IF(OR(B16="",H16="",COUNT(D16:F16)&lt;Settings!$B$5),"",ROUND((I16-H16)*Settings!$B$3,1))</f>
        <v/>
      </c>
      <c r="T16" s="43" t="str">
        <f t="shared" si="4"/>
        <v/>
      </c>
      <c r="U16" s="42" t="str">
        <f t="shared" si="5"/>
        <v/>
      </c>
      <c r="V16" s="58">
        <f>ScoresTable[[#This Row],[R1 Comp Scratch]]+ScoresTable[[#This Row],[R2 Comp Scratch]]</f>
        <v>0</v>
      </c>
      <c r="W16" s="59">
        <f>ScoresTable[[#This Row],[R1 Comp Centres]]+ScoresTable[[#This Row],[R2 Comp Centres]]</f>
        <v>0</v>
      </c>
    </row>
    <row r="17" spans="1:23" ht="22" customHeight="1">
      <c r="A17" s="41" t="s">
        <v>33</v>
      </c>
      <c r="B17" s="26" t="s">
        <v>32</v>
      </c>
      <c r="C17" s="26" t="s">
        <v>29</v>
      </c>
      <c r="D17" s="42"/>
      <c r="E17" s="42">
        <v>169.3</v>
      </c>
      <c r="F17" s="42"/>
      <c r="G17" s="42">
        <v>174.4</v>
      </c>
      <c r="H17" s="43">
        <f t="shared" si="0"/>
        <v>171.9</v>
      </c>
      <c r="I17" s="43">
        <f>IFERROR(VLOOKUP(B17,Settings!$A$8:$B$11,2,FALSE),"")</f>
        <v>190</v>
      </c>
      <c r="J17" s="44"/>
      <c r="K17" s="44"/>
      <c r="L17" s="42" t="str">
        <f t="shared" si="1"/>
        <v/>
      </c>
      <c r="M17" s="46" t="str">
        <f>IFERROR(INDEX(MCSI_Table!$B$2:$E$72,MATCH(L17,MCSI_Table!$A$2:$A$72,0),MATCH(B17,MCSI_Table!$B$1:$E$1,0)),"")</f>
        <v/>
      </c>
      <c r="N17" s="44"/>
      <c r="O17" s="44"/>
      <c r="P17" s="42" t="str">
        <f t="shared" si="2"/>
        <v/>
      </c>
      <c r="Q17" s="46" t="str">
        <f>IFERROR(INDEX(MCSI_Table!$B$2:$E$72,MATCH(P17,MCSI_Table!$A$2:$A$72,0),MATCH(B17,MCSI_Table!$B$1:$E$1,0)),"")</f>
        <v/>
      </c>
      <c r="R17" s="45" t="str">
        <f t="shared" si="3"/>
        <v/>
      </c>
      <c r="S17" s="43">
        <f>IF(OR(B17="",H17="",COUNT(D17:F17)&lt;Settings!$B$5),"",ROUND((I17-H17)*Settings!$B$3,1))</f>
        <v>12.7</v>
      </c>
      <c r="T17" s="43" t="str">
        <f t="shared" si="4"/>
        <v/>
      </c>
      <c r="U17" s="42" t="str">
        <f t="shared" si="5"/>
        <v/>
      </c>
      <c r="V17" s="58">
        <f>ScoresTable[[#This Row],[R1 Comp Scratch]]+ScoresTable[[#This Row],[R2 Comp Scratch]]</f>
        <v>0</v>
      </c>
      <c r="W17" s="59">
        <f>ScoresTable[[#This Row],[R1 Comp Centres]]+ScoresTable[[#This Row],[R2 Comp Centres]]</f>
        <v>0</v>
      </c>
    </row>
    <row r="18" spans="1:23" ht="22" customHeight="1">
      <c r="A18" s="41" t="s">
        <v>35</v>
      </c>
      <c r="B18" s="26" t="s">
        <v>32</v>
      </c>
      <c r="C18" s="26" t="s">
        <v>29</v>
      </c>
      <c r="D18" s="42"/>
      <c r="E18" s="42">
        <v>186.8</v>
      </c>
      <c r="F18" s="42"/>
      <c r="G18" s="42"/>
      <c r="H18" s="43">
        <f t="shared" si="0"/>
        <v>186.8</v>
      </c>
      <c r="I18" s="43">
        <f>IFERROR(VLOOKUP(B18,Settings!$A$8:$B$11,2,FALSE),"")</f>
        <v>190</v>
      </c>
      <c r="J18" s="44"/>
      <c r="K18" s="44"/>
      <c r="L18" s="42" t="str">
        <f t="shared" si="1"/>
        <v/>
      </c>
      <c r="M18" s="43" t="str">
        <f>IFERROR(INDEX(MCSI_Table!$B$2:$E$72,MATCH(L18,MCSI_Table!$A$2:$A$72,0),MATCH(B18,MCSI_Table!$B$1:$E$1,0)),"")</f>
        <v/>
      </c>
      <c r="N18" s="44"/>
      <c r="O18" s="44"/>
      <c r="P18" s="42" t="str">
        <f t="shared" si="2"/>
        <v/>
      </c>
      <c r="Q18" s="43" t="str">
        <f>IFERROR(INDEX(MCSI_Table!$B$2:$E$72,MATCH(P18,MCSI_Table!$A$2:$A$72,0),MATCH(B18,MCSI_Table!$B$1:$E$1,0)),"")</f>
        <v/>
      </c>
      <c r="R18" s="43" t="str">
        <f t="shared" si="3"/>
        <v/>
      </c>
      <c r="S18" s="43">
        <f>IF(OR(B18="",H18="",COUNT(D18:F18)&lt;Settings!$B$5),"",ROUND((I18-H18)*Settings!$B$3,1))</f>
        <v>2.2000000000000002</v>
      </c>
      <c r="T18" s="43" t="str">
        <f t="shared" si="4"/>
        <v/>
      </c>
      <c r="U18" s="42" t="str">
        <f t="shared" si="5"/>
        <v/>
      </c>
      <c r="V18" s="58">
        <f>ScoresTable[[#This Row],[R1 Comp Scratch]]+ScoresTable[[#This Row],[R2 Comp Scratch]]</f>
        <v>0</v>
      </c>
      <c r="W18" s="59">
        <f>ScoresTable[[#This Row],[R1 Comp Centres]]+ScoresTable[[#This Row],[R2 Comp Centres]]</f>
        <v>0</v>
      </c>
    </row>
    <row r="19" spans="1:23" ht="22" customHeight="1">
      <c r="A19" s="41" t="s">
        <v>36</v>
      </c>
      <c r="B19" s="26"/>
      <c r="C19" s="26" t="s">
        <v>29</v>
      </c>
      <c r="D19" s="42"/>
      <c r="E19" s="42">
        <v>170</v>
      </c>
      <c r="F19" s="42">
        <v>166.4</v>
      </c>
      <c r="G19" s="42"/>
      <c r="H19" s="43">
        <f t="shared" si="0"/>
        <v>168.2</v>
      </c>
      <c r="I19" s="43" t="str">
        <f>IFERROR(VLOOKUP(B19,Settings!$A$8:$B$11,2,FALSE),"")</f>
        <v/>
      </c>
      <c r="J19" s="44"/>
      <c r="K19" s="44"/>
      <c r="L19" s="42" t="str">
        <f t="shared" si="1"/>
        <v/>
      </c>
      <c r="M19" s="43" t="str">
        <f>IFERROR(INDEX(MCSI_Table!$B$2:$E$72,MATCH(L19,MCSI_Table!$A$2:$A$72,0),MATCH(B19,MCSI_Table!$B$1:$E$1,0)),"")</f>
        <v/>
      </c>
      <c r="N19" s="44"/>
      <c r="O19" s="44"/>
      <c r="P19" s="42" t="str">
        <f t="shared" si="2"/>
        <v/>
      </c>
      <c r="Q19" s="43" t="str">
        <f>IFERROR(INDEX(MCSI_Table!$B$2:$E$72,MATCH(P19,MCSI_Table!$A$2:$A$72,0),MATCH(B19,MCSI_Table!$B$1:$E$1,0)),"")</f>
        <v/>
      </c>
      <c r="R19" s="43" t="str">
        <f t="shared" si="3"/>
        <v/>
      </c>
      <c r="S19" s="43" t="str">
        <f>IF(OR(B19="",H19="",COUNT(D19:F19)&lt;Settings!$B$5),"",ROUND((I19-H19)*Settings!$B$3,1))</f>
        <v/>
      </c>
      <c r="T19" s="43" t="str">
        <f t="shared" si="4"/>
        <v/>
      </c>
      <c r="U19" s="42" t="str">
        <f t="shared" si="5"/>
        <v/>
      </c>
      <c r="V19" s="58">
        <f>ScoresTable[[#This Row],[R1 Comp Scratch]]+ScoresTable[[#This Row],[R2 Comp Scratch]]</f>
        <v>0</v>
      </c>
      <c r="W19" s="59">
        <f>ScoresTable[[#This Row],[R1 Comp Centres]]+ScoresTable[[#This Row],[R2 Comp Centres]]</f>
        <v>0</v>
      </c>
    </row>
    <row r="20" spans="1:23" ht="22" customHeight="1">
      <c r="A20" s="47" t="s">
        <v>37</v>
      </c>
      <c r="B20" s="26"/>
      <c r="C20" s="48" t="s">
        <v>29</v>
      </c>
      <c r="D20" s="42"/>
      <c r="E20" s="42"/>
      <c r="F20" s="42"/>
      <c r="G20" s="42"/>
      <c r="H20" s="43" t="str">
        <f t="shared" si="0"/>
        <v/>
      </c>
      <c r="I20" s="43" t="str">
        <f>IFERROR(VLOOKUP(B20,Settings!$A$8:$B$11,2,FALSE),"")</f>
        <v/>
      </c>
      <c r="J20" s="44"/>
      <c r="K20" s="44"/>
      <c r="L20" s="42" t="str">
        <f t="shared" si="1"/>
        <v/>
      </c>
      <c r="M20" s="43" t="str">
        <f>IFERROR(INDEX(MCSI_Table!$B$2:$E$72,MATCH(L20,MCSI_Table!$A$2:$A$72,0),MATCH(B20,MCSI_Table!$B$1:$E$1,0)),"")</f>
        <v/>
      </c>
      <c r="N20" s="44"/>
      <c r="O20" s="44"/>
      <c r="P20" s="42" t="str">
        <f t="shared" si="2"/>
        <v/>
      </c>
      <c r="Q20" s="43" t="str">
        <f>IFERROR(INDEX(MCSI_Table!$B$2:$E$72,MATCH(P20,MCSI_Table!$A$2:$A$72,0),MATCH(B20,MCSI_Table!$B$1:$E$1,0)),"")</f>
        <v/>
      </c>
      <c r="R20" s="43" t="str">
        <f t="shared" si="3"/>
        <v/>
      </c>
      <c r="S20" s="43" t="str">
        <f>IF(OR(B20="",H20="",COUNT(D20:F20)&lt;Settings!$B$5),"",ROUND((I20-H20)*Settings!$B$3,1))</f>
        <v/>
      </c>
      <c r="T20" s="43" t="str">
        <f t="shared" si="4"/>
        <v/>
      </c>
      <c r="U20" s="42" t="str">
        <f t="shared" si="5"/>
        <v/>
      </c>
      <c r="V20" s="58">
        <f>ScoresTable[[#This Row],[R1 Comp Scratch]]+ScoresTable[[#This Row],[R2 Comp Scratch]]</f>
        <v>0</v>
      </c>
      <c r="W20" s="59">
        <f>ScoresTable[[#This Row],[R1 Comp Centres]]+ScoresTable[[#This Row],[R2 Comp Centres]]</f>
        <v>0</v>
      </c>
    </row>
    <row r="21" spans="1:23" ht="22" customHeight="1">
      <c r="A21" s="41" t="s">
        <v>38</v>
      </c>
      <c r="B21" s="26"/>
      <c r="C21" s="26" t="s">
        <v>29</v>
      </c>
      <c r="D21" s="42"/>
      <c r="E21" s="42"/>
      <c r="F21" s="42"/>
      <c r="G21" s="42"/>
      <c r="H21" s="43" t="str">
        <f t="shared" si="0"/>
        <v/>
      </c>
      <c r="I21" s="43" t="str">
        <f>IFERROR(VLOOKUP(B21,Settings!$A$8:$B$11,2,FALSE),"")</f>
        <v/>
      </c>
      <c r="J21" s="44"/>
      <c r="K21" s="44"/>
      <c r="L21" s="42" t="str">
        <f t="shared" si="1"/>
        <v/>
      </c>
      <c r="M21" s="43" t="str">
        <f>IFERROR(INDEX(MCSI_Table!$B$2:$E$72,MATCH(L21,MCSI_Table!$A$2:$A$72,0),MATCH(B21,MCSI_Table!$B$1:$E$1,0)),"")</f>
        <v/>
      </c>
      <c r="N21" s="44"/>
      <c r="O21" s="44"/>
      <c r="P21" s="42" t="str">
        <f t="shared" si="2"/>
        <v/>
      </c>
      <c r="Q21" s="43" t="str">
        <f>IFERROR(INDEX(MCSI_Table!$B$2:$E$72,MATCH(P21,MCSI_Table!$A$2:$A$72,0),MATCH(B21,MCSI_Table!$B$1:$E$1,0)),"")</f>
        <v/>
      </c>
      <c r="R21" s="43" t="str">
        <f t="shared" si="3"/>
        <v/>
      </c>
      <c r="S21" s="43" t="str">
        <f>IF(OR(B21="",H21="",COUNT(D21:F21)&lt;Settings!$B$5),"",ROUND((I21-H21)*Settings!$B$3,1))</f>
        <v/>
      </c>
      <c r="T21" s="43" t="str">
        <f t="shared" si="4"/>
        <v/>
      </c>
      <c r="U21" s="42" t="str">
        <f t="shared" si="5"/>
        <v/>
      </c>
      <c r="V21" s="58">
        <f>ScoresTable[[#This Row],[R1 Comp Scratch]]+ScoresTable[[#This Row],[R2 Comp Scratch]]</f>
        <v>0</v>
      </c>
      <c r="W21" s="59">
        <f>ScoresTable[[#This Row],[R1 Comp Centres]]+ScoresTable[[#This Row],[R2 Comp Centres]]</f>
        <v>0</v>
      </c>
    </row>
    <row r="22" spans="1:23" ht="22" customHeight="1">
      <c r="A22" s="41" t="s">
        <v>39</v>
      </c>
      <c r="B22" s="26"/>
      <c r="C22" s="26" t="s">
        <v>29</v>
      </c>
      <c r="D22" s="42"/>
      <c r="E22" s="42"/>
      <c r="F22" s="42"/>
      <c r="G22" s="42"/>
      <c r="H22" s="43" t="str">
        <f t="shared" si="0"/>
        <v/>
      </c>
      <c r="I22" s="43" t="str">
        <f>IFERROR(VLOOKUP(B22,Settings!$A$8:$B$11,2,FALSE),"")</f>
        <v/>
      </c>
      <c r="J22" s="44"/>
      <c r="K22" s="44"/>
      <c r="L22" s="42" t="str">
        <f t="shared" si="1"/>
        <v/>
      </c>
      <c r="M22" s="43" t="str">
        <f>IFERROR(INDEX(MCSI_Table!$B$2:$E$72,MATCH(L22,MCSI_Table!$A$2:$A$72,0),MATCH(B22,MCSI_Table!$B$1:$E$1,0)),"")</f>
        <v/>
      </c>
      <c r="N22" s="44"/>
      <c r="O22" s="44"/>
      <c r="P22" s="42" t="str">
        <f t="shared" si="2"/>
        <v/>
      </c>
      <c r="Q22" s="43" t="str">
        <f>IFERROR(INDEX(MCSI_Table!$B$2:$E$72,MATCH(P22,MCSI_Table!$A$2:$A$72,0),MATCH(B22,MCSI_Table!$B$1:$E$1,0)),"")</f>
        <v/>
      </c>
      <c r="R22" s="43" t="str">
        <f t="shared" si="3"/>
        <v/>
      </c>
      <c r="S22" s="43" t="str">
        <f>IF(OR(B22="",H22="",COUNT(D22:F22)&lt;Settings!$B$5),"",ROUND((I22-H22)*Settings!$B$3,1))</f>
        <v/>
      </c>
      <c r="T22" s="43" t="str">
        <f t="shared" si="4"/>
        <v/>
      </c>
      <c r="U22" s="42" t="str">
        <f t="shared" si="5"/>
        <v/>
      </c>
      <c r="V22" s="58">
        <f>ScoresTable[[#This Row],[R1 Comp Scratch]]+ScoresTable[[#This Row],[R2 Comp Scratch]]</f>
        <v>0</v>
      </c>
      <c r="W22" s="59">
        <f>ScoresTable[[#This Row],[R1 Comp Centres]]+ScoresTable[[#This Row],[R2 Comp Centres]]</f>
        <v>0</v>
      </c>
    </row>
    <row r="23" spans="1:23" ht="22" customHeight="1">
      <c r="A23" s="41" t="s">
        <v>41</v>
      </c>
      <c r="B23" s="26" t="s">
        <v>32</v>
      </c>
      <c r="C23" s="26" t="s">
        <v>42</v>
      </c>
      <c r="D23" s="42"/>
      <c r="E23" s="42">
        <v>169</v>
      </c>
      <c r="F23" s="42">
        <v>148</v>
      </c>
      <c r="G23" s="42">
        <v>146.80000000000001</v>
      </c>
      <c r="H23" s="43">
        <f t="shared" si="0"/>
        <v>154.6</v>
      </c>
      <c r="I23" s="43">
        <f>IFERROR(VLOOKUP(B23,Settings!$A$8:$B$11,2,FALSE),"")</f>
        <v>190</v>
      </c>
      <c r="J23" s="44"/>
      <c r="K23" s="44"/>
      <c r="L23" s="42" t="str">
        <f t="shared" si="1"/>
        <v/>
      </c>
      <c r="M23" s="46" t="str">
        <f>IFERROR(INDEX(MCSI_Table!$B$2:$E$72,MATCH(L23,MCSI_Table!$A$2:$A$72,0),MATCH(B23,MCSI_Table!$B$1:$E$1,0)),"")</f>
        <v/>
      </c>
      <c r="N23" s="44"/>
      <c r="O23" s="44"/>
      <c r="P23" s="42" t="str">
        <f t="shared" si="2"/>
        <v/>
      </c>
      <c r="Q23" s="46" t="str">
        <f>IFERROR(INDEX(MCSI_Table!$B$2:$E$72,MATCH(P23,MCSI_Table!$A$2:$A$72,0),MATCH(B23,MCSI_Table!$B$1:$E$1,0)),"")</f>
        <v/>
      </c>
      <c r="R23" s="45" t="str">
        <f t="shared" si="3"/>
        <v/>
      </c>
      <c r="S23" s="43">
        <f>IF(OR(B23="",H23="",COUNT(D23:F23)&lt;Settings!$B$5),"",ROUND((I23-H23)*Settings!$B$3,1))</f>
        <v>24.8</v>
      </c>
      <c r="T23" s="43" t="str">
        <f t="shared" si="4"/>
        <v/>
      </c>
      <c r="U23" s="42" t="str">
        <f t="shared" si="5"/>
        <v/>
      </c>
      <c r="V23" s="58">
        <f>ScoresTable[[#This Row],[R1 Comp Scratch]]+ScoresTable[[#This Row],[R2 Comp Scratch]]</f>
        <v>0</v>
      </c>
      <c r="W23" s="59">
        <f>ScoresTable[[#This Row],[R1 Comp Centres]]+ScoresTable[[#This Row],[R2 Comp Centres]]</f>
        <v>0</v>
      </c>
    </row>
    <row r="24" spans="1:23" ht="22" customHeight="1">
      <c r="A24" s="41" t="s">
        <v>46</v>
      </c>
      <c r="B24" s="26" t="s">
        <v>32</v>
      </c>
      <c r="C24" s="26" t="s">
        <v>42</v>
      </c>
      <c r="D24" s="42"/>
      <c r="E24" s="42"/>
      <c r="F24" s="42">
        <v>150.80000000000001</v>
      </c>
      <c r="G24" s="42"/>
      <c r="H24" s="43">
        <f t="shared" si="0"/>
        <v>150.80000000000001</v>
      </c>
      <c r="I24" s="43">
        <f>IFERROR(VLOOKUP(B24,Settings!$A$8:$B$11,2,FALSE),"")</f>
        <v>190</v>
      </c>
      <c r="J24" s="44"/>
      <c r="K24" s="44"/>
      <c r="L24" s="42" t="str">
        <f t="shared" si="1"/>
        <v/>
      </c>
      <c r="M24" s="43" t="str">
        <f>IFERROR(INDEX(MCSI_Table!$B$2:$E$72,MATCH(L24,MCSI_Table!$A$2:$A$72,0),MATCH(B24,MCSI_Table!$B$1:$E$1,0)),"")</f>
        <v/>
      </c>
      <c r="N24" s="44"/>
      <c r="O24" s="44"/>
      <c r="P24" s="42" t="str">
        <f t="shared" si="2"/>
        <v/>
      </c>
      <c r="Q24" s="43" t="str">
        <f>IFERROR(INDEX(MCSI_Table!$B$2:$E$72,MATCH(P24,MCSI_Table!$A$2:$A$72,0),MATCH(B24,MCSI_Table!$B$1:$E$1,0)),"")</f>
        <v/>
      </c>
      <c r="R24" s="43" t="str">
        <f t="shared" si="3"/>
        <v/>
      </c>
      <c r="S24" s="43">
        <f>IF(OR(B24="",H24="",COUNT(D24:F24)&lt;Settings!$B$5),"",ROUND((I24-H24)*Settings!$B$3,1))</f>
        <v>27.4</v>
      </c>
      <c r="T24" s="43" t="str">
        <f t="shared" si="4"/>
        <v/>
      </c>
      <c r="U24" s="42" t="str">
        <f t="shared" si="5"/>
        <v/>
      </c>
      <c r="V24" s="58">
        <f>ScoresTable[[#This Row],[R1 Comp Scratch]]+ScoresTable[[#This Row],[R2 Comp Scratch]]</f>
        <v>0</v>
      </c>
      <c r="W24" s="59">
        <f>ScoresTable[[#This Row],[R1 Comp Centres]]+ScoresTable[[#This Row],[R2 Comp Centres]]</f>
        <v>0</v>
      </c>
    </row>
    <row r="25" spans="1:23" ht="22" customHeight="1">
      <c r="A25" s="41" t="s">
        <v>47</v>
      </c>
      <c r="B25" s="26" t="s">
        <v>32</v>
      </c>
      <c r="C25" s="26" t="s">
        <v>42</v>
      </c>
      <c r="D25" s="42"/>
      <c r="E25" s="42"/>
      <c r="F25" s="42"/>
      <c r="G25" s="42"/>
      <c r="H25" s="43" t="str">
        <f t="shared" si="0"/>
        <v/>
      </c>
      <c r="I25" s="43">
        <f>IFERROR(VLOOKUP(B25,Settings!$A$8:$B$11,2,FALSE),"")</f>
        <v>190</v>
      </c>
      <c r="J25" s="44"/>
      <c r="K25" s="44"/>
      <c r="L25" s="42" t="str">
        <f t="shared" si="1"/>
        <v/>
      </c>
      <c r="M25" s="43" t="str">
        <f>IFERROR(INDEX(MCSI_Table!$B$2:$E$72,MATCH(L25,MCSI_Table!$A$2:$A$72,0),MATCH(B25,MCSI_Table!$B$1:$E$1,0)),"")</f>
        <v/>
      </c>
      <c r="N25" s="44"/>
      <c r="O25" s="44"/>
      <c r="P25" s="42" t="str">
        <f t="shared" si="2"/>
        <v/>
      </c>
      <c r="Q25" s="43" t="str">
        <f>IFERROR(INDEX(MCSI_Table!$B$2:$E$72,MATCH(P25,MCSI_Table!$A$2:$A$72,0),MATCH(B25,MCSI_Table!$B$1:$E$1,0)),"")</f>
        <v/>
      </c>
      <c r="R25" s="43" t="str">
        <f t="shared" si="3"/>
        <v/>
      </c>
      <c r="S25" s="43" t="str">
        <f>IF(OR(B25="",H25="",COUNT(D25:F25)&lt;Settings!$B$5),"",ROUND((I25-H25)*Settings!$B$3,1))</f>
        <v/>
      </c>
      <c r="T25" s="43" t="str">
        <f t="shared" si="4"/>
        <v/>
      </c>
      <c r="U25" s="42" t="str">
        <f t="shared" si="5"/>
        <v/>
      </c>
      <c r="V25" s="58">
        <f>ScoresTable[[#This Row],[R1 Comp Scratch]]+ScoresTable[[#This Row],[R2 Comp Scratch]]</f>
        <v>0</v>
      </c>
      <c r="W25" s="59">
        <f>ScoresTable[[#This Row],[R1 Comp Centres]]+ScoresTable[[#This Row],[R2 Comp Centres]]</f>
        <v>0</v>
      </c>
    </row>
    <row r="26" spans="1:23" ht="22" customHeight="1">
      <c r="A26" s="41" t="s">
        <v>48</v>
      </c>
      <c r="B26" s="26" t="s">
        <v>32</v>
      </c>
      <c r="C26" s="26" t="s">
        <v>42</v>
      </c>
      <c r="D26" s="42"/>
      <c r="E26" s="42"/>
      <c r="F26" s="42"/>
      <c r="G26" s="42"/>
      <c r="H26" s="43" t="str">
        <f t="shared" si="0"/>
        <v/>
      </c>
      <c r="I26" s="43">
        <f>IFERROR(VLOOKUP(B26,Settings!$A$8:$B$11,2,FALSE),"")</f>
        <v>190</v>
      </c>
      <c r="J26" s="44"/>
      <c r="K26" s="44"/>
      <c r="L26" s="42" t="str">
        <f t="shared" si="1"/>
        <v/>
      </c>
      <c r="M26" s="43" t="str">
        <f>IFERROR(INDEX(MCSI_Table!$B$2:$E$72,MATCH(L26,MCSI_Table!$A$2:$A$72,0),MATCH(B26,MCSI_Table!$B$1:$E$1,0)),"")</f>
        <v/>
      </c>
      <c r="N26" s="44"/>
      <c r="O26" s="44"/>
      <c r="P26" s="42" t="str">
        <f t="shared" si="2"/>
        <v/>
      </c>
      <c r="Q26" s="43" t="str">
        <f>IFERROR(INDEX(MCSI_Table!$B$2:$E$72,MATCH(P26,MCSI_Table!$A$2:$A$72,0),MATCH(B26,MCSI_Table!$B$1:$E$1,0)),"")</f>
        <v/>
      </c>
      <c r="R26" s="43" t="str">
        <f t="shared" si="3"/>
        <v/>
      </c>
      <c r="S26" s="43" t="str">
        <f>IF(OR(B26="",H26="",COUNT(D26:F26)&lt;Settings!$B$5),"",ROUND((I26-H26)*Settings!$B$3,1))</f>
        <v/>
      </c>
      <c r="T26" s="43" t="str">
        <f t="shared" si="4"/>
        <v/>
      </c>
      <c r="U26" s="42" t="str">
        <f t="shared" si="5"/>
        <v/>
      </c>
      <c r="V26" s="58">
        <f>ScoresTable[[#This Row],[R1 Comp Scratch]]+ScoresTable[[#This Row],[R2 Comp Scratch]]</f>
        <v>0</v>
      </c>
      <c r="W26" s="59">
        <f>ScoresTable[[#This Row],[R1 Comp Centres]]+ScoresTable[[#This Row],[R2 Comp Centres]]</f>
        <v>0</v>
      </c>
    </row>
    <row r="27" spans="1:23" ht="22" customHeight="1">
      <c r="A27" s="41" t="s">
        <v>49</v>
      </c>
      <c r="B27" s="26" t="s">
        <v>22</v>
      </c>
      <c r="C27" s="26" t="s">
        <v>42</v>
      </c>
      <c r="D27" s="42"/>
      <c r="E27" s="42">
        <v>151.4</v>
      </c>
      <c r="F27" s="42">
        <v>124.3</v>
      </c>
      <c r="G27" s="42"/>
      <c r="H27" s="43">
        <f t="shared" si="0"/>
        <v>137.9</v>
      </c>
      <c r="I27" s="43">
        <f>IFERROR(VLOOKUP(B27,Settings!$A$8:$B$11,2,FALSE),"")</f>
        <v>190</v>
      </c>
      <c r="J27" s="44"/>
      <c r="K27" s="44"/>
      <c r="L27" s="42" t="str">
        <f t="shared" si="1"/>
        <v/>
      </c>
      <c r="M27" s="43" t="str">
        <f>IFERROR(INDEX(MCSI_Table!$B$2:$E$72,MATCH(L27,MCSI_Table!$A$2:$A$72,0),MATCH(B27,MCSI_Table!$B$1:$E$1,0)),"")</f>
        <v/>
      </c>
      <c r="N27" s="44"/>
      <c r="O27" s="44"/>
      <c r="P27" s="42" t="str">
        <f t="shared" si="2"/>
        <v/>
      </c>
      <c r="Q27" s="43" t="str">
        <f>IFERROR(INDEX(MCSI_Table!$B$2:$E$72,MATCH(P27,MCSI_Table!$A$2:$A$72,0),MATCH(B27,MCSI_Table!$B$1:$E$1,0)),"")</f>
        <v/>
      </c>
      <c r="R27" s="43" t="str">
        <f t="shared" si="3"/>
        <v/>
      </c>
      <c r="S27" s="43">
        <f>IF(OR(B27="",H27="",COUNT(D27:F27)&lt;Settings!$B$5),"",ROUND((I27-H27)*Settings!$B$3,1))</f>
        <v>36.5</v>
      </c>
      <c r="T27" s="43" t="str">
        <f t="shared" si="4"/>
        <v/>
      </c>
      <c r="U27" s="42" t="str">
        <f t="shared" si="5"/>
        <v/>
      </c>
      <c r="V27" s="58">
        <f>ScoresTable[[#This Row],[R1 Comp Scratch]]+ScoresTable[[#This Row],[R2 Comp Scratch]]</f>
        <v>0</v>
      </c>
      <c r="W27" s="59">
        <f>ScoresTable[[#This Row],[R1 Comp Centres]]+ScoresTable[[#This Row],[R2 Comp Centres]]</f>
        <v>0</v>
      </c>
    </row>
    <row r="28" spans="1:23" ht="22" customHeight="1">
      <c r="A28" s="41" t="s">
        <v>50</v>
      </c>
      <c r="B28" s="26" t="s">
        <v>32</v>
      </c>
      <c r="C28" s="26" t="s">
        <v>42</v>
      </c>
      <c r="D28" s="42"/>
      <c r="E28" s="42">
        <v>159.30000000000001</v>
      </c>
      <c r="F28" s="42"/>
      <c r="G28" s="42"/>
      <c r="H28" s="43">
        <f t="shared" si="0"/>
        <v>159.30000000000001</v>
      </c>
      <c r="I28" s="43">
        <f>IFERROR(VLOOKUP(B28,Settings!$A$8:$B$11,2,FALSE),"")</f>
        <v>190</v>
      </c>
      <c r="J28" s="44"/>
      <c r="K28" s="44"/>
      <c r="L28" s="42" t="str">
        <f t="shared" si="1"/>
        <v/>
      </c>
      <c r="M28" s="43" t="str">
        <f>IFERROR(INDEX(MCSI_Table!$B$2:$E$72,MATCH(L28,MCSI_Table!$A$2:$A$72,0),MATCH(B28,MCSI_Table!$B$1:$E$1,0)),"")</f>
        <v/>
      </c>
      <c r="N28" s="44"/>
      <c r="O28" s="44"/>
      <c r="P28" s="42" t="str">
        <f t="shared" si="2"/>
        <v/>
      </c>
      <c r="Q28" s="43" t="str">
        <f>IFERROR(INDEX(MCSI_Table!$B$2:$E$72,MATCH(P28,MCSI_Table!$A$2:$A$72,0),MATCH(B28,MCSI_Table!$B$1:$E$1,0)),"")</f>
        <v/>
      </c>
      <c r="R28" s="43" t="str">
        <f t="shared" si="3"/>
        <v/>
      </c>
      <c r="S28" s="43">
        <f>IF(OR(B28="",H28="",COUNT(D28:F28)&lt;Settings!$B$5),"",ROUND((I28-H28)*Settings!$B$3,1))</f>
        <v>21.5</v>
      </c>
      <c r="T28" s="43" t="str">
        <f t="shared" si="4"/>
        <v/>
      </c>
      <c r="U28" s="42" t="str">
        <f t="shared" si="5"/>
        <v/>
      </c>
      <c r="V28" s="58">
        <f>ScoresTable[[#This Row],[R1 Comp Scratch]]+ScoresTable[[#This Row],[R2 Comp Scratch]]</f>
        <v>0</v>
      </c>
      <c r="W28" s="59">
        <f>ScoresTable[[#This Row],[R1 Comp Centres]]+ScoresTable[[#This Row],[R2 Comp Centres]]</f>
        <v>0</v>
      </c>
    </row>
    <row r="29" spans="1:23" ht="22" customHeight="1">
      <c r="A29" s="41" t="s">
        <v>51</v>
      </c>
      <c r="B29" s="26" t="s">
        <v>32</v>
      </c>
      <c r="C29" s="26" t="s">
        <v>42</v>
      </c>
      <c r="D29" s="42"/>
      <c r="E29" s="42">
        <v>172.7</v>
      </c>
      <c r="F29" s="42"/>
      <c r="G29" s="42"/>
      <c r="H29" s="43">
        <f t="shared" si="0"/>
        <v>172.7</v>
      </c>
      <c r="I29" s="43">
        <f>IFERROR(VLOOKUP(B29,Settings!$A$8:$B$11,2,FALSE),"")</f>
        <v>190</v>
      </c>
      <c r="J29" s="44"/>
      <c r="K29" s="44"/>
      <c r="L29" s="42" t="str">
        <f t="shared" si="1"/>
        <v/>
      </c>
      <c r="M29" s="43" t="str">
        <f>IFERROR(INDEX(MCSI_Table!$B$2:$E$72,MATCH(L29,MCSI_Table!$A$2:$A$72,0),MATCH(B29,MCSI_Table!$B$1:$E$1,0)),"")</f>
        <v/>
      </c>
      <c r="N29" s="44"/>
      <c r="O29" s="44"/>
      <c r="P29" s="42" t="str">
        <f t="shared" si="2"/>
        <v/>
      </c>
      <c r="Q29" s="43" t="str">
        <f>IFERROR(INDEX(MCSI_Table!$B$2:$E$72,MATCH(P29,MCSI_Table!$A$2:$A$72,0),MATCH(B29,MCSI_Table!$B$1:$E$1,0)),"")</f>
        <v/>
      </c>
      <c r="R29" s="43" t="str">
        <f t="shared" si="3"/>
        <v/>
      </c>
      <c r="S29" s="43">
        <f>IF(OR(B29="",H29="",COUNT(D29:F29)&lt;Settings!$B$5),"",ROUND((I29-H29)*Settings!$B$3,1))</f>
        <v>12.1</v>
      </c>
      <c r="T29" s="43" t="str">
        <f t="shared" si="4"/>
        <v/>
      </c>
      <c r="U29" s="42" t="str">
        <f t="shared" si="5"/>
        <v/>
      </c>
      <c r="V29" s="58">
        <f>ScoresTable[[#This Row],[R1 Comp Scratch]]+ScoresTable[[#This Row],[R2 Comp Scratch]]</f>
        <v>0</v>
      </c>
      <c r="W29" s="59">
        <f>ScoresTable[[#This Row],[R1 Comp Centres]]+ScoresTable[[#This Row],[R2 Comp Centres]]</f>
        <v>0</v>
      </c>
    </row>
    <row r="30" spans="1:23" ht="22" customHeight="1">
      <c r="A30" s="41" t="s">
        <v>52</v>
      </c>
      <c r="B30" s="26" t="s">
        <v>32</v>
      </c>
      <c r="C30" s="26" t="s">
        <v>42</v>
      </c>
      <c r="D30" s="42"/>
      <c r="E30" s="42">
        <v>169.8</v>
      </c>
      <c r="F30" s="42"/>
      <c r="G30" s="42"/>
      <c r="H30" s="43">
        <f t="shared" si="0"/>
        <v>169.8</v>
      </c>
      <c r="I30" s="43">
        <f>IFERROR(VLOOKUP(B30,Settings!$A$8:$B$11,2,FALSE),"")</f>
        <v>190</v>
      </c>
      <c r="J30" s="44"/>
      <c r="K30" s="44"/>
      <c r="L30" s="42" t="str">
        <f t="shared" si="1"/>
        <v/>
      </c>
      <c r="M30" s="43" t="str">
        <f>IFERROR(INDEX(MCSI_Table!$B$2:$E$72,MATCH(L30,MCSI_Table!$A$2:$A$72,0),MATCH(B30,MCSI_Table!$B$1:$E$1,0)),"")</f>
        <v/>
      </c>
      <c r="N30" s="44"/>
      <c r="O30" s="44"/>
      <c r="P30" s="42" t="str">
        <f t="shared" si="2"/>
        <v/>
      </c>
      <c r="Q30" s="43" t="str">
        <f>IFERROR(INDEX(MCSI_Table!$B$2:$E$72,MATCH(P30,MCSI_Table!$A$2:$A$72,0),MATCH(B30,MCSI_Table!$B$1:$E$1,0)),"")</f>
        <v/>
      </c>
      <c r="R30" s="43" t="str">
        <f t="shared" si="3"/>
        <v/>
      </c>
      <c r="S30" s="43">
        <f>IF(OR(B30="",H30="",COUNT(D30:F30)&lt;Settings!$B$5),"",ROUND((I30-H30)*Settings!$B$3,1))</f>
        <v>14.1</v>
      </c>
      <c r="T30" s="43" t="str">
        <f t="shared" si="4"/>
        <v/>
      </c>
      <c r="U30" s="42" t="str">
        <f t="shared" si="5"/>
        <v/>
      </c>
      <c r="V30" s="58">
        <f>ScoresTable[[#This Row],[R1 Comp Scratch]]+ScoresTable[[#This Row],[R2 Comp Scratch]]</f>
        <v>0</v>
      </c>
      <c r="W30" s="59">
        <f>ScoresTable[[#This Row],[R1 Comp Centres]]+ScoresTable[[#This Row],[R2 Comp Centres]]</f>
        <v>0</v>
      </c>
    </row>
    <row r="31" spans="1:23" ht="22" customHeight="1">
      <c r="A31" s="41" t="s">
        <v>53</v>
      </c>
      <c r="B31" s="26" t="s">
        <v>32</v>
      </c>
      <c r="C31" s="26" t="s">
        <v>42</v>
      </c>
      <c r="D31" s="42"/>
      <c r="E31" s="42"/>
      <c r="F31" s="42"/>
      <c r="G31" s="42"/>
      <c r="H31" s="43" t="str">
        <f t="shared" si="0"/>
        <v/>
      </c>
      <c r="I31" s="43">
        <f>IFERROR(VLOOKUP(B31,Settings!$A$8:$B$11,2,FALSE),"")</f>
        <v>190</v>
      </c>
      <c r="J31" s="44"/>
      <c r="K31" s="44"/>
      <c r="L31" s="42" t="str">
        <f t="shared" si="1"/>
        <v/>
      </c>
      <c r="M31" s="43" t="str">
        <f>IFERROR(INDEX(MCSI_Table!$B$2:$E$72,MATCH(L31,MCSI_Table!$A$2:$A$72,0),MATCH(B31,MCSI_Table!$B$1:$E$1,0)),"")</f>
        <v/>
      </c>
      <c r="N31" s="44"/>
      <c r="O31" s="44"/>
      <c r="P31" s="42" t="str">
        <f t="shared" si="2"/>
        <v/>
      </c>
      <c r="Q31" s="43" t="str">
        <f>IFERROR(INDEX(MCSI_Table!$B$2:$E$72,MATCH(P31,MCSI_Table!$A$2:$A$72,0),MATCH(B31,MCSI_Table!$B$1:$E$1,0)),"")</f>
        <v/>
      </c>
      <c r="R31" s="43" t="str">
        <f t="shared" si="3"/>
        <v/>
      </c>
      <c r="S31" s="43" t="str">
        <f>IF(OR(B31="",H31="",COUNT(D31:F31)&lt;Settings!$B$5),"",ROUND((I31-H31)*Settings!$B$3,1))</f>
        <v/>
      </c>
      <c r="T31" s="43" t="str">
        <f t="shared" si="4"/>
        <v/>
      </c>
      <c r="U31" s="42" t="str">
        <f t="shared" si="5"/>
        <v/>
      </c>
      <c r="V31" s="58">
        <f>ScoresTable[[#This Row],[R1 Comp Scratch]]+ScoresTable[[#This Row],[R2 Comp Scratch]]</f>
        <v>0</v>
      </c>
      <c r="W31" s="59">
        <f>ScoresTable[[#This Row],[R1 Comp Centres]]+ScoresTable[[#This Row],[R2 Comp Centres]]</f>
        <v>0</v>
      </c>
    </row>
    <row r="32" spans="1:23" ht="22" customHeight="1">
      <c r="A32" s="41" t="s">
        <v>54</v>
      </c>
      <c r="B32" s="26" t="s">
        <v>22</v>
      </c>
      <c r="C32" s="26" t="s">
        <v>42</v>
      </c>
      <c r="D32" s="42"/>
      <c r="E32" s="42"/>
      <c r="F32" s="42"/>
      <c r="G32" s="42"/>
      <c r="H32" s="43" t="str">
        <f t="shared" si="0"/>
        <v/>
      </c>
      <c r="I32" s="43">
        <f>IFERROR(VLOOKUP(B32,Settings!$A$8:$B$11,2,FALSE),"")</f>
        <v>190</v>
      </c>
      <c r="J32" s="44"/>
      <c r="K32" s="44"/>
      <c r="L32" s="42" t="str">
        <f t="shared" si="1"/>
        <v/>
      </c>
      <c r="M32" s="43" t="str">
        <f>IFERROR(INDEX(MCSI_Table!$B$2:$E$72,MATCH(L32,MCSI_Table!$A$2:$A$72,0),MATCH(B32,MCSI_Table!$B$1:$E$1,0)),"")</f>
        <v/>
      </c>
      <c r="N32" s="44"/>
      <c r="O32" s="44"/>
      <c r="P32" s="42" t="str">
        <f t="shared" si="2"/>
        <v/>
      </c>
      <c r="Q32" s="43" t="str">
        <f>IFERROR(INDEX(MCSI_Table!$B$2:$E$72,MATCH(P32,MCSI_Table!$A$2:$A$72,0),MATCH(B32,MCSI_Table!$B$1:$E$1,0)),"")</f>
        <v/>
      </c>
      <c r="R32" s="43" t="str">
        <f t="shared" si="3"/>
        <v/>
      </c>
      <c r="S32" s="43" t="str">
        <f>IF(OR(B32="",H32="",COUNT(D32:F32)&lt;Settings!$B$5),"",ROUND((I32-H32)*Settings!$B$3,1))</f>
        <v/>
      </c>
      <c r="T32" s="43" t="str">
        <f t="shared" si="4"/>
        <v/>
      </c>
      <c r="U32" s="42" t="str">
        <f t="shared" si="5"/>
        <v/>
      </c>
      <c r="V32" s="58">
        <f>ScoresTable[[#This Row],[R1 Comp Scratch]]+ScoresTable[[#This Row],[R2 Comp Scratch]]</f>
        <v>0</v>
      </c>
      <c r="W32" s="59">
        <f>ScoresTable[[#This Row],[R1 Comp Centres]]+ScoresTable[[#This Row],[R2 Comp Centres]]</f>
        <v>0</v>
      </c>
    </row>
    <row r="33" spans="1:23" ht="22" customHeight="1">
      <c r="A33" s="41" t="s">
        <v>55</v>
      </c>
      <c r="B33" s="26" t="s">
        <v>56</v>
      </c>
      <c r="C33" s="26" t="s">
        <v>42</v>
      </c>
      <c r="D33" s="42"/>
      <c r="E33" s="42"/>
      <c r="F33" s="42"/>
      <c r="G33" s="42"/>
      <c r="H33" s="43" t="str">
        <f t="shared" si="0"/>
        <v/>
      </c>
      <c r="I33" s="43">
        <f>IFERROR(VLOOKUP(B33,Settings!$A$8:$B$11,2,FALSE),"")</f>
        <v>190</v>
      </c>
      <c r="J33" s="44"/>
      <c r="K33" s="44"/>
      <c r="L33" s="42" t="str">
        <f t="shared" si="1"/>
        <v/>
      </c>
      <c r="M33" s="43" t="str">
        <f>IFERROR(INDEX(MCSI_Table!$B$2:$E$72,MATCH(L33,MCSI_Table!$A$2:$A$72,0),MATCH(B33,MCSI_Table!$B$1:$E$1,0)),"")</f>
        <v/>
      </c>
      <c r="N33" s="44"/>
      <c r="O33" s="44"/>
      <c r="P33" s="42" t="str">
        <f t="shared" si="2"/>
        <v/>
      </c>
      <c r="Q33" s="43" t="str">
        <f>IFERROR(INDEX(MCSI_Table!$B$2:$E$72,MATCH(P33,MCSI_Table!$A$2:$A$72,0),MATCH(B33,MCSI_Table!$B$1:$E$1,0)),"")</f>
        <v/>
      </c>
      <c r="R33" s="43" t="str">
        <f t="shared" si="3"/>
        <v/>
      </c>
      <c r="S33" s="43" t="str">
        <f>IF(OR(B33="",H33="",COUNT(D33:F33)&lt;Settings!$B$5),"",ROUND((I33-H33)*Settings!$B$3,1))</f>
        <v/>
      </c>
      <c r="T33" s="43" t="str">
        <f t="shared" si="4"/>
        <v/>
      </c>
      <c r="U33" s="42" t="str">
        <f t="shared" si="5"/>
        <v/>
      </c>
      <c r="V33" s="58">
        <f>ScoresTable[[#This Row],[R1 Comp Scratch]]+ScoresTable[[#This Row],[R2 Comp Scratch]]</f>
        <v>0</v>
      </c>
      <c r="W33" s="59">
        <f>ScoresTable[[#This Row],[R1 Comp Centres]]+ScoresTable[[#This Row],[R2 Comp Centres]]</f>
        <v>0</v>
      </c>
    </row>
    <row r="34" spans="1:23" ht="22" customHeight="1">
      <c r="A34" s="41" t="s">
        <v>58</v>
      </c>
      <c r="B34" s="26"/>
      <c r="C34" s="26" t="s">
        <v>42</v>
      </c>
      <c r="D34" s="42"/>
      <c r="E34" s="42">
        <v>145.80000000000001</v>
      </c>
      <c r="F34" s="42"/>
      <c r="G34" s="42"/>
      <c r="H34" s="43">
        <f t="shared" si="0"/>
        <v>145.80000000000001</v>
      </c>
      <c r="I34" s="43" t="str">
        <f>IFERROR(VLOOKUP(B34,Settings!$A$8:$B$11,2,FALSE),"")</f>
        <v/>
      </c>
      <c r="J34" s="44"/>
      <c r="K34" s="44"/>
      <c r="L34" s="42" t="str">
        <f t="shared" si="1"/>
        <v/>
      </c>
      <c r="M34" s="43" t="str">
        <f>IFERROR(INDEX(MCSI_Table!$B$2:$E$72,MATCH(L34,MCSI_Table!$A$2:$A$72,0),MATCH(B34,MCSI_Table!$B$1:$E$1,0)),"")</f>
        <v/>
      </c>
      <c r="N34" s="44"/>
      <c r="O34" s="44"/>
      <c r="P34" s="42" t="str">
        <f t="shared" si="2"/>
        <v/>
      </c>
      <c r="Q34" s="43" t="str">
        <f>IFERROR(INDEX(MCSI_Table!$B$2:$E$72,MATCH(P34,MCSI_Table!$A$2:$A$72,0),MATCH(B34,MCSI_Table!$B$1:$E$1,0)),"")</f>
        <v/>
      </c>
      <c r="R34" s="43" t="str">
        <f t="shared" si="3"/>
        <v/>
      </c>
      <c r="S34" s="43" t="str">
        <f>IF(OR(B34="",H34="",COUNT(D34:F34)&lt;Settings!$B$5),"",ROUND((I34-H34)*Settings!$B$3,1))</f>
        <v/>
      </c>
      <c r="T34" s="43" t="str">
        <f t="shared" si="4"/>
        <v/>
      </c>
      <c r="U34" s="42" t="str">
        <f t="shared" si="5"/>
        <v/>
      </c>
      <c r="V34" s="58">
        <f>ScoresTable[[#This Row],[R1 Comp Scratch]]+ScoresTable[[#This Row],[R2 Comp Scratch]]</f>
        <v>0</v>
      </c>
      <c r="W34" s="59">
        <f>ScoresTable[[#This Row],[R1 Comp Centres]]+ScoresTable[[#This Row],[R2 Comp Centres]]</f>
        <v>0</v>
      </c>
    </row>
    <row r="35" spans="1:23" ht="22" customHeight="1">
      <c r="A35" s="41" t="s">
        <v>59</v>
      </c>
      <c r="B35" s="26"/>
      <c r="C35" s="26" t="s">
        <v>42</v>
      </c>
      <c r="D35" s="42"/>
      <c r="E35" s="42"/>
      <c r="F35" s="42"/>
      <c r="G35" s="42"/>
      <c r="H35" s="43" t="str">
        <f t="shared" ref="H35:H51" si="6">IF(COUNT(D35:G35)=0,"",ROUND(AVERAGE(D35:G35),1))</f>
        <v/>
      </c>
      <c r="I35" s="43" t="str">
        <f>IFERROR(VLOOKUP(B35,Settings!$A$8:$B$11,2,FALSE),"")</f>
        <v/>
      </c>
      <c r="J35" s="44"/>
      <c r="K35" s="44"/>
      <c r="L35" s="42" t="str">
        <f t="shared" ref="L35:L51" si="7">IF(OR(J35="",K35=""),"",J35+K35)</f>
        <v/>
      </c>
      <c r="M35" s="43" t="str">
        <f>IFERROR(INDEX(MCSI_Table!$B$2:$E$72,MATCH(L35,MCSI_Table!$A$2:$A$72,0),MATCH(B35,MCSI_Table!$B$1:$E$1,0)),"")</f>
        <v/>
      </c>
      <c r="N35" s="44"/>
      <c r="O35" s="44"/>
      <c r="P35" s="42" t="str">
        <f t="shared" ref="P35:P51" si="8">IF(OR(N35="",O35=""),"",N35+O35)</f>
        <v/>
      </c>
      <c r="Q35" s="43" t="str">
        <f>IFERROR(INDEX(MCSI_Table!$B$2:$E$72,MATCH(P35,MCSI_Table!$A$2:$A$72,0),MATCH(B35,MCSI_Table!$B$1:$E$1,0)),"")</f>
        <v/>
      </c>
      <c r="R35" s="43" t="str">
        <f t="shared" ref="R35:R51" si="9">IF(OR(M35="",Q35=""),"",ROUND(M35+Q35,1))</f>
        <v/>
      </c>
      <c r="S35" s="43" t="str">
        <f>IF(OR(B35="",H35="",COUNT(D35:F35)&lt;Settings!$B$5),"",ROUND((I35-H35)*Settings!$B$3,1))</f>
        <v/>
      </c>
      <c r="T35" s="43" t="str">
        <f t="shared" ref="T35:T51" si="10">IF(OR(R35="",S35=""),"",ROUND(R35+S35,1))</f>
        <v/>
      </c>
      <c r="U35" s="42" t="str">
        <f t="shared" ref="U35:U51" si="11">IF(ISNUMBER(T35),1+COUNTIF($T$3:$T$51,"&gt;"&amp;T35),"")</f>
        <v/>
      </c>
      <c r="V35" s="58">
        <f>ScoresTable[[#This Row],[R1 Comp Scratch]]+ScoresTable[[#This Row],[R2 Comp Scratch]]</f>
        <v>0</v>
      </c>
      <c r="W35" s="59">
        <f>ScoresTable[[#This Row],[R1 Comp Centres]]+ScoresTable[[#This Row],[R2 Comp Centres]]</f>
        <v>0</v>
      </c>
    </row>
    <row r="36" spans="1:23" ht="22" customHeight="1">
      <c r="A36" s="41" t="s">
        <v>60</v>
      </c>
      <c r="B36" s="26"/>
      <c r="C36" s="26" t="s">
        <v>42</v>
      </c>
      <c r="D36" s="42"/>
      <c r="E36" s="42"/>
      <c r="F36" s="42"/>
      <c r="G36" s="42"/>
      <c r="H36" s="43" t="str">
        <f t="shared" si="6"/>
        <v/>
      </c>
      <c r="I36" s="43" t="str">
        <f>IFERROR(VLOOKUP(B36,Settings!$A$8:$B$11,2,FALSE),"")</f>
        <v/>
      </c>
      <c r="J36" s="44"/>
      <c r="K36" s="44"/>
      <c r="L36" s="42" t="str">
        <f t="shared" si="7"/>
        <v/>
      </c>
      <c r="M36" s="43" t="str">
        <f>IFERROR(INDEX(MCSI_Table!$B$2:$E$72,MATCH(L36,MCSI_Table!$A$2:$A$72,0),MATCH(B36,MCSI_Table!$B$1:$E$1,0)),"")</f>
        <v/>
      </c>
      <c r="N36" s="44"/>
      <c r="O36" s="44"/>
      <c r="P36" s="42" t="str">
        <f t="shared" si="8"/>
        <v/>
      </c>
      <c r="Q36" s="43" t="str">
        <f>IFERROR(INDEX(MCSI_Table!$B$2:$E$72,MATCH(P36,MCSI_Table!$A$2:$A$72,0),MATCH(B36,MCSI_Table!$B$1:$E$1,0)),"")</f>
        <v/>
      </c>
      <c r="R36" s="43" t="str">
        <f t="shared" si="9"/>
        <v/>
      </c>
      <c r="S36" s="43" t="str">
        <f>IF(OR(B36="",H36="",COUNT(D36:F36)&lt;Settings!$B$5),"",ROUND((I36-H36)*Settings!$B$3,1))</f>
        <v/>
      </c>
      <c r="T36" s="43" t="str">
        <f t="shared" si="10"/>
        <v/>
      </c>
      <c r="U36" s="42" t="str">
        <f t="shared" si="11"/>
        <v/>
      </c>
      <c r="V36" s="58">
        <f>ScoresTable[[#This Row],[R1 Comp Scratch]]+ScoresTable[[#This Row],[R2 Comp Scratch]]</f>
        <v>0</v>
      </c>
      <c r="W36" s="59">
        <f>ScoresTable[[#This Row],[R1 Comp Centres]]+ScoresTable[[#This Row],[R2 Comp Centres]]</f>
        <v>0</v>
      </c>
    </row>
    <row r="37" spans="1:23" ht="22" customHeight="1">
      <c r="A37" s="47" t="s">
        <v>61</v>
      </c>
      <c r="B37" s="26"/>
      <c r="C37" s="48" t="s">
        <v>42</v>
      </c>
      <c r="D37" s="42"/>
      <c r="E37" s="42"/>
      <c r="F37" s="42"/>
      <c r="G37" s="42"/>
      <c r="H37" s="43" t="str">
        <f t="shared" si="6"/>
        <v/>
      </c>
      <c r="I37" s="43" t="str">
        <f>IFERROR(VLOOKUP(B37,Settings!$A$8:$B$11,2,FALSE),"")</f>
        <v/>
      </c>
      <c r="J37" s="44"/>
      <c r="K37" s="44"/>
      <c r="L37" s="42" t="str">
        <f t="shared" si="7"/>
        <v/>
      </c>
      <c r="M37" s="43" t="str">
        <f>IFERROR(INDEX(MCSI_Table!$B$2:$E$72,MATCH(L37,MCSI_Table!$A$2:$A$72,0),MATCH(B37,MCSI_Table!$B$1:$E$1,0)),"")</f>
        <v/>
      </c>
      <c r="N37" s="44"/>
      <c r="O37" s="44"/>
      <c r="P37" s="42" t="str">
        <f t="shared" si="8"/>
        <v/>
      </c>
      <c r="Q37" s="43" t="str">
        <f>IFERROR(INDEX(MCSI_Table!$B$2:$E$72,MATCH(P37,MCSI_Table!$A$2:$A$72,0),MATCH(B37,MCSI_Table!$B$1:$E$1,0)),"")</f>
        <v/>
      </c>
      <c r="R37" s="43" t="str">
        <f t="shared" si="9"/>
        <v/>
      </c>
      <c r="S37" s="43" t="str">
        <f>IF(OR(B37="",H37="",COUNT(D37:F37)&lt;Settings!$B$5),"",ROUND((I37-H37)*Settings!$B$3,1))</f>
        <v/>
      </c>
      <c r="T37" s="43" t="str">
        <f t="shared" si="10"/>
        <v/>
      </c>
      <c r="U37" s="42" t="str">
        <f t="shared" si="11"/>
        <v/>
      </c>
      <c r="V37" s="58">
        <f>ScoresTable[[#This Row],[R1 Comp Scratch]]+ScoresTable[[#This Row],[R2 Comp Scratch]]</f>
        <v>0</v>
      </c>
      <c r="W37" s="59">
        <f>ScoresTable[[#This Row],[R1 Comp Centres]]+ScoresTable[[#This Row],[R2 Comp Centres]]</f>
        <v>0</v>
      </c>
    </row>
    <row r="38" spans="1:23" ht="22" customHeight="1">
      <c r="A38" s="41" t="s">
        <v>62</v>
      </c>
      <c r="B38" s="26"/>
      <c r="C38" s="26" t="s">
        <v>63</v>
      </c>
      <c r="D38" s="42"/>
      <c r="E38" s="42"/>
      <c r="F38" s="42"/>
      <c r="G38" s="42"/>
      <c r="H38" s="43" t="str">
        <f t="shared" si="6"/>
        <v/>
      </c>
      <c r="I38" s="43" t="str">
        <f>IFERROR(VLOOKUP(B38,Settings!$A$8:$B$11,2,FALSE),"")</f>
        <v/>
      </c>
      <c r="J38" s="44"/>
      <c r="K38" s="44"/>
      <c r="L38" s="42" t="str">
        <f t="shared" si="7"/>
        <v/>
      </c>
      <c r="M38" s="43" t="str">
        <f>IFERROR(INDEX(MCSI_Table!$B$2:$E$72,MATCH(L38,MCSI_Table!$A$2:$A$72,0),MATCH(B38,MCSI_Table!$B$1:$E$1,0)),"")</f>
        <v/>
      </c>
      <c r="N38" s="44"/>
      <c r="O38" s="44"/>
      <c r="P38" s="42" t="str">
        <f t="shared" si="8"/>
        <v/>
      </c>
      <c r="Q38" s="43" t="str">
        <f>IFERROR(INDEX(MCSI_Table!$B$2:$E$72,MATCH(P38,MCSI_Table!$A$2:$A$72,0),MATCH(B38,MCSI_Table!$B$1:$E$1,0)),"")</f>
        <v/>
      </c>
      <c r="R38" s="43" t="str">
        <f t="shared" si="9"/>
        <v/>
      </c>
      <c r="S38" s="43" t="str">
        <f>IF(OR(B38="",H38="",COUNT(D38:F38)&lt;Settings!$B$5),"",ROUND((I38-H38)*Settings!$B$3,1))</f>
        <v/>
      </c>
      <c r="T38" s="43" t="str">
        <f t="shared" si="10"/>
        <v/>
      </c>
      <c r="U38" s="42" t="str">
        <f t="shared" si="11"/>
        <v/>
      </c>
      <c r="V38" s="58">
        <f>ScoresTable[[#This Row],[R1 Comp Scratch]]+ScoresTable[[#This Row],[R2 Comp Scratch]]</f>
        <v>0</v>
      </c>
      <c r="W38" s="59">
        <f>ScoresTable[[#This Row],[R1 Comp Centres]]+ScoresTable[[#This Row],[R2 Comp Centres]]</f>
        <v>0</v>
      </c>
    </row>
    <row r="39" spans="1:23" ht="22" customHeight="1">
      <c r="A39" s="41" t="s">
        <v>64</v>
      </c>
      <c r="B39" s="26"/>
      <c r="C39" s="26" t="s">
        <v>63</v>
      </c>
      <c r="D39" s="42"/>
      <c r="E39" s="42"/>
      <c r="F39" s="42"/>
      <c r="G39" s="42"/>
      <c r="H39" s="43" t="str">
        <f t="shared" si="6"/>
        <v/>
      </c>
      <c r="I39" s="43" t="str">
        <f>IFERROR(VLOOKUP(B39,Settings!$A$8:$B$11,2,FALSE),"")</f>
        <v/>
      </c>
      <c r="J39" s="44"/>
      <c r="K39" s="44"/>
      <c r="L39" s="42" t="str">
        <f t="shared" si="7"/>
        <v/>
      </c>
      <c r="M39" s="43" t="str">
        <f>IFERROR(INDEX(MCSI_Table!$B$2:$E$72,MATCH(L39,MCSI_Table!$A$2:$A$72,0),MATCH(B39,MCSI_Table!$B$1:$E$1,0)),"")</f>
        <v/>
      </c>
      <c r="N39" s="44"/>
      <c r="O39" s="44"/>
      <c r="P39" s="42" t="str">
        <f t="shared" si="8"/>
        <v/>
      </c>
      <c r="Q39" s="43" t="str">
        <f>IFERROR(INDEX(MCSI_Table!$B$2:$E$72,MATCH(P39,MCSI_Table!$A$2:$A$72,0),MATCH(B39,MCSI_Table!$B$1:$E$1,0)),"")</f>
        <v/>
      </c>
      <c r="R39" s="43" t="str">
        <f t="shared" si="9"/>
        <v/>
      </c>
      <c r="S39" s="43" t="str">
        <f>IF(OR(B39="",H39="",COUNT(D39:F39)&lt;Settings!$B$5),"",ROUND((I39-H39)*Settings!$B$3,1))</f>
        <v/>
      </c>
      <c r="T39" s="43" t="str">
        <f t="shared" si="10"/>
        <v/>
      </c>
      <c r="U39" s="42" t="str">
        <f t="shared" si="11"/>
        <v/>
      </c>
      <c r="V39" s="58">
        <f>ScoresTable[[#This Row],[R1 Comp Scratch]]+ScoresTable[[#This Row],[R2 Comp Scratch]]</f>
        <v>0</v>
      </c>
      <c r="W39" s="59">
        <f>ScoresTable[[#This Row],[R1 Comp Centres]]+ScoresTable[[#This Row],[R2 Comp Centres]]</f>
        <v>0</v>
      </c>
    </row>
    <row r="40" spans="1:23" ht="22" customHeight="1">
      <c r="A40" s="41" t="s">
        <v>36</v>
      </c>
      <c r="B40" s="26" t="s">
        <v>56</v>
      </c>
      <c r="C40" s="26" t="s">
        <v>65</v>
      </c>
      <c r="D40" s="42"/>
      <c r="E40" s="42">
        <v>169.5</v>
      </c>
      <c r="F40" s="42"/>
      <c r="G40" s="42"/>
      <c r="H40" s="43">
        <f t="shared" si="6"/>
        <v>169.5</v>
      </c>
      <c r="I40" s="43">
        <f>IFERROR(VLOOKUP(B40,Settings!$A$8:$B$11,2,FALSE),"")</f>
        <v>190</v>
      </c>
      <c r="J40" s="44"/>
      <c r="K40" s="44"/>
      <c r="L40" s="42" t="str">
        <f t="shared" si="7"/>
        <v/>
      </c>
      <c r="M40" s="43" t="str">
        <f>IFERROR(INDEX(MCSI_Table!$B$2:$E$72,MATCH(L40,MCSI_Table!$A$2:$A$72,0),MATCH(B40,MCSI_Table!$B$1:$E$1,0)),"")</f>
        <v/>
      </c>
      <c r="N40" s="44"/>
      <c r="O40" s="44"/>
      <c r="P40" s="42" t="str">
        <f t="shared" si="8"/>
        <v/>
      </c>
      <c r="Q40" s="43" t="str">
        <f>IFERROR(INDEX(MCSI_Table!$B$2:$E$72,MATCH(P40,MCSI_Table!$A$2:$A$72,0),MATCH(B40,MCSI_Table!$B$1:$E$1,0)),"")</f>
        <v/>
      </c>
      <c r="R40" s="43" t="str">
        <f t="shared" si="9"/>
        <v/>
      </c>
      <c r="S40" s="43">
        <f>IF(OR(B40="",H40="",COUNT(D40:F40)&lt;Settings!$B$5),"",ROUND((I40-H40)*Settings!$B$3,1))</f>
        <v>14.4</v>
      </c>
      <c r="T40" s="43" t="str">
        <f t="shared" si="10"/>
        <v/>
      </c>
      <c r="U40" s="42" t="str">
        <f t="shared" si="11"/>
        <v/>
      </c>
      <c r="V40" s="58">
        <f>ScoresTable[[#This Row],[R1 Comp Scratch]]+ScoresTable[[#This Row],[R2 Comp Scratch]]</f>
        <v>0</v>
      </c>
      <c r="W40" s="59">
        <f>ScoresTable[[#This Row],[R1 Comp Centres]]+ScoresTable[[#This Row],[R2 Comp Centres]]</f>
        <v>0</v>
      </c>
    </row>
    <row r="41" spans="1:23" ht="22" customHeight="1">
      <c r="A41" s="41" t="s">
        <v>66</v>
      </c>
      <c r="B41" s="26" t="s">
        <v>22</v>
      </c>
      <c r="C41" s="26" t="s">
        <v>65</v>
      </c>
      <c r="D41" s="42"/>
      <c r="E41" s="42">
        <v>184.3</v>
      </c>
      <c r="F41" s="42"/>
      <c r="G41" s="42"/>
      <c r="H41" s="43">
        <f t="shared" si="6"/>
        <v>184.3</v>
      </c>
      <c r="I41" s="43">
        <f>IFERROR(VLOOKUP(B41,Settings!$A$8:$B$11,2,FALSE),"")</f>
        <v>190</v>
      </c>
      <c r="J41" s="44"/>
      <c r="K41" s="44"/>
      <c r="L41" s="42" t="str">
        <f t="shared" si="7"/>
        <v/>
      </c>
      <c r="M41" s="43" t="str">
        <f>IFERROR(INDEX(MCSI_Table!$B$2:$E$72,MATCH(L41,MCSI_Table!$A$2:$A$72,0),MATCH(B41,MCSI_Table!$B$1:$E$1,0)),"")</f>
        <v/>
      </c>
      <c r="N41" s="44"/>
      <c r="O41" s="44"/>
      <c r="P41" s="42" t="str">
        <f t="shared" si="8"/>
        <v/>
      </c>
      <c r="Q41" s="43" t="str">
        <f>IFERROR(INDEX(MCSI_Table!$B$2:$E$72,MATCH(P41,MCSI_Table!$A$2:$A$72,0),MATCH(B41,MCSI_Table!$B$1:$E$1,0)),"")</f>
        <v/>
      </c>
      <c r="R41" s="43" t="str">
        <f t="shared" si="9"/>
        <v/>
      </c>
      <c r="S41" s="43">
        <f>IF(OR(B41="",H41="",COUNT(D41:F41)&lt;Settings!$B$5),"",ROUND((I41-H41)*Settings!$B$3,1))</f>
        <v>4</v>
      </c>
      <c r="T41" s="43" t="str">
        <f t="shared" si="10"/>
        <v/>
      </c>
      <c r="U41" s="42" t="str">
        <f t="shared" si="11"/>
        <v/>
      </c>
      <c r="V41" s="58">
        <f>ScoresTable[[#This Row],[R1 Comp Scratch]]+ScoresTable[[#This Row],[R2 Comp Scratch]]</f>
        <v>0</v>
      </c>
      <c r="W41" s="59">
        <f>ScoresTable[[#This Row],[R1 Comp Centres]]+ScoresTable[[#This Row],[R2 Comp Centres]]</f>
        <v>0</v>
      </c>
    </row>
    <row r="42" spans="1:23" ht="22" customHeight="1">
      <c r="A42" s="47" t="s">
        <v>67</v>
      </c>
      <c r="B42" s="26"/>
      <c r="C42" s="48" t="s">
        <v>65</v>
      </c>
      <c r="D42" s="42"/>
      <c r="E42" s="42"/>
      <c r="F42" s="42"/>
      <c r="G42" s="42"/>
      <c r="H42" s="43" t="str">
        <f t="shared" si="6"/>
        <v/>
      </c>
      <c r="I42" s="43" t="str">
        <f>IFERROR(VLOOKUP(B42,Settings!$A$8:$B$11,2,FALSE),"")</f>
        <v/>
      </c>
      <c r="J42" s="44"/>
      <c r="K42" s="44"/>
      <c r="L42" s="42" t="str">
        <f t="shared" si="7"/>
        <v/>
      </c>
      <c r="M42" s="43" t="str">
        <f>IFERROR(INDEX(MCSI_Table!$B$2:$E$72,MATCH(L42,MCSI_Table!$A$2:$A$72,0),MATCH(B42,MCSI_Table!$B$1:$E$1,0)),"")</f>
        <v/>
      </c>
      <c r="N42" s="44"/>
      <c r="O42" s="44"/>
      <c r="P42" s="42" t="str">
        <f t="shared" si="8"/>
        <v/>
      </c>
      <c r="Q42" s="43" t="str">
        <f>IFERROR(INDEX(MCSI_Table!$B$2:$E$72,MATCH(P42,MCSI_Table!$A$2:$A$72,0),MATCH(B42,MCSI_Table!$B$1:$E$1,0)),"")</f>
        <v/>
      </c>
      <c r="R42" s="43" t="str">
        <f t="shared" si="9"/>
        <v/>
      </c>
      <c r="S42" s="43" t="str">
        <f>IF(OR(B42="",H42="",COUNT(D42:F42)&lt;Settings!$B$5),"",ROUND((I42-H42)*Settings!$B$3,1))</f>
        <v/>
      </c>
      <c r="T42" s="43" t="str">
        <f t="shared" si="10"/>
        <v/>
      </c>
      <c r="U42" s="42" t="str">
        <f t="shared" si="11"/>
        <v/>
      </c>
      <c r="V42" s="58">
        <f>ScoresTable[[#This Row],[R1 Comp Scratch]]+ScoresTable[[#This Row],[R2 Comp Scratch]]</f>
        <v>0</v>
      </c>
      <c r="W42" s="59">
        <f>ScoresTable[[#This Row],[R1 Comp Centres]]+ScoresTable[[#This Row],[R2 Comp Centres]]</f>
        <v>0</v>
      </c>
    </row>
    <row r="43" spans="1:23" ht="22" customHeight="1">
      <c r="A43" s="41" t="s">
        <v>68</v>
      </c>
      <c r="B43" s="26" t="s">
        <v>22</v>
      </c>
      <c r="C43" s="26" t="s">
        <v>69</v>
      </c>
      <c r="D43" s="42"/>
      <c r="E43" s="42"/>
      <c r="F43" s="42"/>
      <c r="G43" s="42"/>
      <c r="H43" s="43" t="str">
        <f t="shared" si="6"/>
        <v/>
      </c>
      <c r="I43" s="43">
        <f>IFERROR(VLOOKUP(B43,Settings!$A$8:$B$11,2,FALSE),"")</f>
        <v>190</v>
      </c>
      <c r="J43" s="44"/>
      <c r="K43" s="44"/>
      <c r="L43" s="42" t="str">
        <f t="shared" si="7"/>
        <v/>
      </c>
      <c r="M43" s="43" t="str">
        <f>IFERROR(INDEX(MCSI_Table!$B$2:$E$72,MATCH(L43,MCSI_Table!$A$2:$A$72,0),MATCH(B43,MCSI_Table!$B$1:$E$1,0)),"")</f>
        <v/>
      </c>
      <c r="N43" s="44"/>
      <c r="O43" s="44"/>
      <c r="P43" s="42" t="str">
        <f t="shared" si="8"/>
        <v/>
      </c>
      <c r="Q43" s="43" t="str">
        <f>IFERROR(INDEX(MCSI_Table!$B$2:$E$72,MATCH(P43,MCSI_Table!$A$2:$A$72,0),MATCH(B43,MCSI_Table!$B$1:$E$1,0)),"")</f>
        <v/>
      </c>
      <c r="R43" s="43" t="str">
        <f t="shared" si="9"/>
        <v/>
      </c>
      <c r="S43" s="43" t="str">
        <f>IF(OR(B43="",H43="",COUNT(D43:F43)&lt;Settings!$B$5),"",ROUND((I43-H43)*Settings!$B$3,1))</f>
        <v/>
      </c>
      <c r="T43" s="43" t="str">
        <f t="shared" si="10"/>
        <v/>
      </c>
      <c r="U43" s="42" t="str">
        <f t="shared" si="11"/>
        <v/>
      </c>
      <c r="V43" s="58">
        <f>ScoresTable[[#This Row],[R1 Comp Scratch]]+ScoresTable[[#This Row],[R2 Comp Scratch]]</f>
        <v>0</v>
      </c>
      <c r="W43" s="59">
        <f>ScoresTable[[#This Row],[R1 Comp Centres]]+ScoresTable[[#This Row],[R2 Comp Centres]]</f>
        <v>0</v>
      </c>
    </row>
    <row r="44" spans="1:23" ht="22" customHeight="1">
      <c r="A44" s="41" t="s">
        <v>70</v>
      </c>
      <c r="B44" s="26" t="s">
        <v>56</v>
      </c>
      <c r="C44" s="26" t="s">
        <v>69</v>
      </c>
      <c r="D44" s="42"/>
      <c r="E44" s="42"/>
      <c r="F44" s="42"/>
      <c r="G44" s="42"/>
      <c r="H44" s="43" t="str">
        <f t="shared" si="6"/>
        <v/>
      </c>
      <c r="I44" s="43">
        <f>IFERROR(VLOOKUP(B44,Settings!$A$8:$B$11,2,FALSE),"")</f>
        <v>190</v>
      </c>
      <c r="J44" s="44"/>
      <c r="K44" s="44"/>
      <c r="L44" s="42" t="str">
        <f t="shared" si="7"/>
        <v/>
      </c>
      <c r="M44" s="43" t="str">
        <f>IFERROR(INDEX(MCSI_Table!$B$2:$E$72,MATCH(L44,MCSI_Table!$A$2:$A$72,0),MATCH(B44,MCSI_Table!$B$1:$E$1,0)),"")</f>
        <v/>
      </c>
      <c r="N44" s="44"/>
      <c r="O44" s="44"/>
      <c r="P44" s="42" t="str">
        <f t="shared" si="8"/>
        <v/>
      </c>
      <c r="Q44" s="43" t="str">
        <f>IFERROR(INDEX(MCSI_Table!$B$2:$E$72,MATCH(P44,MCSI_Table!$A$2:$A$72,0),MATCH(B44,MCSI_Table!$B$1:$E$1,0)),"")</f>
        <v/>
      </c>
      <c r="R44" s="43" t="str">
        <f t="shared" si="9"/>
        <v/>
      </c>
      <c r="S44" s="43" t="str">
        <f>IF(OR(B44="",H44="",COUNT(D44:F44)&lt;Settings!$B$5),"",ROUND((I44-H44)*Settings!$B$3,1))</f>
        <v/>
      </c>
      <c r="T44" s="43" t="str">
        <f t="shared" si="10"/>
        <v/>
      </c>
      <c r="U44" s="42" t="str">
        <f t="shared" si="11"/>
        <v/>
      </c>
      <c r="V44" s="58">
        <f>ScoresTable[[#This Row],[R1 Comp Scratch]]+ScoresTable[[#This Row],[R2 Comp Scratch]]</f>
        <v>0</v>
      </c>
      <c r="W44" s="59">
        <f>ScoresTable[[#This Row],[R1 Comp Centres]]+ScoresTable[[#This Row],[R2 Comp Centres]]</f>
        <v>0</v>
      </c>
    </row>
    <row r="45" spans="1:23" ht="22" customHeight="1">
      <c r="A45" s="47" t="s">
        <v>71</v>
      </c>
      <c r="B45" s="26"/>
      <c r="C45" s="48" t="s">
        <v>69</v>
      </c>
      <c r="D45" s="42"/>
      <c r="E45" s="42"/>
      <c r="F45" s="42"/>
      <c r="G45" s="42"/>
      <c r="H45" s="43" t="str">
        <f t="shared" si="6"/>
        <v/>
      </c>
      <c r="I45" s="43" t="str">
        <f>IFERROR(VLOOKUP(B45,Settings!$A$8:$B$11,2,FALSE),"")</f>
        <v/>
      </c>
      <c r="J45" s="44"/>
      <c r="K45" s="44"/>
      <c r="L45" s="42" t="str">
        <f t="shared" si="7"/>
        <v/>
      </c>
      <c r="M45" s="43" t="str">
        <f>IFERROR(INDEX(MCSI_Table!$B$2:$E$72,MATCH(L45,MCSI_Table!$A$2:$A$72,0),MATCH(B45,MCSI_Table!$B$1:$E$1,0)),"")</f>
        <v/>
      </c>
      <c r="N45" s="44"/>
      <c r="O45" s="44"/>
      <c r="P45" s="42" t="str">
        <f t="shared" si="8"/>
        <v/>
      </c>
      <c r="Q45" s="43" t="str">
        <f>IFERROR(INDEX(MCSI_Table!$B$2:$E$72,MATCH(P45,MCSI_Table!$A$2:$A$72,0),MATCH(B45,MCSI_Table!$B$1:$E$1,0)),"")</f>
        <v/>
      </c>
      <c r="R45" s="43" t="str">
        <f t="shared" si="9"/>
        <v/>
      </c>
      <c r="S45" s="43" t="str">
        <f>IF(OR(B45="",H45="",COUNT(D45:F45)&lt;Settings!$B$5),"",ROUND((I45-H45)*Settings!$B$3,1))</f>
        <v/>
      </c>
      <c r="T45" s="43" t="str">
        <f t="shared" si="10"/>
        <v/>
      </c>
      <c r="U45" s="42" t="str">
        <f t="shared" si="11"/>
        <v/>
      </c>
      <c r="V45" s="58">
        <f>ScoresTable[[#This Row],[R1 Comp Scratch]]+ScoresTable[[#This Row],[R2 Comp Scratch]]</f>
        <v>0</v>
      </c>
      <c r="W45" s="59">
        <f>ScoresTable[[#This Row],[R1 Comp Centres]]+ScoresTable[[#This Row],[R2 Comp Centres]]</f>
        <v>0</v>
      </c>
    </row>
    <row r="46" spans="1:23" ht="22" customHeight="1">
      <c r="A46" s="47" t="s">
        <v>72</v>
      </c>
      <c r="B46" s="26"/>
      <c r="C46" s="48" t="s">
        <v>69</v>
      </c>
      <c r="D46" s="42"/>
      <c r="E46" s="42"/>
      <c r="F46" s="42"/>
      <c r="G46" s="42"/>
      <c r="H46" s="43" t="str">
        <f t="shared" si="6"/>
        <v/>
      </c>
      <c r="I46" s="43" t="str">
        <f>IFERROR(VLOOKUP(B46,Settings!$A$8:$B$11,2,FALSE),"")</f>
        <v/>
      </c>
      <c r="J46" s="44"/>
      <c r="K46" s="44"/>
      <c r="L46" s="42" t="str">
        <f t="shared" si="7"/>
        <v/>
      </c>
      <c r="M46" s="43" t="str">
        <f>IFERROR(INDEX(MCSI_Table!$B$2:$E$72,MATCH(L46,MCSI_Table!$A$2:$A$72,0),MATCH(B46,MCSI_Table!$B$1:$E$1,0)),"")</f>
        <v/>
      </c>
      <c r="N46" s="44"/>
      <c r="O46" s="44"/>
      <c r="P46" s="42" t="str">
        <f t="shared" si="8"/>
        <v/>
      </c>
      <c r="Q46" s="43" t="str">
        <f>IFERROR(INDEX(MCSI_Table!$B$2:$E$72,MATCH(P46,MCSI_Table!$A$2:$A$72,0),MATCH(B46,MCSI_Table!$B$1:$E$1,0)),"")</f>
        <v/>
      </c>
      <c r="R46" s="43" t="str">
        <f t="shared" si="9"/>
        <v/>
      </c>
      <c r="S46" s="43" t="str">
        <f>IF(OR(B46="",H46="",COUNT(D46:F46)&lt;Settings!$B$5),"",ROUND((I46-H46)*Settings!$B$3,1))</f>
        <v/>
      </c>
      <c r="T46" s="43" t="str">
        <f t="shared" si="10"/>
        <v/>
      </c>
      <c r="U46" s="42" t="str">
        <f t="shared" si="11"/>
        <v/>
      </c>
      <c r="V46" s="58">
        <f>ScoresTable[[#This Row],[R1 Comp Scratch]]+ScoresTable[[#This Row],[R2 Comp Scratch]]</f>
        <v>0</v>
      </c>
      <c r="W46" s="59">
        <f>ScoresTable[[#This Row],[R1 Comp Centres]]+ScoresTable[[#This Row],[R2 Comp Centres]]</f>
        <v>0</v>
      </c>
    </row>
    <row r="47" spans="1:23" ht="22" customHeight="1">
      <c r="A47" s="41" t="s">
        <v>73</v>
      </c>
      <c r="B47" s="26"/>
      <c r="C47" s="26" t="s">
        <v>69</v>
      </c>
      <c r="D47" s="42"/>
      <c r="E47" s="42"/>
      <c r="F47" s="42"/>
      <c r="G47" s="42"/>
      <c r="H47" s="43" t="str">
        <f t="shared" si="6"/>
        <v/>
      </c>
      <c r="I47" s="43" t="str">
        <f>IFERROR(VLOOKUP(B47,Settings!$A$8:$B$11,2,FALSE),"")</f>
        <v/>
      </c>
      <c r="J47" s="44"/>
      <c r="K47" s="44"/>
      <c r="L47" s="42" t="str">
        <f t="shared" si="7"/>
        <v/>
      </c>
      <c r="M47" s="43" t="str">
        <f>IFERROR(INDEX(MCSI_Table!$B$2:$E$72,MATCH(L47,MCSI_Table!$A$2:$A$72,0),MATCH(B47,MCSI_Table!$B$1:$E$1,0)),"")</f>
        <v/>
      </c>
      <c r="N47" s="44"/>
      <c r="O47" s="44"/>
      <c r="P47" s="42" t="str">
        <f t="shared" si="8"/>
        <v/>
      </c>
      <c r="Q47" s="43" t="str">
        <f>IFERROR(INDEX(MCSI_Table!$B$2:$E$72,MATCH(P47,MCSI_Table!$A$2:$A$72,0),MATCH(B47,MCSI_Table!$B$1:$E$1,0)),"")</f>
        <v/>
      </c>
      <c r="R47" s="43" t="str">
        <f t="shared" si="9"/>
        <v/>
      </c>
      <c r="S47" s="43" t="str">
        <f>IF(OR(B47="",H47="",COUNT(D47:F47)&lt;Settings!$B$5),"",ROUND((I47-H47)*Settings!$B$3,1))</f>
        <v/>
      </c>
      <c r="T47" s="43" t="str">
        <f t="shared" si="10"/>
        <v/>
      </c>
      <c r="U47" s="42" t="str">
        <f t="shared" si="11"/>
        <v/>
      </c>
      <c r="V47" s="58">
        <f>ScoresTable[[#This Row],[R1 Comp Scratch]]+ScoresTable[[#This Row],[R2 Comp Scratch]]</f>
        <v>0</v>
      </c>
      <c r="W47" s="59">
        <f>ScoresTable[[#This Row],[R1 Comp Centres]]+ScoresTable[[#This Row],[R2 Comp Centres]]</f>
        <v>0</v>
      </c>
    </row>
    <row r="48" spans="1:23" ht="22" customHeight="1">
      <c r="A48" s="41" t="s">
        <v>74</v>
      </c>
      <c r="B48" s="26"/>
      <c r="C48" s="26" t="s">
        <v>69</v>
      </c>
      <c r="D48" s="42"/>
      <c r="E48" s="42"/>
      <c r="F48" s="42"/>
      <c r="G48" s="42"/>
      <c r="H48" s="43" t="str">
        <f t="shared" si="6"/>
        <v/>
      </c>
      <c r="I48" s="43" t="str">
        <f>IFERROR(VLOOKUP(B48,Settings!$A$8:$B$11,2,FALSE),"")</f>
        <v/>
      </c>
      <c r="J48" s="44"/>
      <c r="K48" s="44"/>
      <c r="L48" s="42" t="str">
        <f t="shared" si="7"/>
        <v/>
      </c>
      <c r="M48" s="43" t="str">
        <f>IFERROR(INDEX(MCSI_Table!$B$2:$E$72,MATCH(L48,MCSI_Table!$A$2:$A$72,0),MATCH(B48,MCSI_Table!$B$1:$E$1,0)),"")</f>
        <v/>
      </c>
      <c r="N48" s="44"/>
      <c r="O48" s="44"/>
      <c r="P48" s="42" t="str">
        <f t="shared" si="8"/>
        <v/>
      </c>
      <c r="Q48" s="43" t="str">
        <f>IFERROR(INDEX(MCSI_Table!$B$2:$E$72,MATCH(P48,MCSI_Table!$A$2:$A$72,0),MATCH(B48,MCSI_Table!$B$1:$E$1,0)),"")</f>
        <v/>
      </c>
      <c r="R48" s="43" t="str">
        <f t="shared" si="9"/>
        <v/>
      </c>
      <c r="S48" s="43" t="str">
        <f>IF(OR(B48="",H48="",COUNT(D48:F48)&lt;Settings!$B$5),"",ROUND((I48-H48)*Settings!$B$3,1))</f>
        <v/>
      </c>
      <c r="T48" s="43" t="str">
        <f t="shared" si="10"/>
        <v/>
      </c>
      <c r="U48" s="42" t="str">
        <f t="shared" si="11"/>
        <v/>
      </c>
      <c r="V48" s="58">
        <f>ScoresTable[[#This Row],[R1 Comp Scratch]]+ScoresTable[[#This Row],[R2 Comp Scratch]]</f>
        <v>0</v>
      </c>
      <c r="W48" s="59">
        <f>ScoresTable[[#This Row],[R1 Comp Centres]]+ScoresTable[[#This Row],[R2 Comp Centres]]</f>
        <v>0</v>
      </c>
    </row>
    <row r="49" spans="1:27" ht="22" customHeight="1">
      <c r="A49" s="47" t="s">
        <v>75</v>
      </c>
      <c r="B49" s="26"/>
      <c r="C49" s="48" t="s">
        <v>69</v>
      </c>
      <c r="D49" s="42"/>
      <c r="E49" s="42"/>
      <c r="F49" s="42"/>
      <c r="G49" s="42"/>
      <c r="H49" s="43" t="str">
        <f t="shared" si="6"/>
        <v/>
      </c>
      <c r="I49" s="43" t="str">
        <f>IFERROR(VLOOKUP(B49,Settings!$A$8:$B$11,2,FALSE),"")</f>
        <v/>
      </c>
      <c r="J49" s="44"/>
      <c r="K49" s="44"/>
      <c r="L49" s="42" t="str">
        <f t="shared" si="7"/>
        <v/>
      </c>
      <c r="M49" s="43" t="str">
        <f>IFERROR(INDEX(MCSI_Table!$B$2:$E$72,MATCH(L49,MCSI_Table!$A$2:$A$72,0),MATCH(B49,MCSI_Table!$B$1:$E$1,0)),"")</f>
        <v/>
      </c>
      <c r="N49" s="44"/>
      <c r="O49" s="44"/>
      <c r="P49" s="42" t="str">
        <f t="shared" si="8"/>
        <v/>
      </c>
      <c r="Q49" s="43" t="str">
        <f>IFERROR(INDEX(MCSI_Table!$B$2:$E$72,MATCH(P49,MCSI_Table!$A$2:$A$72,0),MATCH(B49,MCSI_Table!$B$1:$E$1,0)),"")</f>
        <v/>
      </c>
      <c r="R49" s="43" t="str">
        <f t="shared" si="9"/>
        <v/>
      </c>
      <c r="S49" s="43" t="str">
        <f>IF(OR(B49="",H49="",COUNT(D49:F49)&lt;Settings!$B$5),"",ROUND((I49-H49)*Settings!$B$3,1))</f>
        <v/>
      </c>
      <c r="T49" s="43" t="str">
        <f t="shared" si="10"/>
        <v/>
      </c>
      <c r="U49" s="42" t="str">
        <f t="shared" si="11"/>
        <v/>
      </c>
      <c r="V49" s="58">
        <f>ScoresTable[[#This Row],[R1 Comp Scratch]]+ScoresTable[[#This Row],[R2 Comp Scratch]]</f>
        <v>0</v>
      </c>
      <c r="W49" s="59">
        <f>ScoresTable[[#This Row],[R1 Comp Centres]]+ScoresTable[[#This Row],[R2 Comp Centres]]</f>
        <v>0</v>
      </c>
    </row>
    <row r="50" spans="1:27" ht="22" customHeight="1">
      <c r="A50" s="41" t="s">
        <v>76</v>
      </c>
      <c r="B50" s="26"/>
      <c r="C50" s="26" t="s">
        <v>69</v>
      </c>
      <c r="D50" s="42"/>
      <c r="E50" s="42"/>
      <c r="F50" s="42"/>
      <c r="G50" s="42"/>
      <c r="H50" s="43" t="str">
        <f t="shared" si="6"/>
        <v/>
      </c>
      <c r="I50" s="43" t="str">
        <f>IFERROR(VLOOKUP(B50,Settings!$A$8:$B$11,2,FALSE),"")</f>
        <v/>
      </c>
      <c r="J50" s="44"/>
      <c r="K50" s="44"/>
      <c r="L50" s="42" t="str">
        <f t="shared" si="7"/>
        <v/>
      </c>
      <c r="M50" s="43" t="str">
        <f>IFERROR(INDEX(MCSI_Table!$B$2:$E$72,MATCH(L50,MCSI_Table!$A$2:$A$72,0),MATCH(B50,MCSI_Table!$B$1:$E$1,0)),"")</f>
        <v/>
      </c>
      <c r="N50" s="44"/>
      <c r="O50" s="44"/>
      <c r="P50" s="42" t="str">
        <f t="shared" si="8"/>
        <v/>
      </c>
      <c r="Q50" s="43" t="str">
        <f>IFERROR(INDEX(MCSI_Table!$B$2:$E$72,MATCH(P50,MCSI_Table!$A$2:$A$72,0),MATCH(B50,MCSI_Table!$B$1:$E$1,0)),"")</f>
        <v/>
      </c>
      <c r="R50" s="43" t="str">
        <f t="shared" si="9"/>
        <v/>
      </c>
      <c r="S50" s="43" t="str">
        <f>IF(OR(B50="",H50="",COUNT(D50:F50)&lt;Settings!$B$5),"",ROUND((I50-H50)*Settings!$B$3,1))</f>
        <v/>
      </c>
      <c r="T50" s="43" t="str">
        <f t="shared" si="10"/>
        <v/>
      </c>
      <c r="U50" s="42" t="str">
        <f t="shared" si="11"/>
        <v/>
      </c>
      <c r="V50" s="58">
        <f>ScoresTable[[#This Row],[R1 Comp Scratch]]+ScoresTable[[#This Row],[R2 Comp Scratch]]</f>
        <v>0</v>
      </c>
      <c r="W50" s="59">
        <f>ScoresTable[[#This Row],[R1 Comp Centres]]+ScoresTable[[#This Row],[R2 Comp Centres]]</f>
        <v>0</v>
      </c>
    </row>
    <row r="51" spans="1:27" ht="22" customHeight="1">
      <c r="A51" s="49"/>
      <c r="B51" s="50"/>
      <c r="C51" s="50"/>
      <c r="D51" s="51"/>
      <c r="E51" s="51"/>
      <c r="F51" s="51"/>
      <c r="G51" s="51"/>
      <c r="H51" s="52" t="str">
        <f t="shared" si="6"/>
        <v/>
      </c>
      <c r="I51" s="52" t="str">
        <f>IFERROR(VLOOKUP(B51,Settings!$A$8:$B$11,2,FALSE),"")</f>
        <v/>
      </c>
      <c r="J51" s="53"/>
      <c r="K51" s="53"/>
      <c r="L51" s="51" t="str">
        <f t="shared" si="7"/>
        <v/>
      </c>
      <c r="M51" s="52" t="str">
        <f>IFERROR(INDEX(MCSI_Table!$B$2:$E$72,MATCH(L51,MCSI_Table!$A$2:$A$72,0),MATCH(B51,MCSI_Table!$B$1:$E$1,0)),"")</f>
        <v/>
      </c>
      <c r="N51" s="53"/>
      <c r="O51" s="53"/>
      <c r="P51" s="51" t="str">
        <f t="shared" si="8"/>
        <v/>
      </c>
      <c r="Q51" s="52" t="str">
        <f>IFERROR(INDEX(MCSI_Table!$B$2:$E$72,MATCH(P51,MCSI_Table!$A$2:$A$72,0),MATCH(B51,MCSI_Table!$B$1:$E$1,0)),"")</f>
        <v/>
      </c>
      <c r="R51" s="52" t="str">
        <f t="shared" si="9"/>
        <v/>
      </c>
      <c r="S51" s="52" t="str">
        <f>IF(OR(B51="",H51="",COUNT(D51:F51)&lt;Settings!$B$5),"",ROUND((I51-H51)*Settings!$B$3,1))</f>
        <v/>
      </c>
      <c r="T51" s="52" t="str">
        <f t="shared" si="10"/>
        <v/>
      </c>
      <c r="U51" s="51" t="str">
        <f t="shared" si="11"/>
        <v/>
      </c>
      <c r="V51" s="60">
        <f>ScoresTable[[#This Row],[R1 Comp Scratch]]+ScoresTable[[#This Row],[R2 Comp Scratch]]</f>
        <v>0</v>
      </c>
      <c r="W51" s="61">
        <f>ScoresTable[[#This Row],[R1 Comp Centres]]+ScoresTable[[#This Row],[R2 Comp Centres]]</f>
        <v>0</v>
      </c>
    </row>
    <row r="56" spans="1:27" ht="15.5">
      <c r="K56" s="27" t="s">
        <v>114</v>
      </c>
      <c r="L56" s="55"/>
      <c r="M56" s="55"/>
      <c r="N56" s="55"/>
      <c r="W56" s="23"/>
      <c r="X56" s="24"/>
      <c r="Y56" s="24"/>
      <c r="Z56" s="24"/>
      <c r="AA56" s="24"/>
    </row>
    <row r="57" spans="1:27" ht="8" customHeight="1" thickBot="1">
      <c r="K57" s="55"/>
      <c r="L57" s="55"/>
      <c r="M57" s="55"/>
      <c r="N57" s="55"/>
      <c r="W57" s="15"/>
      <c r="X57" s="24"/>
      <c r="Y57" s="14"/>
      <c r="Z57" s="14"/>
      <c r="AA57" s="24"/>
    </row>
    <row r="58" spans="1:27" ht="34" customHeight="1">
      <c r="K58" s="28" t="s">
        <v>20</v>
      </c>
      <c r="L58" s="29" t="s">
        <v>2</v>
      </c>
      <c r="M58" s="29" t="s">
        <v>117</v>
      </c>
      <c r="N58" s="29" t="s">
        <v>19</v>
      </c>
      <c r="O58" s="30" t="s">
        <v>113</v>
      </c>
      <c r="Q58" s="23"/>
      <c r="R58" s="23"/>
      <c r="S58" s="23"/>
      <c r="T58" s="23"/>
      <c r="U58" s="23"/>
      <c r="W58" s="15"/>
      <c r="X58" s="14"/>
      <c r="Y58" s="14"/>
      <c r="Z58" s="14"/>
      <c r="AA58" s="14"/>
    </row>
    <row r="59" spans="1:27" ht="25" customHeight="1">
      <c r="K59" s="37">
        <v>1</v>
      </c>
      <c r="L59" s="25" t="s">
        <v>23</v>
      </c>
      <c r="M59" s="25">
        <v>3</v>
      </c>
      <c r="N59" s="25">
        <v>532.79999999999995</v>
      </c>
      <c r="O59" s="32">
        <v>177.6</v>
      </c>
      <c r="Q59" s="14"/>
      <c r="R59" s="14"/>
      <c r="S59" s="14"/>
      <c r="T59" s="14"/>
      <c r="U59" s="24"/>
      <c r="W59" s="15"/>
      <c r="X59" s="14"/>
      <c r="Y59" s="14"/>
      <c r="Z59" s="14"/>
      <c r="AA59" s="14"/>
    </row>
    <row r="60" spans="1:27" ht="25" customHeight="1">
      <c r="K60" s="31">
        <v>2</v>
      </c>
      <c r="L60" s="26" t="s">
        <v>29</v>
      </c>
      <c r="M60" s="26">
        <v>5</v>
      </c>
      <c r="N60" s="26">
        <v>866.9</v>
      </c>
      <c r="O60" s="33">
        <v>173.38</v>
      </c>
      <c r="Q60" s="14"/>
      <c r="R60" s="14"/>
      <c r="S60" s="14"/>
      <c r="T60" s="14"/>
      <c r="U60" s="24"/>
    </row>
    <row r="61" spans="1:27" ht="25" customHeight="1" thickBot="1">
      <c r="K61" s="34">
        <v>3</v>
      </c>
      <c r="L61" s="35" t="s">
        <v>42</v>
      </c>
      <c r="M61" s="35">
        <v>4</v>
      </c>
      <c r="N61" s="35">
        <v>688.6</v>
      </c>
      <c r="O61" s="36">
        <v>172.15</v>
      </c>
      <c r="Q61" s="14"/>
      <c r="R61" s="14"/>
      <c r="S61" s="14"/>
      <c r="T61" s="14"/>
      <c r="U61" s="24"/>
    </row>
    <row r="63" spans="1:27" ht="15.5">
      <c r="K63" s="27" t="s">
        <v>118</v>
      </c>
    </row>
    <row r="64" spans="1:27" ht="8" customHeight="1" thickBot="1"/>
    <row r="65" spans="11:21" ht="56">
      <c r="K65" s="28" t="s">
        <v>20</v>
      </c>
      <c r="L65" s="29" t="s">
        <v>2</v>
      </c>
      <c r="M65" s="29" t="s">
        <v>117</v>
      </c>
      <c r="N65" s="29" t="s">
        <v>115</v>
      </c>
      <c r="O65" s="30" t="s">
        <v>116</v>
      </c>
      <c r="Q65" s="23"/>
      <c r="R65" s="23"/>
      <c r="S65" s="23"/>
      <c r="T65" s="23"/>
      <c r="U65" s="23"/>
    </row>
    <row r="66" spans="11:21" ht="25" customHeight="1">
      <c r="K66" s="37">
        <v>1</v>
      </c>
      <c r="L66" s="25" t="s">
        <v>23</v>
      </c>
      <c r="M66" s="25">
        <v>3</v>
      </c>
      <c r="N66" s="25">
        <v>607.79999999999995</v>
      </c>
      <c r="O66" s="32">
        <v>202.6</v>
      </c>
      <c r="Q66" s="14"/>
      <c r="R66" s="14"/>
      <c r="S66" s="14"/>
      <c r="T66" s="14"/>
      <c r="U66" s="24"/>
    </row>
    <row r="67" spans="11:21" ht="25" customHeight="1">
      <c r="K67" s="31">
        <v>2</v>
      </c>
      <c r="L67" s="26" t="s">
        <v>42</v>
      </c>
      <c r="M67" s="26">
        <v>4</v>
      </c>
      <c r="N67" s="26">
        <v>770.4</v>
      </c>
      <c r="O67" s="33">
        <v>192.6</v>
      </c>
      <c r="Q67" s="14"/>
      <c r="R67" s="14"/>
      <c r="S67" s="14"/>
      <c r="T67" s="14"/>
      <c r="U67" s="24"/>
    </row>
    <row r="68" spans="11:21" ht="25" customHeight="1" thickBot="1">
      <c r="K68" s="34">
        <v>3</v>
      </c>
      <c r="L68" s="35" t="s">
        <v>29</v>
      </c>
      <c r="M68" s="35">
        <v>5</v>
      </c>
      <c r="N68" s="35">
        <v>941.2</v>
      </c>
      <c r="O68" s="36">
        <v>188.24</v>
      </c>
      <c r="Q68" s="14"/>
      <c r="R68" s="14"/>
      <c r="S68" s="14"/>
      <c r="T68" s="14"/>
      <c r="U68" s="24"/>
    </row>
    <row r="70" spans="11:21" ht="15.5">
      <c r="K70" s="27" t="s">
        <v>121</v>
      </c>
      <c r="L70" s="55"/>
      <c r="M70" s="55"/>
      <c r="N70" s="55"/>
      <c r="P70" s="55"/>
    </row>
    <row r="71" spans="11:21" ht="8.5" customHeight="1" thickBot="1">
      <c r="K71" s="55"/>
      <c r="L71" s="55"/>
      <c r="M71" s="55"/>
      <c r="N71" s="55"/>
      <c r="P71" s="55"/>
    </row>
    <row r="72" spans="11:21" ht="42" customHeight="1">
      <c r="K72" s="28" t="s">
        <v>20</v>
      </c>
      <c r="L72" s="29" t="s">
        <v>2</v>
      </c>
      <c r="M72" s="29" t="s">
        <v>112</v>
      </c>
      <c r="N72" s="29" t="s">
        <v>122</v>
      </c>
      <c r="O72" s="30" t="s">
        <v>123</v>
      </c>
      <c r="P72" s="55"/>
    </row>
    <row r="73" spans="11:21" ht="25" customHeight="1">
      <c r="K73" s="37">
        <v>1</v>
      </c>
      <c r="L73" s="25" t="s">
        <v>29</v>
      </c>
      <c r="M73" s="25">
        <v>1</v>
      </c>
      <c r="N73" s="25">
        <v>99</v>
      </c>
      <c r="O73" s="32">
        <v>99</v>
      </c>
      <c r="P73" s="55"/>
    </row>
    <row r="74" spans="11:21" ht="25" customHeight="1">
      <c r="K74" s="31">
        <v>2</v>
      </c>
      <c r="L74" s="26" t="s">
        <v>63</v>
      </c>
      <c r="M74" s="26">
        <v>3</v>
      </c>
      <c r="N74" s="26">
        <v>294</v>
      </c>
      <c r="O74" s="33">
        <v>98</v>
      </c>
      <c r="P74" s="55"/>
    </row>
    <row r="75" spans="11:21" ht="25" customHeight="1" thickBot="1">
      <c r="K75" s="34">
        <v>3</v>
      </c>
      <c r="L75" s="35" t="s">
        <v>23</v>
      </c>
      <c r="M75" s="35">
        <v>3</v>
      </c>
      <c r="N75" s="35">
        <v>267</v>
      </c>
      <c r="O75" s="36">
        <v>89</v>
      </c>
      <c r="P75" s="55"/>
    </row>
    <row r="76" spans="11:21">
      <c r="K76" s="55"/>
      <c r="L76" s="55"/>
      <c r="M76" s="55"/>
      <c r="N76" s="55"/>
      <c r="P76" s="55"/>
    </row>
    <row r="77" spans="11:21" ht="15.5">
      <c r="K77" s="27" t="s">
        <v>124</v>
      </c>
      <c r="L77" s="55"/>
      <c r="M77" s="55"/>
      <c r="N77" s="55"/>
      <c r="P77" s="55"/>
    </row>
    <row r="78" spans="11:21" ht="8.5" customHeight="1" thickBot="1">
      <c r="K78" s="55"/>
      <c r="L78" s="55"/>
      <c r="M78" s="55"/>
      <c r="N78" s="55"/>
      <c r="P78" s="55"/>
    </row>
    <row r="79" spans="11:21" ht="41.5" customHeight="1">
      <c r="K79" s="28" t="s">
        <v>20</v>
      </c>
      <c r="L79" s="29" t="s">
        <v>2</v>
      </c>
      <c r="M79" s="29" t="s">
        <v>112</v>
      </c>
      <c r="N79" s="29" t="s">
        <v>125</v>
      </c>
      <c r="O79" s="30" t="s">
        <v>126</v>
      </c>
      <c r="P79" s="55"/>
    </row>
    <row r="80" spans="11:21" ht="25" customHeight="1">
      <c r="K80" s="31">
        <v>1</v>
      </c>
      <c r="L80" s="26" t="s">
        <v>63</v>
      </c>
      <c r="M80" s="26">
        <v>3</v>
      </c>
      <c r="N80" s="26">
        <v>308.61</v>
      </c>
      <c r="O80" s="33">
        <v>102.87</v>
      </c>
      <c r="P80" s="55"/>
    </row>
    <row r="81" spans="11:16" ht="25" customHeight="1">
      <c r="K81" s="31">
        <v>2</v>
      </c>
      <c r="L81" s="26" t="s">
        <v>29</v>
      </c>
      <c r="M81" s="26">
        <v>1</v>
      </c>
      <c r="N81" s="26">
        <v>100.32</v>
      </c>
      <c r="O81" s="33">
        <v>100.32</v>
      </c>
      <c r="P81" s="55"/>
    </row>
    <row r="82" spans="11:16" ht="25" customHeight="1" thickBot="1">
      <c r="K82" s="34">
        <v>3</v>
      </c>
      <c r="L82" s="35" t="s">
        <v>23</v>
      </c>
      <c r="M82" s="35">
        <v>3</v>
      </c>
      <c r="N82" s="35">
        <v>288.3</v>
      </c>
      <c r="O82" s="36">
        <v>96.1</v>
      </c>
      <c r="P82" s="55"/>
    </row>
    <row r="83" spans="11:16">
      <c r="K83" s="55"/>
      <c r="L83" s="55"/>
      <c r="M83" s="55"/>
      <c r="N83" s="55"/>
      <c r="P83" s="55"/>
    </row>
    <row r="84" spans="11:16" ht="15.5">
      <c r="K84" s="27" t="s">
        <v>127</v>
      </c>
      <c r="L84" s="55"/>
      <c r="M84" s="55"/>
      <c r="N84" s="55"/>
    </row>
    <row r="85" spans="11:16" ht="7" customHeight="1" thickBot="1">
      <c r="K85" s="55"/>
      <c r="L85" s="55"/>
      <c r="M85" s="55"/>
      <c r="N85" s="55"/>
    </row>
    <row r="86" spans="11:16" ht="42.5" customHeight="1">
      <c r="K86" s="28" t="s">
        <v>20</v>
      </c>
      <c r="L86" s="28" t="s">
        <v>2</v>
      </c>
      <c r="M86" s="28" t="s">
        <v>112</v>
      </c>
      <c r="N86" s="28" t="s">
        <v>122</v>
      </c>
      <c r="O86" s="28" t="s">
        <v>123</v>
      </c>
    </row>
    <row r="87" spans="11:16" ht="25" customHeight="1">
      <c r="K87" s="25">
        <v>1</v>
      </c>
      <c r="L87" s="25" t="s">
        <v>42</v>
      </c>
      <c r="M87" s="25">
        <v>4</v>
      </c>
      <c r="N87" s="25">
        <v>393</v>
      </c>
      <c r="O87" s="25">
        <v>98.25</v>
      </c>
    </row>
    <row r="88" spans="11:16" ht="25" customHeight="1">
      <c r="K88" s="26">
        <v>2</v>
      </c>
      <c r="L88" s="26" t="s">
        <v>29</v>
      </c>
      <c r="M88" s="26">
        <v>5</v>
      </c>
      <c r="N88" s="26">
        <v>490</v>
      </c>
      <c r="O88" s="26">
        <v>98</v>
      </c>
    </row>
    <row r="89" spans="11:16">
      <c r="K89" s="55"/>
      <c r="L89" s="55"/>
      <c r="M89" s="55"/>
      <c r="N89" s="55"/>
    </row>
    <row r="90" spans="11:16" ht="15.5">
      <c r="K90" s="27" t="s">
        <v>128</v>
      </c>
      <c r="L90" s="55"/>
      <c r="M90" s="55"/>
      <c r="N90" s="55"/>
    </row>
    <row r="91" spans="11:16" ht="7.5" customHeight="1" thickBot="1">
      <c r="K91" s="55"/>
      <c r="L91" s="55"/>
      <c r="M91" s="55"/>
      <c r="N91" s="55"/>
    </row>
    <row r="92" spans="11:16" ht="41.5" customHeight="1">
      <c r="K92" s="28" t="s">
        <v>20</v>
      </c>
      <c r="L92" s="28" t="s">
        <v>2</v>
      </c>
      <c r="M92" s="28" t="s">
        <v>112</v>
      </c>
      <c r="N92" s="28" t="s">
        <v>125</v>
      </c>
      <c r="O92" s="28" t="s">
        <v>126</v>
      </c>
    </row>
    <row r="93" spans="11:16" ht="25" customHeight="1">
      <c r="K93" s="26">
        <v>1</v>
      </c>
      <c r="L93" s="25" t="s">
        <v>29</v>
      </c>
      <c r="M93" s="26">
        <v>5</v>
      </c>
      <c r="N93" s="26">
        <v>505.55</v>
      </c>
      <c r="O93" s="25">
        <v>101.11</v>
      </c>
    </row>
    <row r="94" spans="11:16" ht="25" customHeight="1">
      <c r="K94" s="26">
        <v>2</v>
      </c>
      <c r="L94" s="26" t="s">
        <v>42</v>
      </c>
      <c r="M94" s="26">
        <v>4</v>
      </c>
      <c r="N94" s="26">
        <v>401.69</v>
      </c>
      <c r="O94" s="26">
        <v>100.42</v>
      </c>
    </row>
  </sheetData>
  <phoneticPr fontId="7" type="noConversion"/>
  <conditionalFormatting sqref="T3:T51">
    <cfRule type="colorScale" priority="5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workbookViewId="0"/>
  </sheetViews>
  <sheetFormatPr defaultRowHeight="14"/>
  <cols>
    <col min="1" max="1" width="13.33203125" customWidth="1"/>
    <col min="2" max="2" width="4.33203125" customWidth="1"/>
    <col min="3" max="3" width="5.33203125" customWidth="1"/>
    <col min="4" max="4" width="4.33203125" customWidth="1"/>
    <col min="5" max="5" width="4.58203125" customWidth="1"/>
  </cols>
  <sheetData>
    <row r="1" spans="1:5">
      <c r="A1" s="5" t="s">
        <v>77</v>
      </c>
      <c r="B1" s="3" t="s">
        <v>78</v>
      </c>
      <c r="C1" s="3" t="s">
        <v>22</v>
      </c>
      <c r="D1" s="3" t="s">
        <v>32</v>
      </c>
      <c r="E1" s="3" t="s">
        <v>56</v>
      </c>
    </row>
    <row r="2" spans="1:5">
      <c r="A2" s="4">
        <v>0</v>
      </c>
      <c r="B2" s="4">
        <v>0</v>
      </c>
      <c r="C2" s="4">
        <v>0</v>
      </c>
      <c r="D2" s="4">
        <v>0</v>
      </c>
      <c r="E2" s="4">
        <v>0</v>
      </c>
    </row>
    <row r="3" spans="1:5">
      <c r="A3" s="4">
        <v>1</v>
      </c>
      <c r="B3" s="4">
        <v>1.7</v>
      </c>
      <c r="C3" s="4">
        <v>1.4</v>
      </c>
      <c r="D3" s="4">
        <v>1.3</v>
      </c>
      <c r="E3" s="4">
        <v>1.3</v>
      </c>
    </row>
    <row r="4" spans="1:5">
      <c r="A4" s="4">
        <v>2</v>
      </c>
      <c r="B4" s="4">
        <v>3.4</v>
      </c>
      <c r="C4" s="4">
        <v>2.9</v>
      </c>
      <c r="D4" s="4">
        <v>2.6</v>
      </c>
      <c r="E4" s="4">
        <v>2.7</v>
      </c>
    </row>
    <row r="5" spans="1:5">
      <c r="A5" s="4">
        <v>3</v>
      </c>
      <c r="B5" s="4">
        <v>5.0999999999999996</v>
      </c>
      <c r="C5" s="4">
        <v>4.3</v>
      </c>
      <c r="D5" s="4">
        <v>3.8</v>
      </c>
      <c r="E5" s="4">
        <v>4</v>
      </c>
    </row>
    <row r="6" spans="1:5">
      <c r="A6" s="4">
        <v>4</v>
      </c>
      <c r="B6" s="4">
        <v>6.8</v>
      </c>
      <c r="C6" s="4">
        <v>5.7</v>
      </c>
      <c r="D6" s="4">
        <v>5.0999999999999996</v>
      </c>
      <c r="E6" s="4">
        <v>5.4</v>
      </c>
    </row>
    <row r="7" spans="1:5">
      <c r="A7" s="4">
        <v>5</v>
      </c>
      <c r="B7" s="4">
        <v>8.5</v>
      </c>
      <c r="C7" s="4">
        <v>7.1</v>
      </c>
      <c r="D7" s="4">
        <v>6.4</v>
      </c>
      <c r="E7" s="4">
        <v>6.7</v>
      </c>
    </row>
    <row r="8" spans="1:5">
      <c r="A8" s="4">
        <v>6</v>
      </c>
      <c r="B8" s="4">
        <v>10.199999999999999</v>
      </c>
      <c r="C8" s="4">
        <v>8.6</v>
      </c>
      <c r="D8" s="4">
        <v>7.7</v>
      </c>
      <c r="E8" s="4">
        <v>8.1</v>
      </c>
    </row>
    <row r="9" spans="1:5">
      <c r="A9" s="4">
        <v>7</v>
      </c>
      <c r="B9" s="4">
        <v>11.9</v>
      </c>
      <c r="C9" s="4">
        <v>10</v>
      </c>
      <c r="D9" s="4">
        <v>8.9</v>
      </c>
      <c r="E9" s="4">
        <v>9.4</v>
      </c>
    </row>
    <row r="10" spans="1:5">
      <c r="A10" s="4">
        <v>8</v>
      </c>
      <c r="B10" s="4">
        <v>13.6</v>
      </c>
      <c r="C10" s="4">
        <v>11.4</v>
      </c>
      <c r="D10" s="4">
        <v>10.199999999999999</v>
      </c>
      <c r="E10" s="4">
        <v>10.8</v>
      </c>
    </row>
    <row r="11" spans="1:5">
      <c r="A11" s="4">
        <v>9</v>
      </c>
      <c r="B11" s="4">
        <v>15.3</v>
      </c>
      <c r="C11" s="4">
        <v>12.9</v>
      </c>
      <c r="D11" s="4">
        <v>11.5</v>
      </c>
      <c r="E11" s="4">
        <v>12.1</v>
      </c>
    </row>
    <row r="12" spans="1:5">
      <c r="A12" s="4">
        <v>10</v>
      </c>
      <c r="B12" s="4">
        <v>17</v>
      </c>
      <c r="C12" s="4">
        <v>14.3</v>
      </c>
      <c r="D12" s="4">
        <v>12.8</v>
      </c>
      <c r="E12" s="4">
        <v>13.5</v>
      </c>
    </row>
    <row r="13" spans="1:5">
      <c r="A13" s="4">
        <v>11</v>
      </c>
      <c r="B13" s="4">
        <v>18.7</v>
      </c>
      <c r="C13" s="4">
        <v>15.7</v>
      </c>
      <c r="D13" s="4">
        <v>14</v>
      </c>
      <c r="E13" s="4">
        <v>14.8</v>
      </c>
    </row>
    <row r="14" spans="1:5">
      <c r="A14" s="4">
        <v>12</v>
      </c>
      <c r="B14" s="4">
        <v>20.399999999999999</v>
      </c>
      <c r="C14" s="4">
        <v>17.100000000000001</v>
      </c>
      <c r="D14" s="4">
        <v>15.3</v>
      </c>
      <c r="E14" s="4">
        <v>16.2</v>
      </c>
    </row>
    <row r="15" spans="1:5">
      <c r="A15" s="4">
        <v>13</v>
      </c>
      <c r="B15" s="4">
        <v>22.1</v>
      </c>
      <c r="C15" s="4">
        <v>18.600000000000001</v>
      </c>
      <c r="D15" s="4">
        <v>16.600000000000001</v>
      </c>
      <c r="E15" s="4">
        <v>17.5</v>
      </c>
    </row>
    <row r="16" spans="1:5">
      <c r="A16" s="4">
        <v>14</v>
      </c>
      <c r="B16" s="4">
        <v>23.8</v>
      </c>
      <c r="C16" s="4">
        <v>20</v>
      </c>
      <c r="D16" s="4">
        <v>17.899999999999999</v>
      </c>
      <c r="E16" s="4">
        <v>18.899999999999999</v>
      </c>
    </row>
    <row r="17" spans="1:5">
      <c r="A17" s="4">
        <v>15</v>
      </c>
      <c r="B17" s="4">
        <v>25.5</v>
      </c>
      <c r="C17" s="4">
        <v>21.4</v>
      </c>
      <c r="D17" s="4">
        <v>19.100000000000001</v>
      </c>
      <c r="E17" s="4">
        <v>20.2</v>
      </c>
    </row>
    <row r="18" spans="1:5">
      <c r="A18" s="4">
        <v>16</v>
      </c>
      <c r="B18" s="4">
        <v>27.2</v>
      </c>
      <c r="C18" s="4">
        <v>22.9</v>
      </c>
      <c r="D18" s="4">
        <v>20.399999999999999</v>
      </c>
      <c r="E18" s="4">
        <v>21.5</v>
      </c>
    </row>
    <row r="19" spans="1:5">
      <c r="A19" s="4">
        <v>17</v>
      </c>
      <c r="B19" s="4">
        <v>28.9</v>
      </c>
      <c r="C19" s="4">
        <v>24.3</v>
      </c>
      <c r="D19" s="4">
        <v>21.7</v>
      </c>
      <c r="E19" s="4">
        <v>22.9</v>
      </c>
    </row>
    <row r="20" spans="1:5">
      <c r="A20" s="4">
        <v>18</v>
      </c>
      <c r="B20" s="4">
        <v>30.6</v>
      </c>
      <c r="C20" s="4">
        <v>25.7</v>
      </c>
      <c r="D20" s="4">
        <v>23</v>
      </c>
      <c r="E20" s="4">
        <v>24.2</v>
      </c>
    </row>
    <row r="21" spans="1:5">
      <c r="A21" s="4">
        <v>19</v>
      </c>
      <c r="B21" s="4">
        <v>32.299999999999997</v>
      </c>
      <c r="C21" s="4">
        <v>27.1</v>
      </c>
      <c r="D21" s="4">
        <v>24.3</v>
      </c>
      <c r="E21" s="4">
        <v>25.6</v>
      </c>
    </row>
    <row r="22" spans="1:5">
      <c r="A22" s="4">
        <v>20</v>
      </c>
      <c r="B22" s="4">
        <v>34</v>
      </c>
      <c r="C22" s="4">
        <v>28.6</v>
      </c>
      <c r="D22" s="4">
        <v>25.5</v>
      </c>
      <c r="E22" s="4">
        <v>26.9</v>
      </c>
    </row>
    <row r="23" spans="1:5">
      <c r="A23" s="4">
        <v>21</v>
      </c>
      <c r="B23" s="4">
        <v>35.700000000000003</v>
      </c>
      <c r="C23" s="4">
        <v>30</v>
      </c>
      <c r="D23" s="4">
        <v>26.8</v>
      </c>
      <c r="E23" s="4">
        <v>28.3</v>
      </c>
    </row>
    <row r="24" spans="1:5">
      <c r="A24" s="4">
        <v>22</v>
      </c>
      <c r="B24" s="4">
        <v>37.4</v>
      </c>
      <c r="C24" s="4">
        <v>31.4</v>
      </c>
      <c r="D24" s="4">
        <v>28.1</v>
      </c>
      <c r="E24" s="4">
        <v>29.6</v>
      </c>
    </row>
    <row r="25" spans="1:5">
      <c r="A25" s="4">
        <v>23</v>
      </c>
      <c r="B25" s="4">
        <v>39.1</v>
      </c>
      <c r="C25" s="4">
        <v>32.9</v>
      </c>
      <c r="D25" s="4">
        <v>29.4</v>
      </c>
      <c r="E25" s="4">
        <v>31</v>
      </c>
    </row>
    <row r="26" spans="1:5">
      <c r="A26" s="4">
        <v>24</v>
      </c>
      <c r="B26" s="4">
        <v>40.799999999999997</v>
      </c>
      <c r="C26" s="4">
        <v>34.299999999999997</v>
      </c>
      <c r="D26" s="4">
        <v>30.6</v>
      </c>
      <c r="E26" s="4">
        <v>32.299999999999997</v>
      </c>
    </row>
    <row r="27" spans="1:5">
      <c r="A27" s="4">
        <v>25</v>
      </c>
      <c r="B27" s="4">
        <v>42.5</v>
      </c>
      <c r="C27" s="4">
        <v>35.700000000000003</v>
      </c>
      <c r="D27" s="4">
        <v>31.9</v>
      </c>
      <c r="E27" s="4">
        <v>33.700000000000003</v>
      </c>
    </row>
    <row r="28" spans="1:5">
      <c r="A28" s="4">
        <v>26</v>
      </c>
      <c r="B28" s="4">
        <v>44.2</v>
      </c>
      <c r="C28" s="4">
        <v>37.1</v>
      </c>
      <c r="D28" s="4">
        <v>33.200000000000003</v>
      </c>
      <c r="E28" s="4">
        <v>35</v>
      </c>
    </row>
    <row r="29" spans="1:5">
      <c r="A29" s="4">
        <v>27</v>
      </c>
      <c r="B29" s="4">
        <v>45.9</v>
      </c>
      <c r="C29" s="4">
        <v>38.6</v>
      </c>
      <c r="D29" s="4">
        <v>34.5</v>
      </c>
      <c r="E29" s="4">
        <v>36.4</v>
      </c>
    </row>
    <row r="30" spans="1:5">
      <c r="A30" s="4">
        <v>28</v>
      </c>
      <c r="B30" s="4">
        <v>47.6</v>
      </c>
      <c r="C30" s="4">
        <v>40</v>
      </c>
      <c r="D30" s="4">
        <v>35.700000000000003</v>
      </c>
      <c r="E30" s="4">
        <v>37.700000000000003</v>
      </c>
    </row>
    <row r="31" spans="1:5">
      <c r="A31" s="4">
        <v>29</v>
      </c>
      <c r="B31" s="4">
        <v>49.3</v>
      </c>
      <c r="C31" s="4">
        <v>41.4</v>
      </c>
      <c r="D31" s="4">
        <v>37</v>
      </c>
      <c r="E31" s="4">
        <v>39.1</v>
      </c>
    </row>
    <row r="32" spans="1:5">
      <c r="A32" s="4">
        <v>30</v>
      </c>
      <c r="B32" s="4">
        <v>51</v>
      </c>
      <c r="C32" s="4">
        <v>42.9</v>
      </c>
      <c r="D32" s="4">
        <v>38.299999999999997</v>
      </c>
      <c r="E32" s="4">
        <v>40.4</v>
      </c>
    </row>
    <row r="33" spans="1:5">
      <c r="A33" s="4">
        <v>31</v>
      </c>
      <c r="B33" s="4">
        <v>52.7</v>
      </c>
      <c r="C33" s="4">
        <v>44.3</v>
      </c>
      <c r="D33" s="4">
        <v>39.6</v>
      </c>
      <c r="E33" s="4">
        <v>41.8</v>
      </c>
    </row>
    <row r="34" spans="1:5">
      <c r="A34" s="4">
        <v>32</v>
      </c>
      <c r="B34" s="4">
        <v>54.4</v>
      </c>
      <c r="C34" s="4">
        <v>45.7</v>
      </c>
      <c r="D34" s="4">
        <v>40.799999999999997</v>
      </c>
      <c r="E34" s="4">
        <v>43.1</v>
      </c>
    </row>
    <row r="35" spans="1:5">
      <c r="A35" s="4">
        <v>33</v>
      </c>
      <c r="B35" s="4">
        <v>56.1</v>
      </c>
      <c r="C35" s="4">
        <v>47.1</v>
      </c>
      <c r="D35" s="4">
        <v>42.1</v>
      </c>
      <c r="E35" s="4">
        <v>44.4</v>
      </c>
    </row>
    <row r="36" spans="1:5">
      <c r="A36" s="4">
        <v>34</v>
      </c>
      <c r="B36" s="4">
        <v>57.8</v>
      </c>
      <c r="C36" s="4">
        <v>48.6</v>
      </c>
      <c r="D36" s="4">
        <v>43.4</v>
      </c>
      <c r="E36" s="4">
        <v>45.8</v>
      </c>
    </row>
    <row r="37" spans="1:5">
      <c r="A37" s="4">
        <v>35</v>
      </c>
      <c r="B37" s="4">
        <v>59.5</v>
      </c>
      <c r="C37" s="4">
        <v>50</v>
      </c>
      <c r="D37" s="4">
        <v>44.7</v>
      </c>
      <c r="E37" s="4">
        <v>47.1</v>
      </c>
    </row>
    <row r="38" spans="1:5">
      <c r="A38" s="4">
        <v>36</v>
      </c>
      <c r="B38" s="4">
        <v>61.2</v>
      </c>
      <c r="C38" s="4">
        <v>51.4</v>
      </c>
      <c r="D38" s="4">
        <v>46</v>
      </c>
      <c r="E38" s="4">
        <v>48.5</v>
      </c>
    </row>
    <row r="39" spans="1:5">
      <c r="A39" s="4">
        <v>37</v>
      </c>
      <c r="B39" s="4">
        <v>62.9</v>
      </c>
      <c r="C39" s="4">
        <v>52.9</v>
      </c>
      <c r="D39" s="4">
        <v>47.2</v>
      </c>
      <c r="E39" s="4">
        <v>49.8</v>
      </c>
    </row>
    <row r="40" spans="1:5">
      <c r="A40" s="4">
        <v>38</v>
      </c>
      <c r="B40" s="4">
        <v>64.3</v>
      </c>
      <c r="C40" s="4">
        <v>54.3</v>
      </c>
      <c r="D40" s="4">
        <v>48.5</v>
      </c>
      <c r="E40" s="4">
        <v>51.2</v>
      </c>
    </row>
    <row r="41" spans="1:5">
      <c r="A41" s="4">
        <v>39</v>
      </c>
      <c r="B41" s="4">
        <v>65.7</v>
      </c>
      <c r="C41" s="4">
        <v>55.7</v>
      </c>
      <c r="D41" s="4">
        <v>49.8</v>
      </c>
      <c r="E41" s="4">
        <v>52.5</v>
      </c>
    </row>
    <row r="42" spans="1:5">
      <c r="A42" s="4">
        <v>40</v>
      </c>
      <c r="B42" s="4">
        <v>67.2</v>
      </c>
      <c r="C42" s="4">
        <v>57.1</v>
      </c>
      <c r="D42" s="4">
        <v>51.1</v>
      </c>
      <c r="E42" s="4">
        <v>53.9</v>
      </c>
    </row>
    <row r="43" spans="1:5">
      <c r="A43" s="4">
        <v>41</v>
      </c>
      <c r="B43" s="4">
        <v>68.599999999999994</v>
      </c>
      <c r="C43" s="4">
        <v>58.6</v>
      </c>
      <c r="D43" s="4">
        <v>52.3</v>
      </c>
      <c r="E43" s="4">
        <v>55.2</v>
      </c>
    </row>
    <row r="44" spans="1:5">
      <c r="A44" s="4">
        <v>42</v>
      </c>
      <c r="B44" s="4">
        <v>70</v>
      </c>
      <c r="C44" s="4">
        <v>60</v>
      </c>
      <c r="D44" s="4">
        <v>53.6</v>
      </c>
      <c r="E44" s="4">
        <v>56.6</v>
      </c>
    </row>
    <row r="45" spans="1:5">
      <c r="A45" s="4">
        <v>43</v>
      </c>
      <c r="B45" s="4">
        <v>71.400000000000006</v>
      </c>
      <c r="C45" s="4">
        <v>61.4</v>
      </c>
      <c r="D45" s="4">
        <v>54.9</v>
      </c>
      <c r="E45" s="4">
        <v>57.9</v>
      </c>
    </row>
    <row r="46" spans="1:5">
      <c r="A46" s="4">
        <v>44</v>
      </c>
      <c r="B46" s="4">
        <v>72.8</v>
      </c>
      <c r="C46" s="4">
        <v>62.9</v>
      </c>
      <c r="D46" s="4">
        <v>56.2</v>
      </c>
      <c r="E46" s="4">
        <v>59.3</v>
      </c>
    </row>
    <row r="47" spans="1:5">
      <c r="A47" s="4">
        <v>45</v>
      </c>
      <c r="B47" s="4">
        <v>74.2</v>
      </c>
      <c r="C47" s="4">
        <v>64.3</v>
      </c>
      <c r="D47" s="4">
        <v>57.4</v>
      </c>
      <c r="E47" s="4">
        <v>60.6</v>
      </c>
    </row>
    <row r="48" spans="1:5">
      <c r="A48" s="4">
        <v>46</v>
      </c>
      <c r="B48" s="4">
        <v>75.5</v>
      </c>
      <c r="C48" s="4">
        <v>65.7</v>
      </c>
      <c r="D48" s="4">
        <v>58.7</v>
      </c>
      <c r="E48" s="4">
        <v>62</v>
      </c>
    </row>
    <row r="49" spans="1:5">
      <c r="A49" s="4">
        <v>47</v>
      </c>
      <c r="B49" s="4">
        <v>76.900000000000006</v>
      </c>
      <c r="C49" s="4">
        <v>67.099999999999994</v>
      </c>
      <c r="D49" s="4">
        <v>60</v>
      </c>
      <c r="E49" s="4">
        <v>63.3</v>
      </c>
    </row>
    <row r="50" spans="1:5">
      <c r="A50" s="4">
        <v>48</v>
      </c>
      <c r="B50" s="4">
        <v>78.2</v>
      </c>
      <c r="C50" s="4">
        <v>68.599999999999994</v>
      </c>
      <c r="D50" s="4">
        <v>61.3</v>
      </c>
      <c r="E50" s="4">
        <v>64.8</v>
      </c>
    </row>
    <row r="51" spans="1:5">
      <c r="A51" s="4">
        <v>49</v>
      </c>
      <c r="B51" s="4">
        <v>79.599999999999994</v>
      </c>
      <c r="C51" s="4">
        <v>70</v>
      </c>
      <c r="D51" s="4">
        <v>62.5</v>
      </c>
      <c r="E51" s="4">
        <v>66.3</v>
      </c>
    </row>
    <row r="52" spans="1:5">
      <c r="A52" s="4">
        <v>50</v>
      </c>
      <c r="B52" s="4">
        <v>81</v>
      </c>
      <c r="C52" s="4">
        <v>71.400000000000006</v>
      </c>
      <c r="D52" s="4">
        <v>63.8</v>
      </c>
      <c r="E52" s="4">
        <v>67.8</v>
      </c>
    </row>
    <row r="53" spans="1:5">
      <c r="A53" s="4">
        <v>51</v>
      </c>
      <c r="B53" s="4">
        <v>82.4</v>
      </c>
      <c r="C53" s="4">
        <v>72.900000000000006</v>
      </c>
      <c r="D53" s="4">
        <v>65.400000000000006</v>
      </c>
      <c r="E53" s="4">
        <v>69.3</v>
      </c>
    </row>
    <row r="54" spans="1:5">
      <c r="A54" s="4">
        <v>52</v>
      </c>
      <c r="B54" s="4">
        <v>83.8</v>
      </c>
      <c r="C54" s="4">
        <v>74.3</v>
      </c>
      <c r="D54" s="4">
        <v>67</v>
      </c>
      <c r="E54" s="4">
        <v>70.8</v>
      </c>
    </row>
    <row r="55" spans="1:5">
      <c r="A55" s="4">
        <v>53</v>
      </c>
      <c r="B55" s="4">
        <v>85.3</v>
      </c>
      <c r="C55" s="4">
        <v>75.7</v>
      </c>
      <c r="D55" s="4">
        <v>68.599999999999994</v>
      </c>
      <c r="E55" s="4">
        <v>72.400000000000006</v>
      </c>
    </row>
    <row r="56" spans="1:5">
      <c r="A56" s="4">
        <v>54</v>
      </c>
      <c r="B56" s="4">
        <v>86.8</v>
      </c>
      <c r="C56" s="4">
        <v>77.099999999999994</v>
      </c>
      <c r="D56" s="4">
        <v>70.3</v>
      </c>
      <c r="E56" s="4">
        <v>74</v>
      </c>
    </row>
    <row r="57" spans="1:5">
      <c r="A57" s="4">
        <v>55</v>
      </c>
      <c r="B57" s="4">
        <v>88.4</v>
      </c>
      <c r="C57" s="4">
        <v>78.599999999999994</v>
      </c>
      <c r="D57" s="4">
        <v>72</v>
      </c>
      <c r="E57" s="4">
        <v>75.5</v>
      </c>
    </row>
    <row r="58" spans="1:5">
      <c r="A58" s="4">
        <v>56</v>
      </c>
      <c r="B58" s="4">
        <v>90.1</v>
      </c>
      <c r="C58" s="4">
        <v>80</v>
      </c>
      <c r="D58" s="4">
        <v>73.7</v>
      </c>
      <c r="E58" s="4">
        <v>77</v>
      </c>
    </row>
    <row r="59" spans="1:5">
      <c r="A59" s="4">
        <v>57</v>
      </c>
      <c r="B59" s="4">
        <v>91.9</v>
      </c>
      <c r="C59" s="4">
        <v>81.400000000000006</v>
      </c>
      <c r="D59" s="4">
        <v>75.400000000000006</v>
      </c>
      <c r="E59" s="4">
        <v>78.599999999999994</v>
      </c>
    </row>
    <row r="60" spans="1:5">
      <c r="A60" s="4">
        <v>58</v>
      </c>
      <c r="B60" s="4">
        <v>93.9</v>
      </c>
      <c r="C60" s="4">
        <v>82.9</v>
      </c>
      <c r="D60" s="4">
        <v>77.099999999999994</v>
      </c>
      <c r="E60" s="4">
        <v>80.2</v>
      </c>
    </row>
    <row r="61" spans="1:5">
      <c r="A61" s="4">
        <v>59</v>
      </c>
      <c r="B61" s="4">
        <v>96.2</v>
      </c>
      <c r="C61" s="4">
        <v>84.3</v>
      </c>
      <c r="D61" s="4">
        <v>78.8</v>
      </c>
      <c r="E61" s="4">
        <v>81.7</v>
      </c>
    </row>
    <row r="62" spans="1:5">
      <c r="A62" s="4">
        <v>60</v>
      </c>
      <c r="B62" s="4">
        <v>99.5</v>
      </c>
      <c r="C62" s="4">
        <v>85.7</v>
      </c>
      <c r="D62" s="4">
        <v>80.5</v>
      </c>
      <c r="E62" s="4">
        <v>83.2</v>
      </c>
    </row>
    <row r="63" spans="1:5">
      <c r="A63" s="4">
        <v>61</v>
      </c>
      <c r="B63" s="4"/>
      <c r="C63" s="4">
        <v>87.1</v>
      </c>
      <c r="D63" s="4">
        <v>82.2</v>
      </c>
      <c r="E63" s="4">
        <v>84.8</v>
      </c>
    </row>
    <row r="64" spans="1:5">
      <c r="A64" s="4">
        <v>62</v>
      </c>
      <c r="B64" s="4"/>
      <c r="C64" s="4">
        <v>88.6</v>
      </c>
      <c r="D64" s="4">
        <v>83.8</v>
      </c>
      <c r="E64" s="4">
        <v>86.3</v>
      </c>
    </row>
    <row r="65" spans="1:5">
      <c r="A65" s="4">
        <v>63</v>
      </c>
      <c r="B65" s="4"/>
      <c r="C65" s="4">
        <v>90</v>
      </c>
      <c r="D65" s="4">
        <v>85.5</v>
      </c>
      <c r="E65" s="4">
        <v>87.9</v>
      </c>
    </row>
    <row r="66" spans="1:5">
      <c r="A66" s="4">
        <v>64</v>
      </c>
      <c r="B66" s="4"/>
      <c r="C66" s="4">
        <v>91.4</v>
      </c>
      <c r="D66" s="4">
        <v>87.2</v>
      </c>
      <c r="E66" s="4">
        <v>89.5</v>
      </c>
    </row>
    <row r="67" spans="1:5">
      <c r="A67" s="4">
        <v>65</v>
      </c>
      <c r="B67" s="4"/>
      <c r="C67" s="4">
        <v>92.9</v>
      </c>
      <c r="D67" s="4">
        <v>88.9</v>
      </c>
      <c r="E67" s="4">
        <v>91</v>
      </c>
    </row>
    <row r="68" spans="1:5">
      <c r="A68" s="4">
        <v>66</v>
      </c>
      <c r="B68" s="4"/>
      <c r="C68" s="4">
        <v>94.3</v>
      </c>
      <c r="D68" s="4">
        <v>90.6</v>
      </c>
      <c r="E68" s="4">
        <v>92.6</v>
      </c>
    </row>
    <row r="69" spans="1:5">
      <c r="A69" s="4">
        <v>67</v>
      </c>
      <c r="B69" s="4"/>
      <c r="C69" s="4">
        <v>95.7</v>
      </c>
      <c r="D69" s="4">
        <v>92.4</v>
      </c>
      <c r="E69" s="4">
        <v>94.2</v>
      </c>
    </row>
    <row r="70" spans="1:5">
      <c r="A70" s="4">
        <v>68</v>
      </c>
      <c r="B70" s="4"/>
      <c r="C70" s="4">
        <v>97.1</v>
      </c>
      <c r="D70" s="4">
        <v>94.4</v>
      </c>
      <c r="E70" s="4">
        <v>95.9</v>
      </c>
    </row>
    <row r="71" spans="1:5">
      <c r="A71" s="4">
        <v>69</v>
      </c>
      <c r="B71" s="4"/>
      <c r="C71" s="4">
        <v>98.6</v>
      </c>
      <c r="D71" s="4">
        <v>96.5</v>
      </c>
      <c r="E71" s="4">
        <v>97.7</v>
      </c>
    </row>
    <row r="72" spans="1:5">
      <c r="A72" s="4">
        <v>70</v>
      </c>
      <c r="B72" s="4"/>
      <c r="C72" s="4">
        <v>100</v>
      </c>
      <c r="D72" s="4">
        <v>99.6</v>
      </c>
      <c r="E72" s="4">
        <v>99.8</v>
      </c>
    </row>
  </sheetData>
  <sheetProtection algorithmName="SHA-512" hashValue="YQFUX981X3XTas2Rd90rsPNrEsV7dqf4EFSTcAwaWyR52+aLLh8FpgVq7HXIsMyJyfklyfzBfkplUIR5ThUa7g==" saltValue="r01HTQB/BZnspXNUf2IOjw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F21" sqref="F21"/>
    </sheetView>
  </sheetViews>
  <sheetFormatPr defaultRowHeight="14"/>
  <cols>
    <col min="1" max="1" width="38.75" customWidth="1"/>
    <col min="2" max="2" width="9.83203125" customWidth="1"/>
    <col min="3" max="3" width="44.33203125" customWidth="1"/>
    <col min="4" max="4" width="15.75" customWidth="1"/>
  </cols>
  <sheetData>
    <row r="1" spans="1:4" ht="18">
      <c r="A1" s="6" t="s">
        <v>79</v>
      </c>
      <c r="B1" s="6"/>
      <c r="C1" s="6"/>
      <c r="D1" s="6"/>
    </row>
    <row r="2" spans="1:4">
      <c r="A2" s="2" t="s">
        <v>80</v>
      </c>
      <c r="B2" s="2" t="s">
        <v>81</v>
      </c>
      <c r="C2" s="2" t="s">
        <v>82</v>
      </c>
      <c r="D2" s="2"/>
    </row>
    <row r="3" spans="1:4">
      <c r="A3" t="s">
        <v>88</v>
      </c>
      <c r="B3" s="11">
        <v>0.7</v>
      </c>
      <c r="C3" t="s">
        <v>89</v>
      </c>
    </row>
    <row r="4" spans="1:4">
      <c r="A4" t="s">
        <v>90</v>
      </c>
      <c r="B4" s="12" t="s">
        <v>91</v>
      </c>
      <c r="C4" t="s">
        <v>92</v>
      </c>
    </row>
    <row r="5" spans="1:4">
      <c r="A5" t="s">
        <v>93</v>
      </c>
      <c r="B5" s="12">
        <v>1</v>
      </c>
      <c r="C5" t="s">
        <v>94</v>
      </c>
    </row>
    <row r="7" spans="1:4">
      <c r="A7" s="2" t="s">
        <v>1</v>
      </c>
      <c r="B7" s="2" t="s">
        <v>85</v>
      </c>
      <c r="C7" s="2" t="s">
        <v>95</v>
      </c>
      <c r="D7" s="2" t="s">
        <v>96</v>
      </c>
    </row>
    <row r="8" spans="1:4">
      <c r="A8" s="10" t="s">
        <v>78</v>
      </c>
      <c r="B8" s="10">
        <v>190</v>
      </c>
      <c r="C8" s="10">
        <v>50</v>
      </c>
      <c r="D8" s="10">
        <v>10</v>
      </c>
    </row>
    <row r="9" spans="1:4">
      <c r="A9" s="10" t="s">
        <v>32</v>
      </c>
      <c r="B9" s="10">
        <v>190</v>
      </c>
      <c r="C9" s="10">
        <v>60</v>
      </c>
      <c r="D9" s="10">
        <v>10</v>
      </c>
    </row>
    <row r="10" spans="1:4">
      <c r="A10" s="10" t="s">
        <v>22</v>
      </c>
      <c r="B10" s="10">
        <v>190</v>
      </c>
      <c r="C10" s="10">
        <v>60</v>
      </c>
      <c r="D10" s="10">
        <v>10</v>
      </c>
    </row>
    <row r="11" spans="1:4">
      <c r="A11" s="10" t="s">
        <v>56</v>
      </c>
      <c r="B11" s="10">
        <v>190</v>
      </c>
      <c r="C11" s="10">
        <v>60</v>
      </c>
      <c r="D11" s="10">
        <v>10</v>
      </c>
    </row>
  </sheetData>
  <sheetProtection algorithmName="SHA-512" hashValue="aV9rw3ybgNcs619Lg/FN6743iGO4VnvEQCHFDZ3YKhKDsPJElR37OrwDcwpfFPqcZY9bHCw/HMzSOBDtmVUxnQ==" saltValue="y/B6Fw16yvildYCPFzULz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"/>
  <cols>
    <col min="1" max="1" width="90" customWidth="1"/>
    <col min="2" max="2" width="15" customWidth="1"/>
  </cols>
  <sheetData>
    <row r="1" spans="1:2" ht="18">
      <c r="A1" s="7" t="s">
        <v>97</v>
      </c>
      <c r="B1" s="7"/>
    </row>
    <row r="2" spans="1:2">
      <c r="A2" s="1" t="s">
        <v>98</v>
      </c>
      <c r="B2" s="1"/>
    </row>
    <row r="3" spans="1:2">
      <c r="A3" s="1" t="s">
        <v>99</v>
      </c>
      <c r="B3" s="1"/>
    </row>
    <row r="4" spans="1:2">
      <c r="A4" s="1" t="s">
        <v>100</v>
      </c>
      <c r="B4" s="1"/>
    </row>
    <row r="5" spans="1:2">
      <c r="A5" s="1" t="s">
        <v>101</v>
      </c>
      <c r="B5" s="1"/>
    </row>
    <row r="6" spans="1:2">
      <c r="A6" s="1" t="s">
        <v>102</v>
      </c>
      <c r="B6" s="1"/>
    </row>
    <row r="7" spans="1:2">
      <c r="A7" s="1" t="s">
        <v>103</v>
      </c>
      <c r="B7" s="1"/>
    </row>
    <row r="8" spans="1:2">
      <c r="A8" s="1" t="s">
        <v>104</v>
      </c>
      <c r="B8" s="1"/>
    </row>
    <row r="9" spans="1:2">
      <c r="A9" s="1" t="s">
        <v>105</v>
      </c>
      <c r="B9" s="1"/>
    </row>
    <row r="10" spans="1:2">
      <c r="A10" s="1" t="s">
        <v>106</v>
      </c>
      <c r="B10" s="1"/>
    </row>
    <row r="11" spans="1:2">
      <c r="A11" s="1" t="s">
        <v>107</v>
      </c>
      <c r="B11" s="1"/>
    </row>
    <row r="12" spans="1:2">
      <c r="A12" s="1" t="s">
        <v>108</v>
      </c>
      <c r="B12" s="1"/>
    </row>
    <row r="13" spans="1:2">
      <c r="A13" s="1"/>
      <c r="B13" s="1"/>
    </row>
  </sheetData>
  <sheetProtection algorithmName="SHA-512" hashValue="t2nF4DYzZRSHiqYPBi8vt03972AGJAjPpZhOzS/he30C7xlTfn5Wxib5lVWgIct8QD0TDEYrL8X69fV4U0jG2Q==" saltValue="k0iHoxlyU4V1ikasKXDHM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1"/>
  <sheetViews>
    <sheetView topLeftCell="A29" workbookViewId="0">
      <selection activeCell="AB13" sqref="AB13"/>
    </sheetView>
  </sheetViews>
  <sheetFormatPr defaultRowHeight="14"/>
  <cols>
    <col min="1" max="1" width="18.5" customWidth="1"/>
    <col min="2" max="2" width="6.75" style="10" customWidth="1"/>
    <col min="3" max="3" width="6.33203125" customWidth="1"/>
    <col min="4" max="4" width="10.25" style="10" hidden="1" customWidth="1"/>
    <col min="5" max="5" width="11.25" hidden="1" customWidth="1"/>
    <col min="6" max="6" width="10.5" hidden="1" customWidth="1"/>
    <col min="7" max="7" width="11" hidden="1" customWidth="1"/>
    <col min="8" max="8" width="12" hidden="1" customWidth="1"/>
    <col min="9" max="9" width="11.25" hidden="1" customWidth="1"/>
    <col min="10" max="10" width="10.5" hidden="1" customWidth="1"/>
    <col min="11" max="11" width="12" hidden="1" customWidth="1"/>
    <col min="12" max="12" width="18.83203125" style="10" hidden="1" customWidth="1"/>
    <col min="13" max="13" width="22.08203125" style="10" hidden="1" customWidth="1"/>
    <col min="14" max="14" width="16.25" style="10" customWidth="1"/>
    <col min="15" max="15" width="16.5" style="10" customWidth="1"/>
    <col min="16" max="16" width="11.08203125" style="10" customWidth="1"/>
    <col min="17" max="17" width="9.33203125" style="10" customWidth="1"/>
    <col min="18" max="18" width="10.5" style="10" customWidth="1"/>
    <col min="19" max="19" width="10.58203125" customWidth="1"/>
    <col min="20" max="20" width="11.08203125" style="10" customWidth="1"/>
    <col min="21" max="21" width="9.33203125" style="10" customWidth="1"/>
    <col min="22" max="22" width="11.25" style="10" customWidth="1"/>
    <col min="23" max="23" width="10.25" style="10" hidden="1" customWidth="1"/>
    <col min="24" max="24" width="23" style="10" hidden="1" customWidth="1"/>
    <col min="25" max="25" width="6.75" style="10" hidden="1" customWidth="1"/>
  </cols>
  <sheetData>
    <row r="1" spans="1:25" ht="30" customHeight="1">
      <c r="A1" s="16" t="s">
        <v>83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22"/>
    </row>
    <row r="2" spans="1:25" ht="46.5" customHeight="1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84</v>
      </c>
      <c r="M2" s="20" t="s">
        <v>85</v>
      </c>
      <c r="N2" s="21" t="s">
        <v>11</v>
      </c>
      <c r="O2" s="21" t="s">
        <v>12</v>
      </c>
      <c r="P2" s="20" t="s">
        <v>13</v>
      </c>
      <c r="Q2" s="20" t="s">
        <v>14</v>
      </c>
      <c r="R2" s="21" t="s">
        <v>15</v>
      </c>
      <c r="S2" s="21" t="s">
        <v>16</v>
      </c>
      <c r="T2" s="20" t="s">
        <v>17</v>
      </c>
      <c r="U2" s="20" t="s">
        <v>18</v>
      </c>
      <c r="V2" s="20" t="s">
        <v>19</v>
      </c>
      <c r="W2" s="20" t="s">
        <v>86</v>
      </c>
      <c r="X2" s="20" t="s">
        <v>87</v>
      </c>
      <c r="Y2" s="20" t="s">
        <v>20</v>
      </c>
    </row>
    <row r="3" spans="1:25" ht="15" customHeight="1">
      <c r="A3" s="14" t="s">
        <v>27</v>
      </c>
      <c r="B3" s="15"/>
      <c r="C3" s="15" t="s">
        <v>23</v>
      </c>
      <c r="D3" s="8"/>
      <c r="E3" s="8"/>
      <c r="F3" s="8"/>
      <c r="G3" s="8"/>
      <c r="H3" s="8"/>
      <c r="I3" s="8"/>
      <c r="J3" s="8"/>
      <c r="K3" s="8"/>
      <c r="L3" s="9" t="str">
        <f t="shared" ref="L3:L34" si="0">IF(COUNT(D3:K3)=0,"",ROUND(AVERAGE(D3:K3),1))</f>
        <v/>
      </c>
      <c r="M3" s="9" t="str">
        <f>IFERROR(VLOOKUP(B3,Settings!$A$8:$B$11,2,FALSE),"")</f>
        <v/>
      </c>
      <c r="N3" s="13"/>
      <c r="O3" s="13"/>
      <c r="P3" s="8" t="str">
        <f t="shared" ref="P3:P34" si="1">IF(OR(N3="",O3=""),"",N3+O3)</f>
        <v/>
      </c>
      <c r="Q3" s="9" t="str">
        <f>IFERROR(INDEX(MCSI_Table!$B$2:$E$72,MATCH(P3,MCSI_Table!$A$2:$A$72,0),MATCH(B3,MCSI_Table!$B$1:$E$1,0)),"")</f>
        <v/>
      </c>
      <c r="R3" s="13"/>
      <c r="S3" s="13"/>
      <c r="T3" s="8" t="str">
        <f t="shared" ref="T3:T34" si="2">IF(OR(R3="",S3=""),"",R3+S3)</f>
        <v/>
      </c>
      <c r="U3" s="9" t="str">
        <f>IFERROR(INDEX(MCSI_Table!$B$2:$E$72,MATCH(T3,MCSI_Table!$A$2:$A$72,0),MATCH(B3,MCSI_Table!$B$1:$E$1,0)),"")</f>
        <v/>
      </c>
      <c r="V3" s="9" t="str">
        <f t="shared" ref="V3:V34" si="3">IF(OR(Q3="",U3=""),"",ROUND(Q3+U3,1))</f>
        <v/>
      </c>
      <c r="W3" s="9" t="str">
        <f>IF(OR(B3="",L3="",COUNT(D3:K3)&lt;Settings!$B$5),"",ROUND((M3-L3)*Settings!$B$3,1))</f>
        <v/>
      </c>
      <c r="X3" s="9" t="str">
        <f t="shared" ref="X3:X34" si="4">IF(OR(V3="",W3=""),"",ROUND(V3+W3,1))</f>
        <v/>
      </c>
      <c r="Y3" s="8" t="str">
        <f t="shared" ref="Y3:Y34" si="5">IF(ISNUMBER(X3),1+COUNTIF($X$3:$X$51,"&gt;"&amp;X3),"")</f>
        <v/>
      </c>
    </row>
    <row r="4" spans="1:25" ht="15" customHeight="1">
      <c r="A4" s="14" t="s">
        <v>24</v>
      </c>
      <c r="B4" s="15" t="s">
        <v>22</v>
      </c>
      <c r="C4" s="15" t="s">
        <v>23</v>
      </c>
      <c r="D4" s="8"/>
      <c r="E4" s="8"/>
      <c r="F4" s="8"/>
      <c r="G4" s="8"/>
      <c r="H4" s="8"/>
      <c r="I4" s="8"/>
      <c r="J4" s="8"/>
      <c r="K4" s="8"/>
      <c r="L4" s="9" t="str">
        <f t="shared" si="0"/>
        <v/>
      </c>
      <c r="M4" s="9">
        <f>IFERROR(VLOOKUP(B4,Settings!$A$8:$B$11,2,FALSE),"")</f>
        <v>190</v>
      </c>
      <c r="N4" s="13">
        <v>54</v>
      </c>
      <c r="O4" s="13">
        <v>1</v>
      </c>
      <c r="P4" s="8">
        <f t="shared" si="1"/>
        <v>55</v>
      </c>
      <c r="Q4" s="9">
        <f>IFERROR(INDEX(MCSI_Table!$B$2:$E$72,MATCH(P4,MCSI_Table!$A$2:$A$72,0),MATCH(B4,MCSI_Table!$B$1:$E$1,0)),"")</f>
        <v>78.599999999999994</v>
      </c>
      <c r="R4" s="13">
        <v>56</v>
      </c>
      <c r="S4" s="13">
        <v>2</v>
      </c>
      <c r="T4" s="8">
        <f t="shared" si="2"/>
        <v>58</v>
      </c>
      <c r="U4" s="9">
        <f>IFERROR(INDEX(MCSI_Table!$B$2:$E$72,MATCH(T4,MCSI_Table!$A$2:$A$72,0),MATCH(B4,MCSI_Table!$B$1:$E$1,0)),"")</f>
        <v>82.9</v>
      </c>
      <c r="V4" s="9">
        <f t="shared" si="3"/>
        <v>161.5</v>
      </c>
      <c r="W4" s="9" t="str">
        <f>IF(OR(B4="",L4="",COUNT(D4:K4)&lt;Settings!$B$5),"",ROUND((M4-L4)*Settings!$B$3,1))</f>
        <v/>
      </c>
      <c r="X4" s="9" t="str">
        <f t="shared" si="4"/>
        <v/>
      </c>
      <c r="Y4" s="8" t="str">
        <f t="shared" si="5"/>
        <v/>
      </c>
    </row>
    <row r="5" spans="1:25" ht="15" customHeight="1">
      <c r="A5" s="14" t="s">
        <v>25</v>
      </c>
      <c r="B5" s="15" t="s">
        <v>22</v>
      </c>
      <c r="C5" s="15" t="s">
        <v>23</v>
      </c>
      <c r="D5" s="8"/>
      <c r="E5" s="8"/>
      <c r="F5" s="8"/>
      <c r="G5" s="8"/>
      <c r="H5" s="8"/>
      <c r="I5" s="8"/>
      <c r="J5" s="8"/>
      <c r="K5" s="8"/>
      <c r="L5" s="9" t="str">
        <f t="shared" si="0"/>
        <v/>
      </c>
      <c r="M5" s="9">
        <f>IFERROR(VLOOKUP(B5,Settings!$A$8:$B$11,2,FALSE),"")</f>
        <v>190</v>
      </c>
      <c r="N5" s="13">
        <v>50</v>
      </c>
      <c r="O5" s="13">
        <v>1</v>
      </c>
      <c r="P5" s="8">
        <f t="shared" si="1"/>
        <v>51</v>
      </c>
      <c r="Q5" s="9">
        <f>IFERROR(INDEX(MCSI_Table!$B$2:$E$72,MATCH(P5,MCSI_Table!$A$2:$A$72,0),MATCH(B5,MCSI_Table!$B$1:$E$1,0)),"")</f>
        <v>72.900000000000006</v>
      </c>
      <c r="R5" s="13">
        <v>59</v>
      </c>
      <c r="S5" s="13">
        <v>7</v>
      </c>
      <c r="T5" s="8">
        <f t="shared" si="2"/>
        <v>66</v>
      </c>
      <c r="U5" s="9">
        <f>IFERROR(INDEX(MCSI_Table!$B$2:$E$72,MATCH(T5,MCSI_Table!$A$2:$A$72,0),MATCH(B5,MCSI_Table!$B$1:$E$1,0)),"")</f>
        <v>94.3</v>
      </c>
      <c r="V5" s="9">
        <f t="shared" si="3"/>
        <v>167.2</v>
      </c>
      <c r="W5" s="9" t="str">
        <f>IF(OR(B5="",L5="",COUNT(D5:K5)&lt;Settings!$B$5),"",ROUND((M5-L5)*Settings!$B$3,1))</f>
        <v/>
      </c>
      <c r="X5" s="9" t="str">
        <f t="shared" si="4"/>
        <v/>
      </c>
      <c r="Y5" s="8" t="str">
        <f t="shared" si="5"/>
        <v/>
      </c>
    </row>
    <row r="6" spans="1:25" ht="15" customHeight="1">
      <c r="A6" s="14" t="s">
        <v>26</v>
      </c>
      <c r="B6" s="15" t="s">
        <v>22</v>
      </c>
      <c r="C6" s="15" t="s">
        <v>23</v>
      </c>
      <c r="D6" s="8"/>
      <c r="E6" s="8"/>
      <c r="F6" s="8"/>
      <c r="G6" s="8"/>
      <c r="H6" s="8"/>
      <c r="I6" s="8"/>
      <c r="J6" s="8"/>
      <c r="K6" s="8"/>
      <c r="L6" s="9" t="str">
        <f t="shared" si="0"/>
        <v/>
      </c>
      <c r="M6" s="9">
        <f>IFERROR(VLOOKUP(B6,Settings!$A$8:$B$11,2,FALSE),"")</f>
        <v>190</v>
      </c>
      <c r="N6" s="13">
        <v>51</v>
      </c>
      <c r="O6" s="13">
        <v>0</v>
      </c>
      <c r="P6" s="8">
        <f t="shared" si="1"/>
        <v>51</v>
      </c>
      <c r="Q6" s="9">
        <f>IFERROR(INDEX(MCSI_Table!$B$2:$E$72,MATCH(P6,MCSI_Table!$A$2:$A$72,0),MATCH(B6,MCSI_Table!$B$1:$E$1,0)),"")</f>
        <v>72.900000000000006</v>
      </c>
      <c r="R6" s="13">
        <v>58</v>
      </c>
      <c r="S6" s="13">
        <v>2</v>
      </c>
      <c r="T6" s="8">
        <f t="shared" si="2"/>
        <v>60</v>
      </c>
      <c r="U6" s="9">
        <f>IFERROR(INDEX(MCSI_Table!$B$2:$E$72,MATCH(T6,MCSI_Table!$A$2:$A$72,0),MATCH(B6,MCSI_Table!$B$1:$E$1,0)),"")</f>
        <v>85.7</v>
      </c>
      <c r="V6" s="9">
        <f t="shared" si="3"/>
        <v>158.6</v>
      </c>
      <c r="W6" s="9" t="str">
        <f>IF(OR(B6="",L6="",COUNT(D6:K6)&lt;Settings!$B$5),"",ROUND((M6-L6)*Settings!$B$3,1))</f>
        <v/>
      </c>
      <c r="X6" s="9" t="str">
        <f t="shared" si="4"/>
        <v/>
      </c>
      <c r="Y6" s="8" t="str">
        <f t="shared" si="5"/>
        <v/>
      </c>
    </row>
    <row r="7" spans="1:25" ht="15" customHeight="1">
      <c r="A7" s="14" t="s">
        <v>21</v>
      </c>
      <c r="B7" s="15" t="s">
        <v>22</v>
      </c>
      <c r="C7" s="15" t="s">
        <v>23</v>
      </c>
      <c r="D7" s="8"/>
      <c r="E7" s="8"/>
      <c r="F7" s="8"/>
      <c r="G7" s="8"/>
      <c r="H7" s="8"/>
      <c r="I7" s="8"/>
      <c r="J7" s="8"/>
      <c r="K7" s="8"/>
      <c r="L7" s="9" t="str">
        <f t="shared" si="0"/>
        <v/>
      </c>
      <c r="M7" s="9">
        <f>IFERROR(VLOOKUP(B7,Settings!$A$8:$B$11,2,FALSE),"")</f>
        <v>190</v>
      </c>
      <c r="N7" s="13">
        <v>59</v>
      </c>
      <c r="O7" s="13">
        <v>2</v>
      </c>
      <c r="P7" s="8">
        <f t="shared" si="1"/>
        <v>61</v>
      </c>
      <c r="Q7" s="9">
        <f>IFERROR(INDEX(MCSI_Table!$B$2:$E$72,MATCH(P7,MCSI_Table!$A$2:$A$72,0),MATCH(B7,MCSI_Table!$B$1:$E$1,0)),"")</f>
        <v>87.1</v>
      </c>
      <c r="R7" s="13">
        <v>60</v>
      </c>
      <c r="S7" s="13">
        <v>5</v>
      </c>
      <c r="T7" s="8">
        <f t="shared" si="2"/>
        <v>65</v>
      </c>
      <c r="U7" s="9">
        <f>IFERROR(INDEX(MCSI_Table!$B$2:$E$72,MATCH(T7,MCSI_Table!$A$2:$A$72,0),MATCH(B7,MCSI_Table!$B$1:$E$1,0)),"")</f>
        <v>92.9</v>
      </c>
      <c r="V7" s="9">
        <f t="shared" si="3"/>
        <v>180</v>
      </c>
      <c r="W7" s="9" t="str">
        <f>IF(OR(B7="",L7="",COUNT(D7:K7)&lt;Settings!$B$5),"",ROUND((M7-L7)*Settings!$B$3,1))</f>
        <v/>
      </c>
      <c r="X7" s="9" t="str">
        <f t="shared" si="4"/>
        <v/>
      </c>
      <c r="Y7" s="8" t="str">
        <f t="shared" si="5"/>
        <v/>
      </c>
    </row>
    <row r="8" spans="1:25" ht="15" customHeight="1">
      <c r="A8" s="14" t="s">
        <v>37</v>
      </c>
      <c r="B8" s="15"/>
      <c r="C8" s="19" t="s">
        <v>29</v>
      </c>
      <c r="D8" s="8"/>
      <c r="E8" s="8"/>
      <c r="F8" s="8"/>
      <c r="G8" s="8"/>
      <c r="H8" s="8"/>
      <c r="I8" s="8"/>
      <c r="J8" s="8"/>
      <c r="K8" s="8"/>
      <c r="L8" s="9" t="str">
        <f t="shared" si="0"/>
        <v/>
      </c>
      <c r="M8" s="9" t="str">
        <f>IFERROR(VLOOKUP(B8,Settings!$A$8:$B$11,2,FALSE),"")</f>
        <v/>
      </c>
      <c r="N8" s="13">
        <v>50</v>
      </c>
      <c r="O8" s="13">
        <v>1</v>
      </c>
      <c r="P8" s="8">
        <f t="shared" si="1"/>
        <v>51</v>
      </c>
      <c r="Q8" s="9" t="str">
        <f>IFERROR(INDEX(MCSI_Table!$B$2:$E$72,MATCH(P8,MCSI_Table!$A$2:$A$72,0),MATCH(B8,MCSI_Table!$B$1:$E$1,0)),"")</f>
        <v/>
      </c>
      <c r="R8" s="13">
        <v>51</v>
      </c>
      <c r="S8" s="13">
        <v>2</v>
      </c>
      <c r="T8" s="8">
        <f t="shared" si="2"/>
        <v>53</v>
      </c>
      <c r="U8" s="9" t="str">
        <f>IFERROR(INDEX(MCSI_Table!$B$2:$E$72,MATCH(T8,MCSI_Table!$A$2:$A$72,0),MATCH(B8,MCSI_Table!$B$1:$E$1,0)),"")</f>
        <v/>
      </c>
      <c r="V8" s="9" t="str">
        <f t="shared" si="3"/>
        <v/>
      </c>
      <c r="W8" s="9" t="str">
        <f>IF(OR(B8="",L8="",COUNT(D8:K8)&lt;Settings!$B$5),"",ROUND((M8-L8)*Settings!$B$3,1))</f>
        <v/>
      </c>
      <c r="X8" s="9" t="str">
        <f t="shared" si="4"/>
        <v/>
      </c>
      <c r="Y8" s="8" t="str">
        <f t="shared" si="5"/>
        <v/>
      </c>
    </row>
    <row r="9" spans="1:25" ht="15" customHeight="1">
      <c r="A9" s="14" t="s">
        <v>30</v>
      </c>
      <c r="B9" s="15" t="s">
        <v>22</v>
      </c>
      <c r="C9" s="15" t="s">
        <v>29</v>
      </c>
      <c r="D9" s="8"/>
      <c r="E9" s="8"/>
      <c r="F9" s="8"/>
      <c r="G9" s="8"/>
      <c r="H9" s="8"/>
      <c r="I9" s="8"/>
      <c r="J9" s="8"/>
      <c r="K9" s="8"/>
      <c r="L9" s="9" t="str">
        <f t="shared" si="0"/>
        <v/>
      </c>
      <c r="M9" s="9">
        <f>IFERROR(VLOOKUP(B9,Settings!$A$8:$B$11,2,FALSE),"")</f>
        <v>190</v>
      </c>
      <c r="N9" s="13">
        <v>58</v>
      </c>
      <c r="O9" s="13">
        <v>3</v>
      </c>
      <c r="P9" s="8">
        <f t="shared" si="1"/>
        <v>61</v>
      </c>
      <c r="Q9" s="17">
        <f>IFERROR(INDEX(MCSI_Table!$B$2:$E$72,MATCH(P9,MCSI_Table!$A$2:$A$72,0),MATCH(B9,MCSI_Table!$B$1:$E$1,0)),"")</f>
        <v>87.1</v>
      </c>
      <c r="R9" s="13">
        <v>60</v>
      </c>
      <c r="S9" s="13">
        <v>5</v>
      </c>
      <c r="T9" s="8">
        <f t="shared" si="2"/>
        <v>65</v>
      </c>
      <c r="U9" s="17">
        <f>IFERROR(INDEX(MCSI_Table!$B$2:$E$72,MATCH(T9,MCSI_Table!$A$2:$A$72,0),MATCH(B9,MCSI_Table!$B$1:$E$1,0)),"")</f>
        <v>92.9</v>
      </c>
      <c r="V9" s="18">
        <f t="shared" si="3"/>
        <v>180</v>
      </c>
      <c r="W9" s="9" t="str">
        <f>IF(OR(B9="",L9="",COUNT(D9:K9)&lt;Settings!$B$5),"",ROUND((M9-L9)*Settings!$B$3,1))</f>
        <v/>
      </c>
      <c r="X9" s="9" t="str">
        <f t="shared" si="4"/>
        <v/>
      </c>
      <c r="Y9" s="8" t="str">
        <f t="shared" si="5"/>
        <v/>
      </c>
    </row>
    <row r="10" spans="1:25" ht="15" customHeight="1">
      <c r="A10" s="14" t="s">
        <v>31</v>
      </c>
      <c r="B10" s="15" t="s">
        <v>32</v>
      </c>
      <c r="C10" s="15" t="s">
        <v>29</v>
      </c>
      <c r="D10" s="8"/>
      <c r="E10" s="8"/>
      <c r="F10" s="8"/>
      <c r="G10" s="8"/>
      <c r="H10" s="8"/>
      <c r="I10" s="8"/>
      <c r="J10" s="8"/>
      <c r="K10" s="8"/>
      <c r="L10" s="9" t="str">
        <f t="shared" si="0"/>
        <v/>
      </c>
      <c r="M10" s="9">
        <f>IFERROR(VLOOKUP(B10,Settings!$A$8:$B$11,2,FALSE),"")</f>
        <v>190</v>
      </c>
      <c r="N10" s="13">
        <v>60</v>
      </c>
      <c r="O10" s="13">
        <v>6</v>
      </c>
      <c r="P10" s="8">
        <f t="shared" si="1"/>
        <v>66</v>
      </c>
      <c r="Q10" s="17">
        <f>IFERROR(INDEX(MCSI_Table!$B$2:$E$72,MATCH(P10,MCSI_Table!$A$2:$A$72,0),MATCH(B10,MCSI_Table!$B$1:$E$1,0)),"")</f>
        <v>90.6</v>
      </c>
      <c r="R10" s="13">
        <v>60</v>
      </c>
      <c r="S10" s="13">
        <v>7</v>
      </c>
      <c r="T10" s="8">
        <f t="shared" si="2"/>
        <v>67</v>
      </c>
      <c r="U10" s="17">
        <f>IFERROR(INDEX(MCSI_Table!$B$2:$E$72,MATCH(T10,MCSI_Table!$A$2:$A$72,0),MATCH(B10,MCSI_Table!$B$1:$E$1,0)),"")</f>
        <v>92.4</v>
      </c>
      <c r="V10" s="18">
        <f t="shared" si="3"/>
        <v>183</v>
      </c>
      <c r="W10" s="9" t="str">
        <f>IF(OR(B10="",L10="",COUNT(D10:K10)&lt;Settings!$B$5),"",ROUND((M10-L10)*Settings!$B$3,1))</f>
        <v/>
      </c>
      <c r="X10" s="9" t="str">
        <f t="shared" si="4"/>
        <v/>
      </c>
      <c r="Y10" s="8" t="str">
        <f t="shared" si="5"/>
        <v/>
      </c>
    </row>
    <row r="11" spans="1:25" ht="15" customHeight="1">
      <c r="A11" s="14" t="s">
        <v>35</v>
      </c>
      <c r="B11" s="15" t="s">
        <v>32</v>
      </c>
      <c r="C11" s="15" t="s">
        <v>29</v>
      </c>
      <c r="D11" s="8"/>
      <c r="E11" s="8"/>
      <c r="F11" s="8"/>
      <c r="G11" s="8"/>
      <c r="H11" s="8"/>
      <c r="I11" s="8"/>
      <c r="J11" s="8"/>
      <c r="K11" s="8"/>
      <c r="L11" s="9" t="str">
        <f t="shared" si="0"/>
        <v/>
      </c>
      <c r="M11" s="9">
        <f>IFERROR(VLOOKUP(B11,Settings!$A$8:$B$11,2,FALSE),"")</f>
        <v>190</v>
      </c>
      <c r="N11" s="13">
        <v>60</v>
      </c>
      <c r="O11" s="13">
        <v>10</v>
      </c>
      <c r="P11" s="8">
        <f t="shared" si="1"/>
        <v>70</v>
      </c>
      <c r="Q11" s="9">
        <f>IFERROR(INDEX(MCSI_Table!$B$2:$E$72,MATCH(P11,MCSI_Table!$A$2:$A$72,0),MATCH(B11,MCSI_Table!$B$1:$E$1,0)),"")</f>
        <v>99.6</v>
      </c>
      <c r="R11" s="13">
        <v>60</v>
      </c>
      <c r="S11" s="13">
        <v>4</v>
      </c>
      <c r="T11" s="8">
        <f t="shared" si="2"/>
        <v>64</v>
      </c>
      <c r="U11" s="9">
        <f>IFERROR(INDEX(MCSI_Table!$B$2:$E$72,MATCH(T11,MCSI_Table!$A$2:$A$72,0),MATCH(B11,MCSI_Table!$B$1:$E$1,0)),"")</f>
        <v>87.2</v>
      </c>
      <c r="V11" s="9">
        <f t="shared" si="3"/>
        <v>186.8</v>
      </c>
      <c r="W11" s="9" t="str">
        <f>IF(OR(B11="",L11="",COUNT(D11:K11)&lt;Settings!$B$5),"",ROUND((M11-L11)*Settings!$B$3,1))</f>
        <v/>
      </c>
      <c r="X11" s="9" t="str">
        <f t="shared" si="4"/>
        <v/>
      </c>
      <c r="Y11" s="8" t="str">
        <f t="shared" si="5"/>
        <v/>
      </c>
    </row>
    <row r="12" spans="1:25" ht="15" customHeight="1">
      <c r="A12" s="14" t="s">
        <v>34</v>
      </c>
      <c r="B12" s="15" t="s">
        <v>32</v>
      </c>
      <c r="C12" s="15" t="s">
        <v>29</v>
      </c>
      <c r="D12" s="8"/>
      <c r="E12" s="8"/>
      <c r="F12" s="8"/>
      <c r="G12" s="8"/>
      <c r="H12" s="8"/>
      <c r="I12" s="8"/>
      <c r="J12" s="8"/>
      <c r="K12" s="8"/>
      <c r="L12" s="9" t="str">
        <f t="shared" si="0"/>
        <v/>
      </c>
      <c r="M12" s="9">
        <f>IFERROR(VLOOKUP(B12,Settings!$A$8:$B$11,2,FALSE),"")</f>
        <v>190</v>
      </c>
      <c r="N12" s="13"/>
      <c r="O12" s="13"/>
      <c r="P12" s="8" t="str">
        <f t="shared" si="1"/>
        <v/>
      </c>
      <c r="Q12" s="17" t="str">
        <f>IFERROR(INDEX(MCSI_Table!$B$2:$E$72,MATCH(P12,MCSI_Table!$A$2:$A$72,0),MATCH(B12,MCSI_Table!$B$1:$E$1,0)),"")</f>
        <v/>
      </c>
      <c r="R12" s="13"/>
      <c r="S12" s="13"/>
      <c r="T12" s="8" t="str">
        <f t="shared" si="2"/>
        <v/>
      </c>
      <c r="U12" s="17" t="str">
        <f>IFERROR(INDEX(MCSI_Table!$B$2:$E$72,MATCH(T12,MCSI_Table!$A$2:$A$72,0),MATCH(B12,MCSI_Table!$B$1:$E$1,0)),"")</f>
        <v/>
      </c>
      <c r="V12" s="18" t="str">
        <f t="shared" si="3"/>
        <v/>
      </c>
      <c r="W12" s="9" t="str">
        <f>IF(OR(B12="",L12="",COUNT(D12:K12)&lt;Settings!$B$5),"",ROUND((M12-L12)*Settings!$B$3,1))</f>
        <v/>
      </c>
      <c r="X12" s="9" t="str">
        <f t="shared" si="4"/>
        <v/>
      </c>
      <c r="Y12" s="8" t="str">
        <f t="shared" si="5"/>
        <v/>
      </c>
    </row>
    <row r="13" spans="1:25" ht="15" customHeight="1">
      <c r="A13" s="14" t="s">
        <v>38</v>
      </c>
      <c r="B13" s="15"/>
      <c r="C13" s="15" t="s">
        <v>29</v>
      </c>
      <c r="D13" s="8"/>
      <c r="E13" s="8"/>
      <c r="F13" s="8"/>
      <c r="G13" s="8"/>
      <c r="H13" s="8"/>
      <c r="I13" s="8"/>
      <c r="J13" s="8"/>
      <c r="K13" s="8"/>
      <c r="L13" s="9" t="str">
        <f t="shared" si="0"/>
        <v/>
      </c>
      <c r="M13" s="9" t="str">
        <f>IFERROR(VLOOKUP(B13,Settings!$A$8:$B$11,2,FALSE),"")</f>
        <v/>
      </c>
      <c r="N13" s="13"/>
      <c r="O13" s="13"/>
      <c r="P13" s="8" t="str">
        <f t="shared" si="1"/>
        <v/>
      </c>
      <c r="Q13" s="9" t="str">
        <f>IFERROR(INDEX(MCSI_Table!$B$2:$E$72,MATCH(P13,MCSI_Table!$A$2:$A$72,0),MATCH(B13,MCSI_Table!$B$1:$E$1,0)),"")</f>
        <v/>
      </c>
      <c r="R13" s="13"/>
      <c r="S13" s="13"/>
      <c r="T13" s="8" t="str">
        <f t="shared" si="2"/>
        <v/>
      </c>
      <c r="U13" s="9" t="str">
        <f>IFERROR(INDEX(MCSI_Table!$B$2:$E$72,MATCH(T13,MCSI_Table!$A$2:$A$72,0),MATCH(B13,MCSI_Table!$B$1:$E$1,0)),"")</f>
        <v/>
      </c>
      <c r="V13" s="9" t="str">
        <f t="shared" si="3"/>
        <v/>
      </c>
      <c r="W13" s="9" t="str">
        <f>IF(OR(B13="",L13="",COUNT(D13:K13)&lt;Settings!$B$5),"",ROUND((M13-L13)*Settings!$B$3,1))</f>
        <v/>
      </c>
      <c r="X13" s="9" t="str">
        <f t="shared" si="4"/>
        <v/>
      </c>
      <c r="Y13" s="8" t="str">
        <f t="shared" si="5"/>
        <v/>
      </c>
    </row>
    <row r="14" spans="1:25" ht="15" customHeight="1">
      <c r="A14" s="14" t="s">
        <v>36</v>
      </c>
      <c r="B14" s="15"/>
      <c r="C14" s="15" t="s">
        <v>29</v>
      </c>
      <c r="D14" s="8"/>
      <c r="E14" s="8"/>
      <c r="F14" s="8"/>
      <c r="G14" s="8"/>
      <c r="H14" s="8"/>
      <c r="I14" s="8"/>
      <c r="J14" s="8"/>
      <c r="K14" s="8"/>
      <c r="L14" s="9" t="str">
        <f t="shared" si="0"/>
        <v/>
      </c>
      <c r="M14" s="9" t="str">
        <f>IFERROR(VLOOKUP(B14,Settings!$A$8:$B$11,2,FALSE),"")</f>
        <v/>
      </c>
      <c r="N14" s="13"/>
      <c r="O14" s="13"/>
      <c r="P14" s="8" t="str">
        <f t="shared" si="1"/>
        <v/>
      </c>
      <c r="Q14" s="9" t="str">
        <f>IFERROR(INDEX(MCSI_Table!$B$2:$E$72,MATCH(P14,MCSI_Table!$A$2:$A$72,0),MATCH(B14,MCSI_Table!$B$1:$E$1,0)),"")</f>
        <v/>
      </c>
      <c r="R14" s="13"/>
      <c r="S14" s="13"/>
      <c r="T14" s="8" t="str">
        <f t="shared" si="2"/>
        <v/>
      </c>
      <c r="U14" s="9" t="str">
        <f>IFERROR(INDEX(MCSI_Table!$B$2:$E$72,MATCH(T14,MCSI_Table!$A$2:$A$72,0),MATCH(B14,MCSI_Table!$B$1:$E$1,0)),"")</f>
        <v/>
      </c>
      <c r="V14" s="9" t="str">
        <f t="shared" si="3"/>
        <v/>
      </c>
      <c r="W14" s="9" t="str">
        <f>IF(OR(B14="",L14="",COUNT(D14:K14)&lt;Settings!$B$5),"",ROUND((M14-L14)*Settings!$B$3,1))</f>
        <v/>
      </c>
      <c r="X14" s="9" t="str">
        <f t="shared" si="4"/>
        <v/>
      </c>
      <c r="Y14" s="8" t="str">
        <f t="shared" si="5"/>
        <v/>
      </c>
    </row>
    <row r="15" spans="1:25" ht="15" customHeight="1">
      <c r="A15" s="14" t="s">
        <v>28</v>
      </c>
      <c r="B15" s="15" t="s">
        <v>22</v>
      </c>
      <c r="C15" s="15" t="s">
        <v>29</v>
      </c>
      <c r="D15" s="8"/>
      <c r="E15" s="8"/>
      <c r="F15" s="8"/>
      <c r="G15" s="8"/>
      <c r="H15" s="8"/>
      <c r="I15" s="8"/>
      <c r="J15" s="8"/>
      <c r="K15" s="8"/>
      <c r="L15" s="9" t="str">
        <f t="shared" si="0"/>
        <v/>
      </c>
      <c r="M15" s="9">
        <f>IFERROR(VLOOKUP(B15,Settings!$A$8:$B$11,2,FALSE),"")</f>
        <v>190</v>
      </c>
      <c r="N15" s="13">
        <v>59</v>
      </c>
      <c r="O15" s="13">
        <v>7</v>
      </c>
      <c r="P15" s="8">
        <f t="shared" si="1"/>
        <v>66</v>
      </c>
      <c r="Q15" s="17">
        <f>IFERROR(INDEX(MCSI_Table!$B$2:$E$72,MATCH(P15,MCSI_Table!$A$2:$A$72,0),MATCH(B15,MCSI_Table!$B$1:$E$1,0)),"")</f>
        <v>94.3</v>
      </c>
      <c r="R15" s="13">
        <v>59</v>
      </c>
      <c r="S15" s="13">
        <v>5</v>
      </c>
      <c r="T15" s="8">
        <f t="shared" si="2"/>
        <v>64</v>
      </c>
      <c r="U15" s="17">
        <f>IFERROR(INDEX(MCSI_Table!$B$2:$E$72,MATCH(T15,MCSI_Table!$A$2:$A$72,0),MATCH(B15,MCSI_Table!$B$1:$E$1,0)),"")</f>
        <v>91.4</v>
      </c>
      <c r="V15" s="18">
        <f t="shared" si="3"/>
        <v>185.7</v>
      </c>
      <c r="W15" s="9" t="str">
        <f>IF(OR(B15="",L15="",COUNT(D15:K15)&lt;Settings!$B$5),"",ROUND((M15-L15)*Settings!$B$3,1))</f>
        <v/>
      </c>
      <c r="X15" s="9" t="str">
        <f t="shared" si="4"/>
        <v/>
      </c>
      <c r="Y15" s="8" t="str">
        <f t="shared" si="5"/>
        <v/>
      </c>
    </row>
    <row r="16" spans="1:25" ht="15" customHeight="1">
      <c r="A16" s="14" t="s">
        <v>33</v>
      </c>
      <c r="B16" s="15" t="s">
        <v>32</v>
      </c>
      <c r="C16" s="15" t="s">
        <v>29</v>
      </c>
      <c r="D16" s="8"/>
      <c r="E16" s="8"/>
      <c r="F16" s="8"/>
      <c r="G16" s="8"/>
      <c r="H16" s="8"/>
      <c r="I16" s="8"/>
      <c r="J16" s="8"/>
      <c r="K16" s="8"/>
      <c r="L16" s="9" t="str">
        <f t="shared" si="0"/>
        <v/>
      </c>
      <c r="M16" s="9">
        <f>IFERROR(VLOOKUP(B16,Settings!$A$8:$B$11,2,FALSE),"")</f>
        <v>190</v>
      </c>
      <c r="N16" s="13">
        <v>59</v>
      </c>
      <c r="O16" s="13">
        <v>4</v>
      </c>
      <c r="P16" s="8">
        <f t="shared" si="1"/>
        <v>63</v>
      </c>
      <c r="Q16" s="17">
        <f>IFERROR(INDEX(MCSI_Table!$B$2:$E$72,MATCH(P16,MCSI_Table!$A$2:$A$72,0),MATCH(B16,MCSI_Table!$B$1:$E$1,0)),"")</f>
        <v>85.5</v>
      </c>
      <c r="R16" s="13">
        <v>58</v>
      </c>
      <c r="S16" s="13">
        <v>4</v>
      </c>
      <c r="T16" s="8">
        <f t="shared" si="2"/>
        <v>62</v>
      </c>
      <c r="U16" s="17">
        <f>IFERROR(INDEX(MCSI_Table!$B$2:$E$72,MATCH(T16,MCSI_Table!$A$2:$A$72,0),MATCH(B16,MCSI_Table!$B$1:$E$1,0)),"")</f>
        <v>83.8</v>
      </c>
      <c r="V16" s="18">
        <f t="shared" si="3"/>
        <v>169.3</v>
      </c>
      <c r="W16" s="9" t="str">
        <f>IF(OR(B16="",L16="",COUNT(D16:K16)&lt;Settings!$B$5),"",ROUND((M16-L16)*Settings!$B$3,1))</f>
        <v/>
      </c>
      <c r="X16" s="9" t="str">
        <f t="shared" si="4"/>
        <v/>
      </c>
      <c r="Y16" s="8" t="str">
        <f t="shared" si="5"/>
        <v/>
      </c>
    </row>
    <row r="17" spans="1:25" ht="15" customHeight="1">
      <c r="A17" s="14" t="s">
        <v>39</v>
      </c>
      <c r="B17" s="15"/>
      <c r="C17" s="15" t="s">
        <v>29</v>
      </c>
      <c r="D17" s="8"/>
      <c r="E17" s="8"/>
      <c r="F17" s="8"/>
      <c r="G17" s="8"/>
      <c r="H17" s="8"/>
      <c r="I17" s="8"/>
      <c r="J17" s="8"/>
      <c r="K17" s="8"/>
      <c r="L17" s="9" t="str">
        <f t="shared" si="0"/>
        <v/>
      </c>
      <c r="M17" s="9" t="str">
        <f>IFERROR(VLOOKUP(B17,Settings!$A$8:$B$11,2,FALSE),"")</f>
        <v/>
      </c>
      <c r="N17" s="13"/>
      <c r="O17" s="13"/>
      <c r="P17" s="8" t="str">
        <f t="shared" si="1"/>
        <v/>
      </c>
      <c r="Q17" s="9" t="str">
        <f>IFERROR(INDEX(MCSI_Table!$B$2:$E$72,MATCH(P17,MCSI_Table!$A$2:$A$72,0),MATCH(B17,MCSI_Table!$B$1:$E$1,0)),"")</f>
        <v/>
      </c>
      <c r="R17" s="13"/>
      <c r="S17" s="13"/>
      <c r="T17" s="8" t="str">
        <f t="shared" si="2"/>
        <v/>
      </c>
      <c r="U17" s="9" t="str">
        <f>IFERROR(INDEX(MCSI_Table!$B$2:$E$72,MATCH(T17,MCSI_Table!$A$2:$A$72,0),MATCH(B17,MCSI_Table!$B$1:$E$1,0)),"")</f>
        <v/>
      </c>
      <c r="V17" s="9" t="str">
        <f t="shared" si="3"/>
        <v/>
      </c>
      <c r="W17" s="9" t="str">
        <f>IF(OR(B17="",L17="",COUNT(D17:K17)&lt;Settings!$B$5),"",ROUND((M17-L17)*Settings!$B$3,1))</f>
        <v/>
      </c>
      <c r="X17" s="9" t="str">
        <f t="shared" si="4"/>
        <v/>
      </c>
      <c r="Y17" s="8" t="str">
        <f t="shared" si="5"/>
        <v/>
      </c>
    </row>
    <row r="18" spans="1:25" ht="15" customHeight="1">
      <c r="A18" s="14" t="s">
        <v>40</v>
      </c>
      <c r="B18" s="15"/>
      <c r="C18" s="15" t="s">
        <v>29</v>
      </c>
      <c r="D18" s="8"/>
      <c r="E18" s="8"/>
      <c r="F18" s="8"/>
      <c r="G18" s="8"/>
      <c r="H18" s="8"/>
      <c r="I18" s="8"/>
      <c r="J18" s="8"/>
      <c r="K18" s="8"/>
      <c r="L18" s="9" t="str">
        <f t="shared" si="0"/>
        <v/>
      </c>
      <c r="M18" s="9" t="str">
        <f>IFERROR(VLOOKUP(B18,Settings!$A$8:$B$11,2,FALSE),"")</f>
        <v/>
      </c>
      <c r="N18" s="13"/>
      <c r="O18" s="13"/>
      <c r="P18" s="8" t="str">
        <f t="shared" si="1"/>
        <v/>
      </c>
      <c r="Q18" s="9" t="str">
        <f>IFERROR(INDEX(MCSI_Table!$B$2:$E$72,MATCH(P18,MCSI_Table!$A$2:$A$72,0),MATCH(B18,MCSI_Table!$B$1:$E$1,0)),"")</f>
        <v/>
      </c>
      <c r="R18" s="13"/>
      <c r="S18" s="13"/>
      <c r="T18" s="8" t="str">
        <f t="shared" si="2"/>
        <v/>
      </c>
      <c r="U18" s="9" t="str">
        <f>IFERROR(INDEX(MCSI_Table!$B$2:$E$72,MATCH(T18,MCSI_Table!$A$2:$A$72,0),MATCH(B18,MCSI_Table!$B$1:$E$1,0)),"")</f>
        <v/>
      </c>
      <c r="V18" s="9" t="str">
        <f t="shared" si="3"/>
        <v/>
      </c>
      <c r="W18" s="9" t="str">
        <f>IF(OR(B18="",L18="",COUNT(D18:K18)&lt;Settings!$B$5),"",ROUND((M18-L18)*Settings!$B$3,1))</f>
        <v/>
      </c>
      <c r="X18" s="9" t="str">
        <f t="shared" si="4"/>
        <v/>
      </c>
      <c r="Y18" s="8" t="str">
        <f t="shared" si="5"/>
        <v/>
      </c>
    </row>
    <row r="19" spans="1:25" ht="15" customHeight="1">
      <c r="A19" s="14" t="s">
        <v>50</v>
      </c>
      <c r="B19" s="15" t="s">
        <v>32</v>
      </c>
      <c r="C19" s="15" t="s">
        <v>42</v>
      </c>
      <c r="D19" s="8"/>
      <c r="E19" s="8"/>
      <c r="F19" s="8"/>
      <c r="G19" s="8"/>
      <c r="H19" s="8"/>
      <c r="I19" s="8"/>
      <c r="J19" s="8"/>
      <c r="K19" s="8"/>
      <c r="L19" s="9" t="str">
        <f t="shared" si="0"/>
        <v/>
      </c>
      <c r="M19" s="9">
        <f>IFERROR(VLOOKUP(B19,Settings!$A$8:$B$11,2,FALSE),"")</f>
        <v>190</v>
      </c>
      <c r="N19" s="13">
        <v>58</v>
      </c>
      <c r="O19" s="13">
        <v>3</v>
      </c>
      <c r="P19" s="8">
        <f t="shared" si="1"/>
        <v>61</v>
      </c>
      <c r="Q19" s="9">
        <f>IFERROR(INDEX(MCSI_Table!$B$2:$E$72,MATCH(P19,MCSI_Table!$A$2:$A$72,0),MATCH(B19,MCSI_Table!$B$1:$E$1,0)),"")</f>
        <v>82.2</v>
      </c>
      <c r="R19" s="13">
        <v>57</v>
      </c>
      <c r="S19" s="13">
        <v>1</v>
      </c>
      <c r="T19" s="8">
        <f t="shared" si="2"/>
        <v>58</v>
      </c>
      <c r="U19" s="9">
        <f>IFERROR(INDEX(MCSI_Table!$B$2:$E$72,MATCH(T19,MCSI_Table!$A$2:$A$72,0),MATCH(B19,MCSI_Table!$B$1:$E$1,0)),"")</f>
        <v>77.099999999999994</v>
      </c>
      <c r="V19" s="9">
        <f t="shared" si="3"/>
        <v>159.30000000000001</v>
      </c>
      <c r="W19" s="9" t="str">
        <f>IF(OR(B19="",L19="",COUNT(D19:K19)&lt;Settings!$B$5),"",ROUND((M19-L19)*Settings!$B$3,1))</f>
        <v/>
      </c>
      <c r="X19" s="9" t="str">
        <f t="shared" si="4"/>
        <v/>
      </c>
      <c r="Y19" s="8" t="str">
        <f t="shared" si="5"/>
        <v/>
      </c>
    </row>
    <row r="20" spans="1:25" ht="15" customHeight="1">
      <c r="A20" s="14" t="s">
        <v>45</v>
      </c>
      <c r="B20" s="15" t="s">
        <v>22</v>
      </c>
      <c r="C20" s="15" t="s">
        <v>42</v>
      </c>
      <c r="D20" s="8"/>
      <c r="E20" s="8"/>
      <c r="F20" s="8"/>
      <c r="G20" s="8"/>
      <c r="H20" s="8"/>
      <c r="I20" s="8"/>
      <c r="J20" s="8"/>
      <c r="K20" s="8"/>
      <c r="L20" s="9" t="str">
        <f t="shared" si="0"/>
        <v/>
      </c>
      <c r="M20" s="9">
        <f>IFERROR(VLOOKUP(B20,Settings!$A$8:$B$11,2,FALSE),"")</f>
        <v>190</v>
      </c>
      <c r="N20" s="13">
        <v>57</v>
      </c>
      <c r="O20" s="13">
        <v>3</v>
      </c>
      <c r="P20" s="8">
        <f t="shared" si="1"/>
        <v>60</v>
      </c>
      <c r="Q20" s="17">
        <f>IFERROR(INDEX(MCSI_Table!$B$2:$E$72,MATCH(P20,MCSI_Table!$A$2:$A$72,0),MATCH(B20,MCSI_Table!$B$1:$E$1,0)),"")</f>
        <v>85.7</v>
      </c>
      <c r="R20" s="13">
        <v>58</v>
      </c>
      <c r="S20" s="13">
        <v>3</v>
      </c>
      <c r="T20" s="8">
        <f t="shared" si="2"/>
        <v>61</v>
      </c>
      <c r="U20" s="17">
        <f>IFERROR(INDEX(MCSI_Table!$B$2:$E$72,MATCH(T20,MCSI_Table!$A$2:$A$72,0),MATCH(B20,MCSI_Table!$B$1:$E$1,0)),"")</f>
        <v>87.1</v>
      </c>
      <c r="V20" s="18">
        <f t="shared" si="3"/>
        <v>172.8</v>
      </c>
      <c r="W20" s="9" t="str">
        <f>IF(OR(B20="",L20="",COUNT(D20:K20)&lt;Settings!$B$5),"",ROUND((M20-L20)*Settings!$B$3,1))</f>
        <v/>
      </c>
      <c r="X20" s="9" t="str">
        <f t="shared" si="4"/>
        <v/>
      </c>
      <c r="Y20" s="8" t="str">
        <f t="shared" si="5"/>
        <v/>
      </c>
    </row>
    <row r="21" spans="1:25" ht="15" customHeight="1">
      <c r="A21" s="14" t="s">
        <v>54</v>
      </c>
      <c r="B21" s="15" t="s">
        <v>22</v>
      </c>
      <c r="C21" s="15" t="s">
        <v>42</v>
      </c>
      <c r="D21" s="8"/>
      <c r="E21" s="8"/>
      <c r="F21" s="8"/>
      <c r="G21" s="8"/>
      <c r="H21" s="8"/>
      <c r="I21" s="8"/>
      <c r="J21" s="8"/>
      <c r="K21" s="8"/>
      <c r="L21" s="9" t="str">
        <f t="shared" si="0"/>
        <v/>
      </c>
      <c r="M21" s="9">
        <f>IFERROR(VLOOKUP(B21,Settings!$A$8:$B$11,2,FALSE),"")</f>
        <v>190</v>
      </c>
      <c r="N21" s="13"/>
      <c r="O21" s="13"/>
      <c r="P21" s="8" t="str">
        <f t="shared" si="1"/>
        <v/>
      </c>
      <c r="Q21" s="9" t="str">
        <f>IFERROR(INDEX(MCSI_Table!$B$2:$E$72,MATCH(P21,MCSI_Table!$A$2:$A$72,0),MATCH(B21,MCSI_Table!$B$1:$E$1,0)),"")</f>
        <v/>
      </c>
      <c r="R21" s="13"/>
      <c r="S21" s="13"/>
      <c r="T21" s="8" t="str">
        <f t="shared" si="2"/>
        <v/>
      </c>
      <c r="U21" s="9" t="str">
        <f>IFERROR(INDEX(MCSI_Table!$B$2:$E$72,MATCH(T21,MCSI_Table!$A$2:$A$72,0),MATCH(B21,MCSI_Table!$B$1:$E$1,0)),"")</f>
        <v/>
      </c>
      <c r="V21" s="9" t="str">
        <f t="shared" si="3"/>
        <v/>
      </c>
      <c r="W21" s="9" t="str">
        <f>IF(OR(B21="",L21="",COUNT(D21:K21)&lt;Settings!$B$5),"",ROUND((M21-L21)*Settings!$B$3,1))</f>
        <v/>
      </c>
      <c r="X21" s="9" t="str">
        <f t="shared" si="4"/>
        <v/>
      </c>
      <c r="Y21" s="8" t="str">
        <f t="shared" si="5"/>
        <v/>
      </c>
    </row>
    <row r="22" spans="1:25" ht="15" customHeight="1">
      <c r="A22" s="14" t="s">
        <v>51</v>
      </c>
      <c r="B22" s="15" t="s">
        <v>32</v>
      </c>
      <c r="C22" s="15" t="s">
        <v>42</v>
      </c>
      <c r="D22" s="8"/>
      <c r="E22" s="8"/>
      <c r="F22" s="8"/>
      <c r="G22" s="8"/>
      <c r="H22" s="8"/>
      <c r="I22" s="8"/>
      <c r="J22" s="8"/>
      <c r="K22" s="8"/>
      <c r="L22" s="9" t="str">
        <f t="shared" si="0"/>
        <v/>
      </c>
      <c r="M22" s="9">
        <f>IFERROR(VLOOKUP(B22,Settings!$A$8:$B$11,2,FALSE),"")</f>
        <v>190</v>
      </c>
      <c r="N22" s="13">
        <v>58</v>
      </c>
      <c r="O22" s="13">
        <v>4</v>
      </c>
      <c r="P22" s="8">
        <f t="shared" si="1"/>
        <v>62</v>
      </c>
      <c r="Q22" s="9">
        <f>IFERROR(INDEX(MCSI_Table!$B$2:$E$72,MATCH(P22,MCSI_Table!$A$2:$A$72,0),MATCH(B22,MCSI_Table!$B$1:$E$1,0)),"")</f>
        <v>83.8</v>
      </c>
      <c r="R22" s="13">
        <v>60</v>
      </c>
      <c r="S22" s="13">
        <v>5</v>
      </c>
      <c r="T22" s="8">
        <f t="shared" si="2"/>
        <v>65</v>
      </c>
      <c r="U22" s="9">
        <f>IFERROR(INDEX(MCSI_Table!$B$2:$E$72,MATCH(T22,MCSI_Table!$A$2:$A$72,0),MATCH(B22,MCSI_Table!$B$1:$E$1,0)),"")</f>
        <v>88.9</v>
      </c>
      <c r="V22" s="9">
        <f t="shared" si="3"/>
        <v>172.7</v>
      </c>
      <c r="W22" s="9" t="str">
        <f>IF(OR(B22="",L22="",COUNT(D22:K22)&lt;Settings!$B$5),"",ROUND((M22-L22)*Settings!$B$3,1))</f>
        <v/>
      </c>
      <c r="X22" s="9" t="str">
        <f t="shared" si="4"/>
        <v/>
      </c>
      <c r="Y22" s="8" t="str">
        <f t="shared" si="5"/>
        <v/>
      </c>
    </row>
    <row r="23" spans="1:25" ht="15" customHeight="1">
      <c r="A23" s="14" t="s">
        <v>46</v>
      </c>
      <c r="B23" s="15" t="s">
        <v>32</v>
      </c>
      <c r="C23" s="15" t="s">
        <v>42</v>
      </c>
      <c r="D23" s="8"/>
      <c r="E23" s="8"/>
      <c r="F23" s="8"/>
      <c r="G23" s="8"/>
      <c r="H23" s="8"/>
      <c r="I23" s="8"/>
      <c r="J23" s="8"/>
      <c r="K23" s="8"/>
      <c r="L23" s="9" t="str">
        <f t="shared" si="0"/>
        <v/>
      </c>
      <c r="M23" s="9">
        <f>IFERROR(VLOOKUP(B23,Settings!$A$8:$B$11,2,FALSE),"")</f>
        <v>190</v>
      </c>
      <c r="N23" s="13">
        <v>59</v>
      </c>
      <c r="O23" s="13">
        <v>5</v>
      </c>
      <c r="P23" s="8">
        <f t="shared" si="1"/>
        <v>64</v>
      </c>
      <c r="Q23" s="9">
        <f>IFERROR(INDEX(MCSI_Table!$B$2:$E$72,MATCH(P23,MCSI_Table!$A$2:$A$72,0),MATCH(B23,MCSI_Table!$B$1:$E$1,0)),"")</f>
        <v>87.2</v>
      </c>
      <c r="R23" s="13">
        <v>59</v>
      </c>
      <c r="S23" s="13">
        <v>6</v>
      </c>
      <c r="T23" s="8">
        <f t="shared" si="2"/>
        <v>65</v>
      </c>
      <c r="U23" s="9">
        <f>IFERROR(INDEX(MCSI_Table!$B$2:$E$72,MATCH(T23,MCSI_Table!$A$2:$A$72,0),MATCH(B23,MCSI_Table!$B$1:$E$1,0)),"")</f>
        <v>88.9</v>
      </c>
      <c r="V23" s="9">
        <f t="shared" si="3"/>
        <v>176.1</v>
      </c>
      <c r="W23" s="9" t="str">
        <f>IF(OR(B23="",L23="",COUNT(D23:K23)&lt;Settings!$B$5),"",ROUND((M23-L23)*Settings!$B$3,1))</f>
        <v/>
      </c>
      <c r="X23" s="9" t="str">
        <f t="shared" si="4"/>
        <v/>
      </c>
      <c r="Y23" s="8" t="str">
        <f t="shared" si="5"/>
        <v/>
      </c>
    </row>
    <row r="24" spans="1:25" ht="15" customHeight="1">
      <c r="A24" s="14" t="s">
        <v>58</v>
      </c>
      <c r="B24" s="15" t="s">
        <v>32</v>
      </c>
      <c r="C24" s="15" t="s">
        <v>42</v>
      </c>
      <c r="D24" s="8"/>
      <c r="E24" s="8"/>
      <c r="F24" s="8"/>
      <c r="G24" s="8"/>
      <c r="H24" s="8"/>
      <c r="I24" s="8"/>
      <c r="J24" s="8"/>
      <c r="K24" s="8"/>
      <c r="L24" s="9" t="str">
        <f t="shared" si="0"/>
        <v/>
      </c>
      <c r="M24" s="9">
        <f>IFERROR(VLOOKUP(B24,Settings!$A$8:$B$11,2,FALSE),"")</f>
        <v>190</v>
      </c>
      <c r="N24" s="13">
        <v>50</v>
      </c>
      <c r="O24" s="13">
        <v>2</v>
      </c>
      <c r="P24" s="8">
        <f t="shared" si="1"/>
        <v>52</v>
      </c>
      <c r="Q24" s="9">
        <f>IFERROR(INDEX(MCSI_Table!$B$2:$E$72,MATCH(P24,MCSI_Table!$A$2:$A$72,0),MATCH(B24,MCSI_Table!$B$1:$E$1,0)),"")</f>
        <v>67</v>
      </c>
      <c r="R24" s="13">
        <v>56</v>
      </c>
      <c r="S24" s="13">
        <v>3</v>
      </c>
      <c r="T24" s="8">
        <f t="shared" si="2"/>
        <v>59</v>
      </c>
      <c r="U24" s="9">
        <f>IFERROR(INDEX(MCSI_Table!$B$2:$E$72,MATCH(T24,MCSI_Table!$A$2:$A$72,0),MATCH(B24,MCSI_Table!$B$1:$E$1,0)),"")</f>
        <v>78.8</v>
      </c>
      <c r="V24" s="9">
        <f t="shared" si="3"/>
        <v>145.80000000000001</v>
      </c>
      <c r="W24" s="9" t="str">
        <f>IF(OR(B24="",L24="",COUNT(D24:K24)&lt;Settings!$B$5),"",ROUND((M24-L24)*Settings!$B$3,1))</f>
        <v/>
      </c>
      <c r="X24" s="9" t="str">
        <f t="shared" si="4"/>
        <v/>
      </c>
      <c r="Y24" s="8" t="str">
        <f t="shared" si="5"/>
        <v/>
      </c>
    </row>
    <row r="25" spans="1:25" ht="15" customHeight="1">
      <c r="A25" s="14" t="s">
        <v>43</v>
      </c>
      <c r="B25" s="15" t="s">
        <v>22</v>
      </c>
      <c r="C25" s="15" t="s">
        <v>42</v>
      </c>
      <c r="D25" s="8"/>
      <c r="E25" s="8"/>
      <c r="F25" s="8"/>
      <c r="G25" s="8"/>
      <c r="H25" s="8"/>
      <c r="I25" s="8"/>
      <c r="J25" s="8"/>
      <c r="K25" s="8"/>
      <c r="L25" s="9" t="str">
        <f t="shared" si="0"/>
        <v/>
      </c>
      <c r="M25" s="9">
        <f>IFERROR(VLOOKUP(B25,Settings!$A$8:$B$11,2,FALSE),"")</f>
        <v>190</v>
      </c>
      <c r="N25" s="13">
        <v>52</v>
      </c>
      <c r="O25" s="13">
        <v>1</v>
      </c>
      <c r="P25" s="8">
        <f t="shared" si="1"/>
        <v>53</v>
      </c>
      <c r="Q25" s="17">
        <f>IFERROR(INDEX(MCSI_Table!$B$2:$E$72,MATCH(P25,MCSI_Table!$A$2:$A$72,0),MATCH(B25,MCSI_Table!$B$1:$E$1,0)),"")</f>
        <v>75.7</v>
      </c>
      <c r="R25" s="13">
        <v>60</v>
      </c>
      <c r="S25" s="13">
        <v>2</v>
      </c>
      <c r="T25" s="8">
        <f t="shared" si="2"/>
        <v>62</v>
      </c>
      <c r="U25" s="17">
        <f>IFERROR(INDEX(MCSI_Table!$B$2:$E$72,MATCH(T25,MCSI_Table!$A$2:$A$72,0),MATCH(B25,MCSI_Table!$B$1:$E$1,0)),"")</f>
        <v>88.6</v>
      </c>
      <c r="V25" s="18">
        <f t="shared" si="3"/>
        <v>164.3</v>
      </c>
      <c r="W25" s="9" t="str">
        <f>IF(OR(B25="",L25="",COUNT(D25:K25)&lt;Settings!$B$5),"",ROUND((M25-L25)*Settings!$B$3,1))</f>
        <v/>
      </c>
      <c r="X25" s="9" t="str">
        <f t="shared" si="4"/>
        <v/>
      </c>
      <c r="Y25" s="8" t="str">
        <f t="shared" si="5"/>
        <v/>
      </c>
    </row>
    <row r="26" spans="1:25" ht="15" customHeight="1">
      <c r="A26" s="14" t="s">
        <v>52</v>
      </c>
      <c r="B26" s="15" t="s">
        <v>32</v>
      </c>
      <c r="C26" s="15" t="s">
        <v>42</v>
      </c>
      <c r="D26" s="8"/>
      <c r="E26" s="8"/>
      <c r="F26" s="8"/>
      <c r="G26" s="8"/>
      <c r="H26" s="8"/>
      <c r="I26" s="8"/>
      <c r="J26" s="8"/>
      <c r="K26" s="8"/>
      <c r="L26" s="9" t="str">
        <f t="shared" si="0"/>
        <v/>
      </c>
      <c r="M26" s="9">
        <f>IFERROR(VLOOKUP(B26,Settings!$A$8:$B$11,2,FALSE),"")</f>
        <v>190</v>
      </c>
      <c r="N26" s="13">
        <v>57</v>
      </c>
      <c r="O26" s="13">
        <v>0</v>
      </c>
      <c r="P26" s="8">
        <f t="shared" si="1"/>
        <v>57</v>
      </c>
      <c r="Q26" s="9">
        <f>IFERROR(INDEX(MCSI_Table!$B$2:$E$72,MATCH(P26,MCSI_Table!$A$2:$A$72,0),MATCH(B26,MCSI_Table!$B$1:$E$1,0)),"")</f>
        <v>75.400000000000006</v>
      </c>
      <c r="R26" s="13">
        <v>60</v>
      </c>
      <c r="S26" s="13">
        <v>8</v>
      </c>
      <c r="T26" s="8">
        <f t="shared" si="2"/>
        <v>68</v>
      </c>
      <c r="U26" s="9">
        <f>IFERROR(INDEX(MCSI_Table!$B$2:$E$72,MATCH(T26,MCSI_Table!$A$2:$A$72,0),MATCH(B26,MCSI_Table!$B$1:$E$1,0)),"")</f>
        <v>94.4</v>
      </c>
      <c r="V26" s="9">
        <f t="shared" si="3"/>
        <v>169.8</v>
      </c>
      <c r="W26" s="9" t="str">
        <f>IF(OR(B26="",L26="",COUNT(D26:K26)&lt;Settings!$B$5),"",ROUND((M26-L26)*Settings!$B$3,1))</f>
        <v/>
      </c>
      <c r="X26" s="9" t="str">
        <f t="shared" si="4"/>
        <v/>
      </c>
      <c r="Y26" s="8" t="str">
        <f t="shared" si="5"/>
        <v/>
      </c>
    </row>
    <row r="27" spans="1:25" ht="15" customHeight="1">
      <c r="A27" s="14" t="s">
        <v>48</v>
      </c>
      <c r="B27" s="15" t="s">
        <v>32</v>
      </c>
      <c r="C27" s="15" t="s">
        <v>42</v>
      </c>
      <c r="D27" s="8"/>
      <c r="E27" s="8"/>
      <c r="F27" s="8"/>
      <c r="G27" s="8"/>
      <c r="H27" s="8"/>
      <c r="I27" s="8"/>
      <c r="J27" s="8"/>
      <c r="K27" s="8"/>
      <c r="L27" s="9" t="str">
        <f t="shared" si="0"/>
        <v/>
      </c>
      <c r="M27" s="9">
        <f>IFERROR(VLOOKUP(B27,Settings!$A$8:$B$11,2,FALSE),"")</f>
        <v>190</v>
      </c>
      <c r="N27" s="13">
        <v>60</v>
      </c>
      <c r="O27" s="13">
        <v>6</v>
      </c>
      <c r="P27" s="8">
        <f t="shared" si="1"/>
        <v>66</v>
      </c>
      <c r="Q27" s="9">
        <f>IFERROR(INDEX(MCSI_Table!$B$2:$E$72,MATCH(P27,MCSI_Table!$A$2:$A$72,0),MATCH(B27,MCSI_Table!$B$1:$E$1,0)),"")</f>
        <v>90.6</v>
      </c>
      <c r="R27" s="13">
        <v>60</v>
      </c>
      <c r="S27" s="13">
        <v>5</v>
      </c>
      <c r="T27" s="8">
        <f t="shared" si="2"/>
        <v>65</v>
      </c>
      <c r="U27" s="9">
        <f>IFERROR(INDEX(MCSI_Table!$B$2:$E$72,MATCH(T27,MCSI_Table!$A$2:$A$72,0),MATCH(B27,MCSI_Table!$B$1:$E$1,0)),"")</f>
        <v>88.9</v>
      </c>
      <c r="V27" s="9">
        <f t="shared" si="3"/>
        <v>179.5</v>
      </c>
      <c r="W27" s="9" t="str">
        <f>IF(OR(B27="",L27="",COUNT(D27:K27)&lt;Settings!$B$5),"",ROUND((M27-L27)*Settings!$B$3,1))</f>
        <v/>
      </c>
      <c r="X27" s="9" t="str">
        <f t="shared" si="4"/>
        <v/>
      </c>
      <c r="Y27" s="8" t="str">
        <f t="shared" si="5"/>
        <v/>
      </c>
    </row>
    <row r="28" spans="1:25" ht="15" customHeight="1">
      <c r="A28" s="14" t="s">
        <v>47</v>
      </c>
      <c r="B28" s="15" t="s">
        <v>32</v>
      </c>
      <c r="C28" s="15" t="s">
        <v>42</v>
      </c>
      <c r="D28" s="8"/>
      <c r="E28" s="8"/>
      <c r="F28" s="8"/>
      <c r="G28" s="8"/>
      <c r="H28" s="8"/>
      <c r="I28" s="8"/>
      <c r="J28" s="8"/>
      <c r="K28" s="8"/>
      <c r="L28" s="9" t="str">
        <f t="shared" si="0"/>
        <v/>
      </c>
      <c r="M28" s="9">
        <f>IFERROR(VLOOKUP(B28,Settings!$A$8:$B$11,2,FALSE),"")</f>
        <v>190</v>
      </c>
      <c r="N28" s="13">
        <v>60</v>
      </c>
      <c r="O28" s="13">
        <v>5</v>
      </c>
      <c r="P28" s="8">
        <f t="shared" si="1"/>
        <v>65</v>
      </c>
      <c r="Q28" s="9">
        <f>IFERROR(INDEX(MCSI_Table!$B$2:$E$72,MATCH(P28,MCSI_Table!$A$2:$A$72,0),MATCH(B28,MCSI_Table!$B$1:$E$1,0)),"")</f>
        <v>88.9</v>
      </c>
      <c r="R28" s="13">
        <v>59</v>
      </c>
      <c r="S28" s="13">
        <v>2</v>
      </c>
      <c r="T28" s="8">
        <f t="shared" si="2"/>
        <v>61</v>
      </c>
      <c r="U28" s="9">
        <f>IFERROR(INDEX(MCSI_Table!$B$2:$E$72,MATCH(T28,MCSI_Table!$A$2:$A$72,0),MATCH(B28,MCSI_Table!$B$1:$E$1,0)),"")</f>
        <v>82.2</v>
      </c>
      <c r="V28" s="9">
        <f t="shared" si="3"/>
        <v>171.1</v>
      </c>
      <c r="W28" s="9" t="str">
        <f>IF(OR(B28="",L28="",COUNT(D28:K28)&lt;Settings!$B$5),"",ROUND((M28-L28)*Settings!$B$3,1))</f>
        <v/>
      </c>
      <c r="X28" s="9" t="str">
        <f t="shared" si="4"/>
        <v/>
      </c>
      <c r="Y28" s="8" t="str">
        <f t="shared" si="5"/>
        <v/>
      </c>
    </row>
    <row r="29" spans="1:25" ht="15" customHeight="1">
      <c r="A29" s="14" t="s">
        <v>59</v>
      </c>
      <c r="B29" s="15"/>
      <c r="C29" s="15" t="s">
        <v>42</v>
      </c>
      <c r="D29" s="8"/>
      <c r="E29" s="8"/>
      <c r="F29" s="8"/>
      <c r="G29" s="8"/>
      <c r="H29" s="8"/>
      <c r="I29" s="8"/>
      <c r="J29" s="8"/>
      <c r="K29" s="8"/>
      <c r="L29" s="9" t="str">
        <f t="shared" si="0"/>
        <v/>
      </c>
      <c r="M29" s="9" t="str">
        <f>IFERROR(VLOOKUP(B29,Settings!$A$8:$B$11,2,FALSE),"")</f>
        <v/>
      </c>
      <c r="N29" s="13"/>
      <c r="O29" s="13"/>
      <c r="P29" s="8" t="str">
        <f t="shared" si="1"/>
        <v/>
      </c>
      <c r="Q29" s="9" t="str">
        <f>IFERROR(INDEX(MCSI_Table!$B$2:$E$72,MATCH(P29,MCSI_Table!$A$2:$A$72,0),MATCH(B29,MCSI_Table!$B$1:$E$1,0)),"")</f>
        <v/>
      </c>
      <c r="R29" s="13"/>
      <c r="S29" s="13"/>
      <c r="T29" s="8" t="str">
        <f t="shared" si="2"/>
        <v/>
      </c>
      <c r="U29" s="9" t="str">
        <f>IFERROR(INDEX(MCSI_Table!$B$2:$E$72,MATCH(T29,MCSI_Table!$A$2:$A$72,0),MATCH(B29,MCSI_Table!$B$1:$E$1,0)),"")</f>
        <v/>
      </c>
      <c r="V29" s="9" t="str">
        <f t="shared" si="3"/>
        <v/>
      </c>
      <c r="W29" s="9" t="str">
        <f>IF(OR(B29="",L29="",COUNT(D29:K29)&lt;Settings!$B$5),"",ROUND((M29-L29)*Settings!$B$3,1))</f>
        <v/>
      </c>
      <c r="X29" s="9" t="str">
        <f t="shared" si="4"/>
        <v/>
      </c>
      <c r="Y29" s="8" t="str">
        <f t="shared" si="5"/>
        <v/>
      </c>
    </row>
    <row r="30" spans="1:25" ht="15" customHeight="1">
      <c r="A30" s="14" t="s">
        <v>57</v>
      </c>
      <c r="B30" s="15" t="s">
        <v>22</v>
      </c>
      <c r="C30" s="15" t="s">
        <v>42</v>
      </c>
      <c r="D30" s="8"/>
      <c r="E30" s="8"/>
      <c r="F30" s="8"/>
      <c r="G30" s="8"/>
      <c r="H30" s="8"/>
      <c r="I30" s="8"/>
      <c r="J30" s="8"/>
      <c r="K30" s="8"/>
      <c r="L30" s="9" t="str">
        <f t="shared" si="0"/>
        <v/>
      </c>
      <c r="M30" s="9">
        <f>IFERROR(VLOOKUP(B30,Settings!$A$8:$B$11,2,FALSE),"")</f>
        <v>190</v>
      </c>
      <c r="N30" s="13">
        <v>54</v>
      </c>
      <c r="O30" s="13">
        <v>2</v>
      </c>
      <c r="P30" s="8">
        <f t="shared" si="1"/>
        <v>56</v>
      </c>
      <c r="Q30" s="9">
        <f>IFERROR(INDEX(MCSI_Table!$B$2:$E$72,MATCH(P30,MCSI_Table!$A$2:$A$72,0),MATCH(B30,MCSI_Table!$B$1:$E$1,0)),"")</f>
        <v>80</v>
      </c>
      <c r="R30" s="13">
        <v>59</v>
      </c>
      <c r="S30" s="13">
        <v>4</v>
      </c>
      <c r="T30" s="8">
        <f t="shared" si="2"/>
        <v>63</v>
      </c>
      <c r="U30" s="9">
        <f>IFERROR(INDEX(MCSI_Table!$B$2:$E$72,MATCH(T30,MCSI_Table!$A$2:$A$72,0),MATCH(B30,MCSI_Table!$B$1:$E$1,0)),"")</f>
        <v>90</v>
      </c>
      <c r="V30" s="9">
        <f t="shared" si="3"/>
        <v>170</v>
      </c>
      <c r="W30" s="9" t="str">
        <f>IF(OR(B30="",L30="",COUNT(D30:K30)&lt;Settings!$B$5),"",ROUND((M30-L30)*Settings!$B$3,1))</f>
        <v/>
      </c>
      <c r="X30" s="9" t="str">
        <f t="shared" si="4"/>
        <v/>
      </c>
      <c r="Y30" s="8" t="str">
        <f t="shared" si="5"/>
        <v/>
      </c>
    </row>
    <row r="31" spans="1:25" ht="15" customHeight="1">
      <c r="A31" s="14" t="s">
        <v>44</v>
      </c>
      <c r="B31" s="15" t="s">
        <v>32</v>
      </c>
      <c r="C31" s="15" t="s">
        <v>42</v>
      </c>
      <c r="D31" s="8"/>
      <c r="E31" s="8"/>
      <c r="F31" s="8"/>
      <c r="G31" s="8"/>
      <c r="H31" s="8"/>
      <c r="I31" s="8"/>
      <c r="J31" s="8"/>
      <c r="K31" s="8"/>
      <c r="L31" s="9" t="str">
        <f t="shared" si="0"/>
        <v/>
      </c>
      <c r="M31" s="9">
        <f>IFERROR(VLOOKUP(B31,Settings!$A$8:$B$11,2,FALSE),"")</f>
        <v>190</v>
      </c>
      <c r="N31" s="13">
        <v>58</v>
      </c>
      <c r="O31" s="13">
        <v>6</v>
      </c>
      <c r="P31" s="8">
        <f t="shared" si="1"/>
        <v>64</v>
      </c>
      <c r="Q31" s="17">
        <f>IFERROR(INDEX(MCSI_Table!$B$2:$E$72,MATCH(P31,MCSI_Table!$A$2:$A$72,0),MATCH(B31,MCSI_Table!$B$1:$E$1,0)),"")</f>
        <v>87.2</v>
      </c>
      <c r="R31" s="13">
        <v>57</v>
      </c>
      <c r="S31" s="13">
        <v>3</v>
      </c>
      <c r="T31" s="8">
        <f t="shared" si="2"/>
        <v>60</v>
      </c>
      <c r="U31" s="17">
        <f>IFERROR(INDEX(MCSI_Table!$B$2:$E$72,MATCH(T31,MCSI_Table!$A$2:$A$72,0),MATCH(B31,MCSI_Table!$B$1:$E$1,0)),"")</f>
        <v>80.5</v>
      </c>
      <c r="V31" s="18">
        <f t="shared" si="3"/>
        <v>167.7</v>
      </c>
      <c r="W31" s="9" t="str">
        <f>IF(OR(B31="",L31="",COUNT(D31:K31)&lt;Settings!$B$5),"",ROUND((M31-L31)*Settings!$B$3,1))</f>
        <v/>
      </c>
      <c r="X31" s="9" t="str">
        <f t="shared" si="4"/>
        <v/>
      </c>
      <c r="Y31" s="8" t="str">
        <f t="shared" si="5"/>
        <v/>
      </c>
    </row>
    <row r="32" spans="1:25" ht="15" customHeight="1">
      <c r="A32" s="14" t="s">
        <v>41</v>
      </c>
      <c r="B32" s="15" t="s">
        <v>32</v>
      </c>
      <c r="C32" s="15" t="s">
        <v>42</v>
      </c>
      <c r="D32" s="8"/>
      <c r="E32" s="8"/>
      <c r="F32" s="8"/>
      <c r="G32" s="8"/>
      <c r="H32" s="8"/>
      <c r="I32" s="8"/>
      <c r="J32" s="8"/>
      <c r="K32" s="8"/>
      <c r="L32" s="9" t="str">
        <f t="shared" si="0"/>
        <v/>
      </c>
      <c r="M32" s="9">
        <f>IFERROR(VLOOKUP(B32,Settings!$A$8:$B$11,2,FALSE),"")</f>
        <v>190</v>
      </c>
      <c r="N32" s="13"/>
      <c r="O32" s="13"/>
      <c r="P32" s="8" t="str">
        <f t="shared" si="1"/>
        <v/>
      </c>
      <c r="Q32" s="17" t="str">
        <f>IFERROR(INDEX(MCSI_Table!$B$2:$E$72,MATCH(P32,MCSI_Table!$A$2:$A$72,0),MATCH(B32,MCSI_Table!$B$1:$E$1,0)),"")</f>
        <v/>
      </c>
      <c r="R32" s="13"/>
      <c r="S32" s="13"/>
      <c r="T32" s="8" t="str">
        <f t="shared" si="2"/>
        <v/>
      </c>
      <c r="U32" s="17" t="str">
        <f>IFERROR(INDEX(MCSI_Table!$B$2:$E$72,MATCH(T32,MCSI_Table!$A$2:$A$72,0),MATCH(B32,MCSI_Table!$B$1:$E$1,0)),"")</f>
        <v/>
      </c>
      <c r="V32" s="18" t="str">
        <f t="shared" si="3"/>
        <v/>
      </c>
      <c r="W32" s="9" t="str">
        <f>IF(OR(B32="",L32="",COUNT(D32:K32)&lt;Settings!$B$5),"",ROUND((M32-L32)*Settings!$B$3,1))</f>
        <v/>
      </c>
      <c r="X32" s="9" t="str">
        <f t="shared" si="4"/>
        <v/>
      </c>
      <c r="Y32" s="8" t="str">
        <f t="shared" si="5"/>
        <v/>
      </c>
    </row>
    <row r="33" spans="1:25" ht="15" customHeight="1">
      <c r="A33" s="14" t="s">
        <v>53</v>
      </c>
      <c r="B33" s="15" t="s">
        <v>32</v>
      </c>
      <c r="C33" s="15" t="s">
        <v>42</v>
      </c>
      <c r="D33" s="8"/>
      <c r="E33" s="8"/>
      <c r="F33" s="8"/>
      <c r="G33" s="8"/>
      <c r="H33" s="8"/>
      <c r="I33" s="8"/>
      <c r="J33" s="8"/>
      <c r="K33" s="8"/>
      <c r="L33" s="9" t="str">
        <f t="shared" si="0"/>
        <v/>
      </c>
      <c r="M33" s="9">
        <f>IFERROR(VLOOKUP(B33,Settings!$A$8:$B$11,2,FALSE),"")</f>
        <v>190</v>
      </c>
      <c r="N33" s="13"/>
      <c r="O33" s="13"/>
      <c r="P33" s="8" t="str">
        <f t="shared" si="1"/>
        <v/>
      </c>
      <c r="Q33" s="9" t="str">
        <f>IFERROR(INDEX(MCSI_Table!$B$2:$E$72,MATCH(P33,MCSI_Table!$A$2:$A$72,0),MATCH(B33,MCSI_Table!$B$1:$E$1,0)),"")</f>
        <v/>
      </c>
      <c r="R33" s="13"/>
      <c r="S33" s="13"/>
      <c r="T33" s="8" t="str">
        <f t="shared" si="2"/>
        <v/>
      </c>
      <c r="U33" s="9" t="str">
        <f>IFERROR(INDEX(MCSI_Table!$B$2:$E$72,MATCH(T33,MCSI_Table!$A$2:$A$72,0),MATCH(B33,MCSI_Table!$B$1:$E$1,0)),"")</f>
        <v/>
      </c>
      <c r="V33" s="9" t="str">
        <f t="shared" si="3"/>
        <v/>
      </c>
      <c r="W33" s="9" t="str">
        <f>IF(OR(B33="",L33="",COUNT(D33:K33)&lt;Settings!$B$5),"",ROUND((M33-L33)*Settings!$B$3,1))</f>
        <v/>
      </c>
      <c r="X33" s="9" t="str">
        <f t="shared" si="4"/>
        <v/>
      </c>
      <c r="Y33" s="8" t="str">
        <f t="shared" si="5"/>
        <v/>
      </c>
    </row>
    <row r="34" spans="1:25" ht="15" customHeight="1">
      <c r="A34" s="14" t="s">
        <v>60</v>
      </c>
      <c r="B34" s="15"/>
      <c r="C34" s="15" t="s">
        <v>42</v>
      </c>
      <c r="D34" s="8"/>
      <c r="E34" s="8"/>
      <c r="F34" s="8"/>
      <c r="G34" s="8"/>
      <c r="H34" s="8"/>
      <c r="I34" s="8"/>
      <c r="J34" s="8"/>
      <c r="K34" s="8"/>
      <c r="L34" s="9" t="str">
        <f t="shared" si="0"/>
        <v/>
      </c>
      <c r="M34" s="9" t="str">
        <f>IFERROR(VLOOKUP(B34,Settings!$A$8:$B$11,2,FALSE),"")</f>
        <v/>
      </c>
      <c r="N34" s="13"/>
      <c r="O34" s="13"/>
      <c r="P34" s="8" t="str">
        <f t="shared" si="1"/>
        <v/>
      </c>
      <c r="Q34" s="9" t="str">
        <f>IFERROR(INDEX(MCSI_Table!$B$2:$E$72,MATCH(P34,MCSI_Table!$A$2:$A$72,0),MATCH(B34,MCSI_Table!$B$1:$E$1,0)),"")</f>
        <v/>
      </c>
      <c r="R34" s="13"/>
      <c r="S34" s="13"/>
      <c r="T34" s="8" t="str">
        <f t="shared" si="2"/>
        <v/>
      </c>
      <c r="U34" s="9" t="str">
        <f>IFERROR(INDEX(MCSI_Table!$B$2:$E$72,MATCH(T34,MCSI_Table!$A$2:$A$72,0),MATCH(B34,MCSI_Table!$B$1:$E$1,0)),"")</f>
        <v/>
      </c>
      <c r="V34" s="9" t="str">
        <f t="shared" si="3"/>
        <v/>
      </c>
      <c r="W34" s="9" t="str">
        <f>IF(OR(B34="",L34="",COUNT(D34:K34)&lt;Settings!$B$5),"",ROUND((M34-L34)*Settings!$B$3,1))</f>
        <v/>
      </c>
      <c r="X34" s="9" t="str">
        <f t="shared" si="4"/>
        <v/>
      </c>
      <c r="Y34" s="8" t="str">
        <f t="shared" si="5"/>
        <v/>
      </c>
    </row>
    <row r="35" spans="1:25" ht="15" customHeight="1">
      <c r="A35" s="14" t="s">
        <v>49</v>
      </c>
      <c r="B35" s="15" t="s">
        <v>22</v>
      </c>
      <c r="C35" s="15" t="s">
        <v>42</v>
      </c>
      <c r="D35" s="8"/>
      <c r="E35" s="8"/>
      <c r="F35" s="8"/>
      <c r="G35" s="8"/>
      <c r="H35" s="8"/>
      <c r="I35" s="8"/>
      <c r="J35" s="8"/>
      <c r="K35" s="8"/>
      <c r="L35" s="9" t="str">
        <f t="shared" ref="L35:L51" si="6">IF(COUNT(D35:K35)=0,"",ROUND(AVERAGE(D35:K35),1))</f>
        <v/>
      </c>
      <c r="M35" s="9">
        <f>IFERROR(VLOOKUP(B35,Settings!$A$8:$B$11,2,FALSE),"")</f>
        <v>190</v>
      </c>
      <c r="N35" s="13">
        <v>47</v>
      </c>
      <c r="O35" s="13">
        <v>0</v>
      </c>
      <c r="P35" s="8">
        <f t="shared" ref="P35:P51" si="7">IF(OR(N35="",O35=""),"",N35+O35)</f>
        <v>47</v>
      </c>
      <c r="Q35" s="9">
        <f>IFERROR(INDEX(MCSI_Table!$B$2:$E$72,MATCH(P35,MCSI_Table!$A$2:$A$72,0),MATCH(B35,MCSI_Table!$B$1:$E$1,0)),"")</f>
        <v>67.099999999999994</v>
      </c>
      <c r="R35" s="13">
        <v>57</v>
      </c>
      <c r="S35" s="13">
        <v>2</v>
      </c>
      <c r="T35" s="8">
        <f t="shared" ref="T35:T51" si="8">IF(OR(R35="",S35=""),"",R35+S35)</f>
        <v>59</v>
      </c>
      <c r="U35" s="9">
        <f>IFERROR(INDEX(MCSI_Table!$B$2:$E$72,MATCH(T35,MCSI_Table!$A$2:$A$72,0),MATCH(B35,MCSI_Table!$B$1:$E$1,0)),"")</f>
        <v>84.3</v>
      </c>
      <c r="V35" s="9">
        <f t="shared" ref="V35:V51" si="9">IF(OR(Q35="",U35=""),"",ROUND(Q35+U35,1))</f>
        <v>151.4</v>
      </c>
      <c r="W35" s="9" t="str">
        <f>IF(OR(B35="",L35="",COUNT(D35:K35)&lt;Settings!$B$5),"",ROUND((M35-L35)*Settings!$B$3,1))</f>
        <v/>
      </c>
      <c r="X35" s="9" t="str">
        <f t="shared" ref="X35:X51" si="10">IF(OR(V35="",W35=""),"",ROUND(V35+W35,1))</f>
        <v/>
      </c>
      <c r="Y35" s="8" t="str">
        <f t="shared" ref="Y35:Y51" si="11">IF(ISNUMBER(X35),1+COUNTIF($X$3:$X$51,"&gt;"&amp;X35),"")</f>
        <v/>
      </c>
    </row>
    <row r="36" spans="1:25" ht="15" customHeight="1">
      <c r="A36" s="14" t="s">
        <v>55</v>
      </c>
      <c r="B36" s="15" t="s">
        <v>56</v>
      </c>
      <c r="C36" s="15" t="s">
        <v>42</v>
      </c>
      <c r="D36" s="8"/>
      <c r="E36" s="8"/>
      <c r="F36" s="8"/>
      <c r="G36" s="8"/>
      <c r="H36" s="8"/>
      <c r="I36" s="8"/>
      <c r="J36" s="8"/>
      <c r="K36" s="8"/>
      <c r="L36" s="9" t="str">
        <f t="shared" si="6"/>
        <v/>
      </c>
      <c r="M36" s="9">
        <f>IFERROR(VLOOKUP(B36,Settings!$A$8:$B$11,2,FALSE),"")</f>
        <v>190</v>
      </c>
      <c r="N36" s="13"/>
      <c r="O36" s="13"/>
      <c r="P36" s="8" t="str">
        <f t="shared" si="7"/>
        <v/>
      </c>
      <c r="Q36" s="9" t="str">
        <f>IFERROR(INDEX(MCSI_Table!$B$2:$E$72,MATCH(P36,MCSI_Table!$A$2:$A$72,0),MATCH(B36,MCSI_Table!$B$1:$E$1,0)),"")</f>
        <v/>
      </c>
      <c r="R36" s="13"/>
      <c r="S36" s="13"/>
      <c r="T36" s="8" t="str">
        <f t="shared" si="8"/>
        <v/>
      </c>
      <c r="U36" s="9" t="str">
        <f>IFERROR(INDEX(MCSI_Table!$B$2:$E$72,MATCH(T36,MCSI_Table!$A$2:$A$72,0),MATCH(B36,MCSI_Table!$B$1:$E$1,0)),"")</f>
        <v/>
      </c>
      <c r="V36" s="9" t="str">
        <f t="shared" si="9"/>
        <v/>
      </c>
      <c r="W36" s="9" t="str">
        <f>IF(OR(B36="",L36="",COUNT(D36:K36)&lt;Settings!$B$5),"",ROUND((M36-L36)*Settings!$B$3,1))</f>
        <v/>
      </c>
      <c r="X36" s="9" t="str">
        <f t="shared" si="10"/>
        <v/>
      </c>
      <c r="Y36" s="8" t="str">
        <f t="shared" si="11"/>
        <v/>
      </c>
    </row>
    <row r="37" spans="1:25" ht="15" customHeight="1">
      <c r="A37" s="14" t="s">
        <v>62</v>
      </c>
      <c r="B37" s="15"/>
      <c r="C37" s="15" t="s">
        <v>63</v>
      </c>
      <c r="D37" s="8"/>
      <c r="E37" s="8"/>
      <c r="F37" s="8"/>
      <c r="G37" s="8"/>
      <c r="H37" s="8"/>
      <c r="I37" s="8"/>
      <c r="J37" s="8"/>
      <c r="K37" s="8"/>
      <c r="L37" s="9" t="str">
        <f t="shared" si="6"/>
        <v/>
      </c>
      <c r="M37" s="9" t="str">
        <f>IFERROR(VLOOKUP(B37,Settings!$A$8:$B$11,2,FALSE),"")</f>
        <v/>
      </c>
      <c r="N37" s="13"/>
      <c r="O37" s="13"/>
      <c r="P37" s="8" t="str">
        <f t="shared" si="7"/>
        <v/>
      </c>
      <c r="Q37" s="9" t="str">
        <f>IFERROR(INDEX(MCSI_Table!$B$2:$E$72,MATCH(P37,MCSI_Table!$A$2:$A$72,0),MATCH(B37,MCSI_Table!$B$1:$E$1,0)),"")</f>
        <v/>
      </c>
      <c r="R37" s="13"/>
      <c r="S37" s="13"/>
      <c r="T37" s="8" t="str">
        <f t="shared" si="8"/>
        <v/>
      </c>
      <c r="U37" s="9" t="str">
        <f>IFERROR(INDEX(MCSI_Table!$B$2:$E$72,MATCH(T37,MCSI_Table!$A$2:$A$72,0),MATCH(B37,MCSI_Table!$B$1:$E$1,0)),"")</f>
        <v/>
      </c>
      <c r="V37" s="9" t="str">
        <f t="shared" si="9"/>
        <v/>
      </c>
      <c r="W37" s="9" t="str">
        <f>IF(OR(B37="",L37="",COUNT(D37:K37)&lt;Settings!$B$5),"",ROUND((M37-L37)*Settings!$B$3,1))</f>
        <v/>
      </c>
      <c r="X37" s="9" t="str">
        <f t="shared" si="10"/>
        <v/>
      </c>
      <c r="Y37" s="8" t="str">
        <f t="shared" si="11"/>
        <v/>
      </c>
    </row>
    <row r="38" spans="1:25" ht="15" customHeight="1">
      <c r="A38" s="14" t="s">
        <v>64</v>
      </c>
      <c r="B38" s="15"/>
      <c r="C38" s="15" t="s">
        <v>63</v>
      </c>
      <c r="D38" s="8"/>
      <c r="E38" s="8"/>
      <c r="F38" s="8"/>
      <c r="G38" s="8"/>
      <c r="H38" s="8"/>
      <c r="I38" s="8"/>
      <c r="J38" s="8"/>
      <c r="K38" s="8"/>
      <c r="L38" s="9" t="str">
        <f t="shared" si="6"/>
        <v/>
      </c>
      <c r="M38" s="9" t="str">
        <f>IFERROR(VLOOKUP(B38,Settings!$A$8:$B$11,2,FALSE),"")</f>
        <v/>
      </c>
      <c r="N38" s="13"/>
      <c r="O38" s="13"/>
      <c r="P38" s="8" t="str">
        <f t="shared" si="7"/>
        <v/>
      </c>
      <c r="Q38" s="9" t="str">
        <f>IFERROR(INDEX(MCSI_Table!$B$2:$E$72,MATCH(P38,MCSI_Table!$A$2:$A$72,0),MATCH(B38,MCSI_Table!$B$1:$E$1,0)),"")</f>
        <v/>
      </c>
      <c r="R38" s="13"/>
      <c r="S38" s="13"/>
      <c r="T38" s="8" t="str">
        <f t="shared" si="8"/>
        <v/>
      </c>
      <c r="U38" s="9" t="str">
        <f>IFERROR(INDEX(MCSI_Table!$B$2:$E$72,MATCH(T38,MCSI_Table!$A$2:$A$72,0),MATCH(B38,MCSI_Table!$B$1:$E$1,0)),"")</f>
        <v/>
      </c>
      <c r="V38" s="9" t="str">
        <f t="shared" si="9"/>
        <v/>
      </c>
      <c r="W38" s="9" t="str">
        <f>IF(OR(B38="",L38="",COUNT(D38:K38)&lt;Settings!$B$5),"",ROUND((M38-L38)*Settings!$B$3,1))</f>
        <v/>
      </c>
      <c r="X38" s="9" t="str">
        <f t="shared" si="10"/>
        <v/>
      </c>
      <c r="Y38" s="8" t="str">
        <f t="shared" si="11"/>
        <v/>
      </c>
    </row>
    <row r="39" spans="1:25" ht="15" customHeight="1">
      <c r="A39" s="14" t="s">
        <v>66</v>
      </c>
      <c r="B39" s="15" t="s">
        <v>22</v>
      </c>
      <c r="C39" s="15" t="s">
        <v>65</v>
      </c>
      <c r="D39" s="8"/>
      <c r="E39" s="8"/>
      <c r="F39" s="8"/>
      <c r="G39" s="8"/>
      <c r="H39" s="8"/>
      <c r="I39" s="8"/>
      <c r="J39" s="8"/>
      <c r="K39" s="8"/>
      <c r="L39" s="9" t="str">
        <f t="shared" si="6"/>
        <v/>
      </c>
      <c r="M39" s="9">
        <f>IFERROR(VLOOKUP(B39,Settings!$A$8:$B$11,2,FALSE),"")</f>
        <v>190</v>
      </c>
      <c r="N39" s="13">
        <v>59</v>
      </c>
      <c r="O39" s="13">
        <v>4</v>
      </c>
      <c r="P39" s="8">
        <f t="shared" si="7"/>
        <v>63</v>
      </c>
      <c r="Q39" s="9">
        <f>IFERROR(INDEX(MCSI_Table!$B$2:$E$72,MATCH(P39,MCSI_Table!$A$2:$A$72,0),MATCH(B39,MCSI_Table!$B$1:$E$1,0)),"")</f>
        <v>90</v>
      </c>
      <c r="R39" s="13">
        <v>60</v>
      </c>
      <c r="S39" s="13">
        <v>6</v>
      </c>
      <c r="T39" s="8">
        <f t="shared" si="8"/>
        <v>66</v>
      </c>
      <c r="U39" s="9">
        <f>IFERROR(INDEX(MCSI_Table!$B$2:$E$72,MATCH(T39,MCSI_Table!$A$2:$A$72,0),MATCH(B39,MCSI_Table!$B$1:$E$1,0)),"")</f>
        <v>94.3</v>
      </c>
      <c r="V39" s="9">
        <f t="shared" si="9"/>
        <v>184.3</v>
      </c>
      <c r="W39" s="9" t="str">
        <f>IF(OR(B39="",L39="",COUNT(D39:K39)&lt;Settings!$B$5),"",ROUND((M39-L39)*Settings!$B$3,1))</f>
        <v/>
      </c>
      <c r="X39" s="9" t="str">
        <f t="shared" si="10"/>
        <v/>
      </c>
      <c r="Y39" s="8" t="str">
        <f t="shared" si="11"/>
        <v/>
      </c>
    </row>
    <row r="40" spans="1:25" ht="15" customHeight="1">
      <c r="A40" s="14" t="s">
        <v>36</v>
      </c>
      <c r="B40" s="15" t="s">
        <v>56</v>
      </c>
      <c r="C40" s="15" t="s">
        <v>65</v>
      </c>
      <c r="D40" s="8"/>
      <c r="E40" s="8"/>
      <c r="F40" s="8"/>
      <c r="G40" s="8"/>
      <c r="H40" s="8"/>
      <c r="I40" s="8"/>
      <c r="J40" s="8"/>
      <c r="K40" s="8"/>
      <c r="L40" s="9" t="str">
        <f t="shared" si="6"/>
        <v/>
      </c>
      <c r="M40" s="9">
        <f>IFERROR(VLOOKUP(B40,Settings!$A$8:$B$11,2,FALSE),"")</f>
        <v>190</v>
      </c>
      <c r="N40" s="13">
        <v>56</v>
      </c>
      <c r="O40" s="13">
        <v>4</v>
      </c>
      <c r="P40" s="8">
        <f t="shared" si="7"/>
        <v>60</v>
      </c>
      <c r="Q40" s="9">
        <f>IFERROR(INDEX(MCSI_Table!$B$2:$E$72,MATCH(P40,MCSI_Table!$A$2:$A$72,0),MATCH(B40,MCSI_Table!$B$1:$E$1,0)),"")</f>
        <v>83.2</v>
      </c>
      <c r="R40" s="13">
        <v>58</v>
      </c>
      <c r="S40" s="13">
        <v>4</v>
      </c>
      <c r="T40" s="8">
        <f t="shared" si="8"/>
        <v>62</v>
      </c>
      <c r="U40" s="9">
        <f>IFERROR(INDEX(MCSI_Table!$B$2:$E$72,MATCH(T40,MCSI_Table!$A$2:$A$72,0),MATCH(B40,MCSI_Table!$B$1:$E$1,0)),"")</f>
        <v>86.3</v>
      </c>
      <c r="V40" s="9">
        <f t="shared" si="9"/>
        <v>169.5</v>
      </c>
      <c r="W40" s="9" t="str">
        <f>IF(OR(B40="",L40="",COUNT(D40:K40)&lt;Settings!$B$5),"",ROUND((M40-L40)*Settings!$B$3,1))</f>
        <v/>
      </c>
      <c r="X40" s="9" t="str">
        <f t="shared" si="10"/>
        <v/>
      </c>
      <c r="Y40" s="8" t="str">
        <f t="shared" si="11"/>
        <v/>
      </c>
    </row>
    <row r="41" spans="1:25" ht="15" customHeight="1">
      <c r="A41" s="14" t="s">
        <v>67</v>
      </c>
      <c r="B41" s="15"/>
      <c r="C41" s="19" t="s">
        <v>65</v>
      </c>
      <c r="D41" s="8"/>
      <c r="E41" s="8"/>
      <c r="F41" s="8"/>
      <c r="G41" s="8"/>
      <c r="H41" s="8"/>
      <c r="I41" s="8"/>
      <c r="J41" s="8"/>
      <c r="K41" s="8"/>
      <c r="L41" s="9" t="str">
        <f t="shared" si="6"/>
        <v/>
      </c>
      <c r="M41" s="9" t="str">
        <f>IFERROR(VLOOKUP(B41,Settings!$A$8:$B$11,2,FALSE),"")</f>
        <v/>
      </c>
      <c r="N41" s="13">
        <v>58</v>
      </c>
      <c r="O41" s="13">
        <v>5</v>
      </c>
      <c r="P41" s="8">
        <f t="shared" si="7"/>
        <v>63</v>
      </c>
      <c r="Q41" s="9" t="str">
        <f>IFERROR(INDEX(MCSI_Table!$B$2:$E$72,MATCH(P41,MCSI_Table!$A$2:$A$72,0),MATCH(B41,MCSI_Table!$B$1:$E$1,0)),"")</f>
        <v/>
      </c>
      <c r="R41" s="13">
        <v>58</v>
      </c>
      <c r="S41" s="13">
        <v>4</v>
      </c>
      <c r="T41" s="8">
        <f t="shared" si="8"/>
        <v>62</v>
      </c>
      <c r="U41" s="9" t="str">
        <f>IFERROR(INDEX(MCSI_Table!$B$2:$E$72,MATCH(T41,MCSI_Table!$A$2:$A$72,0),MATCH(B41,MCSI_Table!$B$1:$E$1,0)),"")</f>
        <v/>
      </c>
      <c r="V41" s="9" t="str">
        <f t="shared" si="9"/>
        <v/>
      </c>
      <c r="W41" s="9" t="str">
        <f>IF(OR(B41="",L41="",COUNT(D41:K41)&lt;Settings!$B$5),"",ROUND((M41-L41)*Settings!$B$3,1))</f>
        <v/>
      </c>
      <c r="X41" s="9" t="str">
        <f t="shared" si="10"/>
        <v/>
      </c>
      <c r="Y41" s="8" t="str">
        <f t="shared" si="11"/>
        <v/>
      </c>
    </row>
    <row r="42" spans="1:25" ht="15" customHeight="1">
      <c r="A42" s="14" t="s">
        <v>71</v>
      </c>
      <c r="B42" s="15"/>
      <c r="C42" s="19" t="s">
        <v>69</v>
      </c>
      <c r="D42" s="8"/>
      <c r="E42" s="8"/>
      <c r="F42" s="8"/>
      <c r="G42" s="8"/>
      <c r="H42" s="8"/>
      <c r="I42" s="8"/>
      <c r="J42" s="8"/>
      <c r="K42" s="8"/>
      <c r="L42" s="9" t="str">
        <f t="shared" si="6"/>
        <v/>
      </c>
      <c r="M42" s="9" t="str">
        <f>IFERROR(VLOOKUP(B42,Settings!$A$8:$B$11,2,FALSE),"")</f>
        <v/>
      </c>
      <c r="N42" s="13">
        <v>49</v>
      </c>
      <c r="O42" s="13">
        <v>0</v>
      </c>
      <c r="P42" s="8">
        <f t="shared" si="7"/>
        <v>49</v>
      </c>
      <c r="Q42" s="9" t="str">
        <f>IFERROR(INDEX(MCSI_Table!$B$2:$E$72,MATCH(P42,MCSI_Table!$A$2:$A$72,0),MATCH(B42,MCSI_Table!$B$1:$E$1,0)),"")</f>
        <v/>
      </c>
      <c r="R42" s="13">
        <v>55</v>
      </c>
      <c r="S42" s="13">
        <v>2</v>
      </c>
      <c r="T42" s="8">
        <f t="shared" si="8"/>
        <v>57</v>
      </c>
      <c r="U42" s="9" t="str">
        <f>IFERROR(INDEX(MCSI_Table!$B$2:$E$72,MATCH(T42,MCSI_Table!$A$2:$A$72,0),MATCH(B42,MCSI_Table!$B$1:$E$1,0)),"")</f>
        <v/>
      </c>
      <c r="V42" s="9" t="str">
        <f t="shared" si="9"/>
        <v/>
      </c>
      <c r="W42" s="9" t="str">
        <f>IF(OR(B42="",L42="",COUNT(D42:K42)&lt;Settings!$B$5),"",ROUND((M42-L42)*Settings!$B$3,1))</f>
        <v/>
      </c>
      <c r="X42" s="9" t="str">
        <f t="shared" si="10"/>
        <v/>
      </c>
      <c r="Y42" s="8" t="str">
        <f t="shared" si="11"/>
        <v/>
      </c>
    </row>
    <row r="43" spans="1:25" ht="15" customHeight="1">
      <c r="A43" s="14" t="s">
        <v>72</v>
      </c>
      <c r="B43" s="15"/>
      <c r="C43" s="19" t="s">
        <v>69</v>
      </c>
      <c r="D43" s="8"/>
      <c r="E43" s="8"/>
      <c r="F43" s="8"/>
      <c r="G43" s="8"/>
      <c r="H43" s="8"/>
      <c r="I43" s="8"/>
      <c r="J43" s="8"/>
      <c r="K43" s="8"/>
      <c r="L43" s="9" t="str">
        <f t="shared" si="6"/>
        <v/>
      </c>
      <c r="M43" s="9" t="str">
        <f>IFERROR(VLOOKUP(B43,Settings!$A$8:$B$11,2,FALSE),"")</f>
        <v/>
      </c>
      <c r="N43" s="13">
        <v>60</v>
      </c>
      <c r="O43" s="13">
        <v>4</v>
      </c>
      <c r="P43" s="8">
        <f t="shared" si="7"/>
        <v>64</v>
      </c>
      <c r="Q43" s="9" t="str">
        <f>IFERROR(INDEX(MCSI_Table!$B$2:$E$72,MATCH(P43,MCSI_Table!$A$2:$A$72,0),MATCH(B43,MCSI_Table!$B$1:$E$1,0)),"")</f>
        <v/>
      </c>
      <c r="R43" s="13">
        <v>60</v>
      </c>
      <c r="S43" s="13">
        <v>5</v>
      </c>
      <c r="T43" s="8">
        <f t="shared" si="8"/>
        <v>65</v>
      </c>
      <c r="U43" s="9" t="str">
        <f>IFERROR(INDEX(MCSI_Table!$B$2:$E$72,MATCH(T43,MCSI_Table!$A$2:$A$72,0),MATCH(B43,MCSI_Table!$B$1:$E$1,0)),"")</f>
        <v/>
      </c>
      <c r="V43" s="9" t="str">
        <f t="shared" si="9"/>
        <v/>
      </c>
      <c r="W43" s="9" t="str">
        <f>IF(OR(B43="",L43="",COUNT(D43:K43)&lt;Settings!$B$5),"",ROUND((M43-L43)*Settings!$B$3,1))</f>
        <v/>
      </c>
      <c r="X43" s="9" t="str">
        <f t="shared" si="10"/>
        <v/>
      </c>
      <c r="Y43" s="8" t="str">
        <f t="shared" si="11"/>
        <v/>
      </c>
    </row>
    <row r="44" spans="1:25" ht="15" customHeight="1">
      <c r="A44" s="14" t="s">
        <v>73</v>
      </c>
      <c r="B44" s="15"/>
      <c r="C44" s="15" t="s">
        <v>69</v>
      </c>
      <c r="D44" s="8"/>
      <c r="E44" s="8"/>
      <c r="F44" s="8"/>
      <c r="G44" s="8"/>
      <c r="H44" s="8"/>
      <c r="I44" s="8"/>
      <c r="J44" s="8"/>
      <c r="K44" s="8"/>
      <c r="L44" s="9" t="str">
        <f t="shared" si="6"/>
        <v/>
      </c>
      <c r="M44" s="9" t="str">
        <f>IFERROR(VLOOKUP(B44,Settings!$A$8:$B$11,2,FALSE),"")</f>
        <v/>
      </c>
      <c r="N44" s="13"/>
      <c r="O44" s="13"/>
      <c r="P44" s="8" t="str">
        <f t="shared" si="7"/>
        <v/>
      </c>
      <c r="Q44" s="9" t="str">
        <f>IFERROR(INDEX(MCSI_Table!$B$2:$E$72,MATCH(P44,MCSI_Table!$A$2:$A$72,0),MATCH(B44,MCSI_Table!$B$1:$E$1,0)),"")</f>
        <v/>
      </c>
      <c r="R44" s="13"/>
      <c r="S44" s="13"/>
      <c r="T44" s="8" t="str">
        <f t="shared" si="8"/>
        <v/>
      </c>
      <c r="U44" s="9" t="str">
        <f>IFERROR(INDEX(MCSI_Table!$B$2:$E$72,MATCH(T44,MCSI_Table!$A$2:$A$72,0),MATCH(B44,MCSI_Table!$B$1:$E$1,0)),"")</f>
        <v/>
      </c>
      <c r="V44" s="9" t="str">
        <f t="shared" si="9"/>
        <v/>
      </c>
      <c r="W44" s="9" t="str">
        <f>IF(OR(B44="",L44="",COUNT(D44:K44)&lt;Settings!$B$5),"",ROUND((M44-L44)*Settings!$B$3,1))</f>
        <v/>
      </c>
      <c r="X44" s="9" t="str">
        <f t="shared" si="10"/>
        <v/>
      </c>
      <c r="Y44" s="8" t="str">
        <f t="shared" si="11"/>
        <v/>
      </c>
    </row>
    <row r="45" spans="1:25" ht="15" customHeight="1">
      <c r="A45" s="14" t="s">
        <v>74</v>
      </c>
      <c r="B45" s="15"/>
      <c r="C45" s="15" t="s">
        <v>69</v>
      </c>
      <c r="D45" s="8"/>
      <c r="E45" s="8"/>
      <c r="F45" s="8"/>
      <c r="G45" s="8"/>
      <c r="H45" s="8"/>
      <c r="I45" s="8"/>
      <c r="J45" s="8"/>
      <c r="K45" s="8"/>
      <c r="L45" s="9" t="str">
        <f t="shared" si="6"/>
        <v/>
      </c>
      <c r="M45" s="9" t="str">
        <f>IFERROR(VLOOKUP(B45,Settings!$A$8:$B$11,2,FALSE),"")</f>
        <v/>
      </c>
      <c r="N45" s="13"/>
      <c r="O45" s="13"/>
      <c r="P45" s="8" t="str">
        <f t="shared" si="7"/>
        <v/>
      </c>
      <c r="Q45" s="9" t="str">
        <f>IFERROR(INDEX(MCSI_Table!$B$2:$E$72,MATCH(P45,MCSI_Table!$A$2:$A$72,0),MATCH(B45,MCSI_Table!$B$1:$E$1,0)),"")</f>
        <v/>
      </c>
      <c r="R45" s="13"/>
      <c r="S45" s="13"/>
      <c r="T45" s="8" t="str">
        <f t="shared" si="8"/>
        <v/>
      </c>
      <c r="U45" s="9" t="str">
        <f>IFERROR(INDEX(MCSI_Table!$B$2:$E$72,MATCH(T45,MCSI_Table!$A$2:$A$72,0),MATCH(B45,MCSI_Table!$B$1:$E$1,0)),"")</f>
        <v/>
      </c>
      <c r="V45" s="9" t="str">
        <f t="shared" si="9"/>
        <v/>
      </c>
      <c r="W45" s="9" t="str">
        <f>IF(OR(B45="",L45="",COUNT(D45:K45)&lt;Settings!$B$5),"",ROUND((M45-L45)*Settings!$B$3,1))</f>
        <v/>
      </c>
      <c r="X45" s="9" t="str">
        <f t="shared" si="10"/>
        <v/>
      </c>
      <c r="Y45" s="8" t="str">
        <f t="shared" si="11"/>
        <v/>
      </c>
    </row>
    <row r="46" spans="1:25" ht="15" customHeight="1">
      <c r="A46" s="14" t="s">
        <v>75</v>
      </c>
      <c r="B46" s="15"/>
      <c r="C46" s="19" t="s">
        <v>69</v>
      </c>
      <c r="D46" s="8"/>
      <c r="E46" s="8"/>
      <c r="F46" s="8"/>
      <c r="G46" s="8"/>
      <c r="H46" s="8"/>
      <c r="I46" s="8"/>
      <c r="J46" s="8"/>
      <c r="K46" s="8"/>
      <c r="L46" s="9" t="str">
        <f t="shared" si="6"/>
        <v/>
      </c>
      <c r="M46" s="9" t="str">
        <f>IFERROR(VLOOKUP(B46,Settings!$A$8:$B$11,2,FALSE),"")</f>
        <v/>
      </c>
      <c r="N46" s="13">
        <v>51</v>
      </c>
      <c r="O46" s="13">
        <v>1</v>
      </c>
      <c r="P46" s="8">
        <f t="shared" si="7"/>
        <v>52</v>
      </c>
      <c r="Q46" s="9" t="str">
        <f>IFERROR(INDEX(MCSI_Table!$B$2:$E$72,MATCH(P46,MCSI_Table!$A$2:$A$72,0),MATCH(B46,MCSI_Table!$B$1:$E$1,0)),"")</f>
        <v/>
      </c>
      <c r="R46" s="13">
        <v>58</v>
      </c>
      <c r="S46" s="13">
        <v>5</v>
      </c>
      <c r="T46" s="8">
        <f t="shared" si="8"/>
        <v>63</v>
      </c>
      <c r="U46" s="9" t="str">
        <f>IFERROR(INDEX(MCSI_Table!$B$2:$E$72,MATCH(T46,MCSI_Table!$A$2:$A$72,0),MATCH(B46,MCSI_Table!$B$1:$E$1,0)),"")</f>
        <v/>
      </c>
      <c r="V46" s="9" t="str">
        <f t="shared" si="9"/>
        <v/>
      </c>
      <c r="W46" s="9" t="str">
        <f>IF(OR(B46="",L46="",COUNT(D46:K46)&lt;Settings!$B$5),"",ROUND((M46-L46)*Settings!$B$3,1))</f>
        <v/>
      </c>
      <c r="X46" s="9" t="str">
        <f t="shared" si="10"/>
        <v/>
      </c>
      <c r="Y46" s="8" t="str">
        <f t="shared" si="11"/>
        <v/>
      </c>
    </row>
    <row r="47" spans="1:25" ht="15" customHeight="1">
      <c r="A47" s="14" t="s">
        <v>70</v>
      </c>
      <c r="B47" s="15" t="s">
        <v>56</v>
      </c>
      <c r="C47" s="15" t="s">
        <v>69</v>
      </c>
      <c r="D47" s="8"/>
      <c r="E47" s="8"/>
      <c r="F47" s="8"/>
      <c r="G47" s="8"/>
      <c r="H47" s="8"/>
      <c r="I47" s="8"/>
      <c r="J47" s="8"/>
      <c r="K47" s="8"/>
      <c r="L47" s="9" t="str">
        <f t="shared" si="6"/>
        <v/>
      </c>
      <c r="M47" s="9">
        <f>IFERROR(VLOOKUP(B47,Settings!$A$8:$B$11,2,FALSE),"")</f>
        <v>190</v>
      </c>
      <c r="N47" s="13"/>
      <c r="O47" s="13"/>
      <c r="P47" s="8" t="str">
        <f t="shared" si="7"/>
        <v/>
      </c>
      <c r="Q47" s="9" t="str">
        <f>IFERROR(INDEX(MCSI_Table!$B$2:$E$72,MATCH(P47,MCSI_Table!$A$2:$A$72,0),MATCH(B47,MCSI_Table!$B$1:$E$1,0)),"")</f>
        <v/>
      </c>
      <c r="R47" s="13"/>
      <c r="S47" s="13"/>
      <c r="T47" s="8" t="str">
        <f t="shared" si="8"/>
        <v/>
      </c>
      <c r="U47" s="9" t="str">
        <f>IFERROR(INDEX(MCSI_Table!$B$2:$E$72,MATCH(T47,MCSI_Table!$A$2:$A$72,0),MATCH(B47,MCSI_Table!$B$1:$E$1,0)),"")</f>
        <v/>
      </c>
      <c r="V47" s="9" t="str">
        <f t="shared" si="9"/>
        <v/>
      </c>
      <c r="W47" s="9" t="str">
        <f>IF(OR(B47="",L47="",COUNT(D47:K47)&lt;Settings!$B$5),"",ROUND((M47-L47)*Settings!$B$3,1))</f>
        <v/>
      </c>
      <c r="X47" s="9" t="str">
        <f t="shared" si="10"/>
        <v/>
      </c>
      <c r="Y47" s="8" t="str">
        <f t="shared" si="11"/>
        <v/>
      </c>
    </row>
    <row r="48" spans="1:25" ht="15" customHeight="1">
      <c r="A48" s="14" t="s">
        <v>76</v>
      </c>
      <c r="B48" s="15"/>
      <c r="C48" s="15" t="s">
        <v>69</v>
      </c>
      <c r="D48" s="8"/>
      <c r="E48" s="8"/>
      <c r="F48" s="8"/>
      <c r="G48" s="8"/>
      <c r="H48" s="8"/>
      <c r="I48" s="8"/>
      <c r="J48" s="8"/>
      <c r="K48" s="8"/>
      <c r="L48" s="9" t="str">
        <f t="shared" si="6"/>
        <v/>
      </c>
      <c r="M48" s="9" t="str">
        <f>IFERROR(VLOOKUP(B48,Settings!$A$8:$B$11,2,FALSE),"")</f>
        <v/>
      </c>
      <c r="N48" s="13"/>
      <c r="O48" s="13"/>
      <c r="P48" s="8" t="str">
        <f t="shared" si="7"/>
        <v/>
      </c>
      <c r="Q48" s="9" t="str">
        <f>IFERROR(INDEX(MCSI_Table!$B$2:$E$72,MATCH(P48,MCSI_Table!$A$2:$A$72,0),MATCH(B48,MCSI_Table!$B$1:$E$1,0)),"")</f>
        <v/>
      </c>
      <c r="R48" s="13"/>
      <c r="S48" s="13"/>
      <c r="T48" s="8" t="str">
        <f t="shared" si="8"/>
        <v/>
      </c>
      <c r="U48" s="9" t="str">
        <f>IFERROR(INDEX(MCSI_Table!$B$2:$E$72,MATCH(T48,MCSI_Table!$A$2:$A$72,0),MATCH(B48,MCSI_Table!$B$1:$E$1,0)),"")</f>
        <v/>
      </c>
      <c r="V48" s="9" t="str">
        <f t="shared" si="9"/>
        <v/>
      </c>
      <c r="W48" s="9" t="str">
        <f>IF(OR(B48="",L48="",COUNT(D48:K48)&lt;Settings!$B$5),"",ROUND((M48-L48)*Settings!$B$3,1))</f>
        <v/>
      </c>
      <c r="X48" s="9" t="str">
        <f t="shared" si="10"/>
        <v/>
      </c>
      <c r="Y48" s="8" t="str">
        <f t="shared" si="11"/>
        <v/>
      </c>
    </row>
    <row r="49" spans="1:25" ht="15" customHeight="1">
      <c r="A49" s="14" t="s">
        <v>68</v>
      </c>
      <c r="B49" s="15" t="s">
        <v>22</v>
      </c>
      <c r="C49" s="15" t="s">
        <v>69</v>
      </c>
      <c r="D49" s="8"/>
      <c r="E49" s="8"/>
      <c r="F49" s="8"/>
      <c r="G49" s="8"/>
      <c r="H49" s="8"/>
      <c r="I49" s="8"/>
      <c r="J49" s="8"/>
      <c r="K49" s="8"/>
      <c r="L49" s="9" t="str">
        <f t="shared" si="6"/>
        <v/>
      </c>
      <c r="M49" s="9">
        <f>IFERROR(VLOOKUP(B49,Settings!$A$8:$B$11,2,FALSE),"")</f>
        <v>190</v>
      </c>
      <c r="N49" s="13">
        <v>53</v>
      </c>
      <c r="O49" s="13">
        <v>2</v>
      </c>
      <c r="P49" s="8">
        <f t="shared" si="7"/>
        <v>55</v>
      </c>
      <c r="Q49" s="9">
        <f>IFERROR(INDEX(MCSI_Table!$B$2:$E$72,MATCH(P49,MCSI_Table!$A$2:$A$72,0),MATCH(B49,MCSI_Table!$B$1:$E$1,0)),"")</f>
        <v>78.599999999999994</v>
      </c>
      <c r="R49" s="13">
        <v>57</v>
      </c>
      <c r="S49" s="13">
        <v>3</v>
      </c>
      <c r="T49" s="8">
        <f t="shared" si="8"/>
        <v>60</v>
      </c>
      <c r="U49" s="9">
        <f>IFERROR(INDEX(MCSI_Table!$B$2:$E$72,MATCH(T49,MCSI_Table!$A$2:$A$72,0),MATCH(B49,MCSI_Table!$B$1:$E$1,0)),"")</f>
        <v>85.7</v>
      </c>
      <c r="V49" s="9">
        <f t="shared" si="9"/>
        <v>164.3</v>
      </c>
      <c r="W49" s="9" t="str">
        <f>IF(OR(B49="",L49="",COUNT(D49:K49)&lt;Settings!$B$5),"",ROUND((M49-L49)*Settings!$B$3,1))</f>
        <v/>
      </c>
      <c r="X49" s="9" t="str">
        <f t="shared" si="10"/>
        <v/>
      </c>
      <c r="Y49" s="8" t="str">
        <f t="shared" si="11"/>
        <v/>
      </c>
    </row>
    <row r="50" spans="1:25" ht="15" customHeight="1">
      <c r="A50" s="14" t="s">
        <v>61</v>
      </c>
      <c r="B50" s="15"/>
      <c r="C50" s="19" t="s">
        <v>42</v>
      </c>
      <c r="D50" s="8"/>
      <c r="E50" s="8"/>
      <c r="F50" s="8"/>
      <c r="G50" s="8"/>
      <c r="H50" s="8"/>
      <c r="I50" s="8"/>
      <c r="J50" s="8"/>
      <c r="K50" s="8"/>
      <c r="L50" s="9" t="str">
        <f t="shared" si="6"/>
        <v/>
      </c>
      <c r="M50" s="9" t="str">
        <f>IFERROR(VLOOKUP(B50,Settings!$A$8:$B$11,2,FALSE),"")</f>
        <v/>
      </c>
      <c r="N50" s="13">
        <v>56</v>
      </c>
      <c r="O50" s="13">
        <v>2</v>
      </c>
      <c r="P50" s="8">
        <f t="shared" si="7"/>
        <v>58</v>
      </c>
      <c r="Q50" s="9" t="str">
        <f>IFERROR(INDEX(MCSI_Table!$B$2:$E$72,MATCH(P50,MCSI_Table!$A$2:$A$72,0),MATCH(B50,MCSI_Table!$B$1:$E$1,0)),"")</f>
        <v/>
      </c>
      <c r="R50" s="13">
        <v>58</v>
      </c>
      <c r="S50" s="13">
        <v>4</v>
      </c>
      <c r="T50" s="8">
        <f t="shared" si="8"/>
        <v>62</v>
      </c>
      <c r="U50" s="9" t="str">
        <f>IFERROR(INDEX(MCSI_Table!$B$2:$E$72,MATCH(T50,MCSI_Table!$A$2:$A$72,0),MATCH(B50,MCSI_Table!$B$1:$E$1,0)),"")</f>
        <v/>
      </c>
      <c r="V50" s="9" t="str">
        <f t="shared" si="9"/>
        <v/>
      </c>
      <c r="W50" s="9" t="str">
        <f>IF(OR(B50="",L50="",COUNT(D50:K50)&lt;Settings!$B$5),"",ROUND((M50-L50)*Settings!$B$3,1))</f>
        <v/>
      </c>
      <c r="X50" s="9" t="str">
        <f t="shared" si="10"/>
        <v/>
      </c>
      <c r="Y50" s="8" t="str">
        <f t="shared" si="11"/>
        <v/>
      </c>
    </row>
    <row r="51" spans="1:25" ht="15" customHeight="1">
      <c r="A51" s="14"/>
      <c r="B51" s="15"/>
      <c r="C51" s="15"/>
      <c r="D51" s="8"/>
      <c r="E51" s="8"/>
      <c r="F51" s="8"/>
      <c r="G51" s="8"/>
      <c r="H51" s="8"/>
      <c r="I51" s="8"/>
      <c r="J51" s="8"/>
      <c r="K51" s="8"/>
      <c r="L51" s="9" t="str">
        <f t="shared" si="6"/>
        <v/>
      </c>
      <c r="M51" s="9" t="str">
        <f>IFERROR(VLOOKUP(B51,Settings!$A$8:$B$11,2,FALSE),"")</f>
        <v/>
      </c>
      <c r="N51" s="13"/>
      <c r="O51" s="13"/>
      <c r="P51" s="8" t="str">
        <f t="shared" si="7"/>
        <v/>
      </c>
      <c r="Q51" s="9" t="str">
        <f>IFERROR(INDEX(MCSI_Table!$B$2:$E$72,MATCH(P51,MCSI_Table!$A$2:$A$72,0),MATCH(B51,MCSI_Table!$B$1:$E$1,0)),"")</f>
        <v/>
      </c>
      <c r="R51" s="13"/>
      <c r="S51" s="13"/>
      <c r="T51" s="8" t="str">
        <f t="shared" si="8"/>
        <v/>
      </c>
      <c r="U51" s="9" t="str">
        <f>IFERROR(INDEX(MCSI_Table!$B$2:$E$72,MATCH(T51,MCSI_Table!$A$2:$A$72,0),MATCH(B51,MCSI_Table!$B$1:$E$1,0)),"")</f>
        <v/>
      </c>
      <c r="V51" s="9" t="str">
        <f t="shared" si="9"/>
        <v/>
      </c>
      <c r="W51" s="9" t="str">
        <f>IF(OR(B51="",L51="",COUNT(D51:K51)&lt;Settings!$B$5),"",ROUND((M51-L51)*Settings!$B$3,1))</f>
        <v/>
      </c>
      <c r="X51" s="9" t="str">
        <f t="shared" si="10"/>
        <v/>
      </c>
      <c r="Y51" s="8" t="str">
        <f t="shared" si="11"/>
        <v/>
      </c>
    </row>
  </sheetData>
  <conditionalFormatting sqref="X3:X51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Scores</vt:lpstr>
      <vt:lpstr>MCSI_Table</vt:lpstr>
      <vt:lpstr>Settings</vt:lpstr>
      <vt:lpstr>Instructions</vt:lpstr>
      <vt:lpstr>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</dc:creator>
  <cp:lastModifiedBy>Adrian Viccars</cp:lastModifiedBy>
  <dcterms:created xsi:type="dcterms:W3CDTF">2026-05-08T03:38:23Z</dcterms:created>
  <dcterms:modified xsi:type="dcterms:W3CDTF">2026-06-13T06:15:45Z</dcterms:modified>
</cp:coreProperties>
</file>